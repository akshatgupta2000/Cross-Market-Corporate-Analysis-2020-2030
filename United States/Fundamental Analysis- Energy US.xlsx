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Music\Job &amp; Future\Fundamental Analysis Project-Flagship\Fundamental Analysis-US\"/>
    </mc:Choice>
  </mc:AlternateContent>
  <xr:revisionPtr revIDLastSave="0" documentId="13_ncr:1_{8612FFC8-18E0-444F-8C70-DA749034E2E8}" xr6:coauthVersionLast="47" xr6:coauthVersionMax="47" xr10:uidLastSave="{00000000-0000-0000-0000-000000000000}"/>
  <bookViews>
    <workbookView xWindow="13728" yWindow="0" windowWidth="9408" windowHeight="12336" firstSheet="2" activeTab="3" xr2:uid="{00000000-000D-0000-FFFF-FFFF00000000}"/>
  </bookViews>
  <sheets>
    <sheet name="Company Profile" sheetId="1" r:id="rId1"/>
    <sheet name="Financials" sheetId="2" r:id="rId2"/>
    <sheet name="Assumptions" sheetId="3" r:id="rId3"/>
    <sheet name="DCF" sheetId="4" r:id="rId4"/>
    <sheet name="Relative" sheetId="5" r:id="rId5"/>
    <sheet name="Calc"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38" i="2" l="1"/>
  <c r="AF38" i="2"/>
  <c r="AG38" i="2"/>
  <c r="AH38" i="2"/>
  <c r="AI38" i="2"/>
  <c r="AE39" i="2"/>
  <c r="AF39" i="2"/>
  <c r="AG39" i="2"/>
  <c r="AH39" i="2"/>
  <c r="AI39" i="2"/>
  <c r="AE40" i="2"/>
  <c r="AF40" i="2"/>
  <c r="AG40" i="2"/>
  <c r="AH40" i="2"/>
  <c r="AI40" i="2"/>
  <c r="AE41" i="2"/>
  <c r="AF41" i="2"/>
  <c r="AG41" i="2"/>
  <c r="AH41" i="2"/>
  <c r="AI41" i="2"/>
  <c r="AE33" i="2"/>
  <c r="AF33" i="2"/>
  <c r="AG33" i="2"/>
  <c r="AH33" i="2"/>
  <c r="AE34" i="2"/>
  <c r="AF34" i="2"/>
  <c r="AG34" i="2"/>
  <c r="AH34" i="2"/>
  <c r="AE35" i="2"/>
  <c r="AF35" i="2"/>
  <c r="AG35" i="2"/>
  <c r="AH35" i="2"/>
  <c r="AD41" i="2"/>
  <c r="AD40" i="2"/>
  <c r="AD39" i="2"/>
  <c r="AD38" i="2"/>
  <c r="AD35" i="2"/>
  <c r="AD34" i="2"/>
  <c r="AD33" i="2"/>
  <c r="X42" i="2"/>
  <c r="Y42" i="2"/>
  <c r="Z42" i="2"/>
  <c r="AA42" i="2"/>
  <c r="AB42" i="2"/>
  <c r="X43" i="2"/>
  <c r="Y43" i="2"/>
  <c r="Z43" i="2"/>
  <c r="AA43" i="2"/>
  <c r="AB43" i="2"/>
  <c r="X44" i="2"/>
  <c r="Y44" i="2"/>
  <c r="Z44" i="2"/>
  <c r="AA44" i="2"/>
  <c r="AB44" i="2"/>
  <c r="X45" i="2"/>
  <c r="Y45" i="2"/>
  <c r="Z45" i="2"/>
  <c r="AA45" i="2"/>
  <c r="AB45" i="2"/>
  <c r="W45" i="2"/>
  <c r="Q41" i="2"/>
  <c r="R41" i="2"/>
  <c r="S41" i="2"/>
  <c r="T41" i="2"/>
  <c r="U41" i="2"/>
  <c r="P41" i="2"/>
  <c r="W44" i="2"/>
  <c r="W43" i="2"/>
  <c r="W42" i="2"/>
  <c r="X33" i="2"/>
  <c r="Y33" i="2"/>
  <c r="Z33" i="2"/>
  <c r="AA33" i="2"/>
  <c r="X34" i="2"/>
  <c r="Y34" i="2"/>
  <c r="Z34" i="2"/>
  <c r="AA34" i="2"/>
  <c r="X35" i="2"/>
  <c r="Y35" i="2"/>
  <c r="Z35" i="2"/>
  <c r="AA35" i="2"/>
  <c r="W35" i="2"/>
  <c r="W34" i="2"/>
  <c r="W33" i="2"/>
  <c r="Q38" i="2"/>
  <c r="R38" i="2"/>
  <c r="S38" i="2"/>
  <c r="T38" i="2"/>
  <c r="U38" i="2"/>
  <c r="Q39" i="2"/>
  <c r="R39" i="2"/>
  <c r="S39" i="2"/>
  <c r="T39" i="2"/>
  <c r="U39" i="2"/>
  <c r="Q40" i="2"/>
  <c r="R40" i="2"/>
  <c r="S40" i="2"/>
  <c r="T40" i="2"/>
  <c r="U40" i="2"/>
  <c r="P40" i="2"/>
  <c r="P39" i="2"/>
  <c r="P38" i="2"/>
  <c r="Q33" i="2"/>
  <c r="R33" i="2"/>
  <c r="S33" i="2"/>
  <c r="T33" i="2"/>
  <c r="Q34" i="2"/>
  <c r="R34" i="2"/>
  <c r="S34" i="2"/>
  <c r="T34" i="2"/>
  <c r="Q35" i="2"/>
  <c r="R35" i="2"/>
  <c r="S35" i="2"/>
  <c r="T35" i="2"/>
  <c r="P35" i="2"/>
  <c r="P34" i="2"/>
  <c r="P33" i="2"/>
  <c r="A79" i="6"/>
  <c r="A75" i="6"/>
  <c r="A76" i="6"/>
  <c r="A77" i="6"/>
  <c r="A78" i="6"/>
  <c r="A74" i="6"/>
  <c r="D77" i="6"/>
  <c r="D78" i="6"/>
  <c r="D76" i="6"/>
  <c r="D75" i="6"/>
  <c r="D74" i="6"/>
  <c r="B75" i="6"/>
  <c r="C75" i="6"/>
  <c r="B76" i="6"/>
  <c r="C76" i="6"/>
  <c r="B77" i="6"/>
  <c r="C77" i="6"/>
  <c r="B78" i="6"/>
  <c r="C78" i="6"/>
  <c r="B79" i="6"/>
  <c r="C79" i="6"/>
  <c r="C74" i="6"/>
  <c r="B74" i="6"/>
  <c r="D72" i="6"/>
  <c r="D71" i="6"/>
  <c r="D70" i="6"/>
  <c r="D69" i="6"/>
  <c r="D73" i="6"/>
  <c r="D68" i="6"/>
  <c r="C69" i="6"/>
  <c r="C70" i="6"/>
  <c r="C71" i="6"/>
  <c r="C72" i="6"/>
  <c r="C73" i="6"/>
  <c r="C68" i="6"/>
  <c r="A69" i="6"/>
  <c r="A70" i="6"/>
  <c r="A71" i="6"/>
  <c r="A72" i="6"/>
  <c r="A73" i="6"/>
  <c r="A68" i="6"/>
  <c r="D79" i="6" l="1"/>
  <c r="N4" i="6" l="1"/>
  <c r="N5" i="6"/>
  <c r="N6" i="6"/>
  <c r="M4" i="6"/>
  <c r="M5" i="6"/>
  <c r="M6" i="6"/>
  <c r="L6" i="6"/>
  <c r="L5" i="6"/>
  <c r="L4" i="6"/>
  <c r="K3" i="6"/>
  <c r="K4" i="6"/>
  <c r="K5" i="6"/>
  <c r="K6" i="6"/>
  <c r="K2" i="6"/>
  <c r="J6" i="6"/>
  <c r="J5" i="6"/>
  <c r="J4" i="6"/>
  <c r="I7" i="6"/>
  <c r="I4" i="6"/>
  <c r="I5" i="6"/>
  <c r="I6" i="6"/>
  <c r="H6" i="6"/>
  <c r="H5" i="6"/>
  <c r="H4" i="6"/>
  <c r="G6" i="6"/>
  <c r="G5" i="6"/>
  <c r="G4" i="6"/>
  <c r="I14" i="6"/>
  <c r="H15" i="6"/>
  <c r="D66" i="6"/>
  <c r="D65" i="6"/>
  <c r="D67" i="6" s="1"/>
  <c r="D64" i="6"/>
  <c r="D63" i="6"/>
  <c r="D62" i="6"/>
  <c r="D60" i="6"/>
  <c r="D59" i="6"/>
  <c r="D58" i="6"/>
  <c r="D57" i="6"/>
  <c r="D56" i="6"/>
  <c r="D51" i="6"/>
  <c r="D52" i="6"/>
  <c r="D53" i="6"/>
  <c r="D54" i="6"/>
  <c r="D50" i="6"/>
  <c r="D48" i="6"/>
  <c r="D47" i="6"/>
  <c r="D46" i="6"/>
  <c r="D45" i="6"/>
  <c r="D44" i="6"/>
  <c r="D42" i="6"/>
  <c r="D41" i="6"/>
  <c r="D40" i="6"/>
  <c r="D39" i="6"/>
  <c r="D38" i="6"/>
  <c r="D36" i="6"/>
  <c r="D35" i="6"/>
  <c r="D34" i="6"/>
  <c r="D33" i="6"/>
  <c r="D32" i="6"/>
  <c r="D27" i="6"/>
  <c r="D28" i="6"/>
  <c r="D29" i="6"/>
  <c r="D30" i="6"/>
  <c r="D26" i="6"/>
  <c r="D21" i="6"/>
  <c r="D22" i="6"/>
  <c r="D23" i="6"/>
  <c r="D24" i="6"/>
  <c r="D20" i="6"/>
  <c r="D18" i="6"/>
  <c r="D17" i="6"/>
  <c r="D16" i="6"/>
  <c r="D15" i="6"/>
  <c r="D14" i="6"/>
  <c r="D12" i="6"/>
  <c r="D11" i="6"/>
  <c r="D10" i="6"/>
  <c r="D9" i="6"/>
  <c r="D8" i="6"/>
  <c r="D6" i="6"/>
  <c r="D5" i="6"/>
  <c r="D4" i="6"/>
  <c r="AI5" i="4"/>
  <c r="AJ5" i="4"/>
  <c r="AK5" i="4"/>
  <c r="AL5" i="4"/>
  <c r="AM5" i="4"/>
  <c r="AH5" i="4"/>
  <c r="F15" i="3"/>
  <c r="AE30" i="2"/>
  <c r="AF30" i="2"/>
  <c r="AG30" i="2"/>
  <c r="AH30" i="2"/>
  <c r="AD30" i="2"/>
  <c r="AH28" i="2"/>
  <c r="AG28" i="2"/>
  <c r="AH20" i="2"/>
  <c r="AG20" i="2"/>
  <c r="AH4" i="2"/>
  <c r="AH7" i="2"/>
  <c r="AG7" i="2"/>
  <c r="AF7" i="2"/>
  <c r="AE7" i="2"/>
  <c r="AD7" i="2"/>
  <c r="AD4" i="2"/>
  <c r="AD5" i="2" s="1"/>
  <c r="AE4" i="2"/>
  <c r="AF4" i="2"/>
  <c r="AF5" i="2" s="1"/>
  <c r="AF9" i="2" s="1"/>
  <c r="AG4" i="2"/>
  <c r="AG5" i="2" s="1"/>
  <c r="AG9" i="2" s="1"/>
  <c r="AF28" i="2"/>
  <c r="AE28" i="2"/>
  <c r="AF20" i="2"/>
  <c r="AE20" i="2"/>
  <c r="AD28" i="2"/>
  <c r="AD20" i="2"/>
  <c r="G11" i="5"/>
  <c r="G12" i="5"/>
  <c r="G13" i="5"/>
  <c r="G14" i="5"/>
  <c r="G10" i="5"/>
  <c r="E24" i="5"/>
  <c r="E23" i="5"/>
  <c r="E22" i="5"/>
  <c r="D24" i="5"/>
  <c r="D23" i="5"/>
  <c r="D22" i="5"/>
  <c r="C23" i="5"/>
  <c r="C22" i="5"/>
  <c r="B23" i="5"/>
  <c r="B22" i="5"/>
  <c r="F14" i="3"/>
  <c r="E14" i="3"/>
  <c r="E16" i="3" s="1"/>
  <c r="AA28" i="2"/>
  <c r="Z28" i="2"/>
  <c r="Z20" i="2"/>
  <c r="AA15" i="2"/>
  <c r="Z15" i="2"/>
  <c r="AA4" i="2"/>
  <c r="Z4" i="2"/>
  <c r="Y28" i="2"/>
  <c r="X28" i="2"/>
  <c r="X20" i="2"/>
  <c r="Y15" i="2"/>
  <c r="X15" i="2"/>
  <c r="Y4" i="2"/>
  <c r="Y5" i="2" s="1"/>
  <c r="Y9" i="2" s="1"/>
  <c r="X4" i="2"/>
  <c r="X5" i="2" s="1"/>
  <c r="X9" i="2" s="1"/>
  <c r="W28" i="2"/>
  <c r="W20" i="2"/>
  <c r="W15" i="2"/>
  <c r="W4" i="2"/>
  <c r="W5" i="2" s="1"/>
  <c r="W9" i="2" s="1"/>
  <c r="W5" i="4"/>
  <c r="V5" i="4"/>
  <c r="U5" i="4"/>
  <c r="T5" i="4"/>
  <c r="S5" i="4"/>
  <c r="D8" i="3"/>
  <c r="R5" i="4"/>
  <c r="D15" i="3"/>
  <c r="Q30" i="2"/>
  <c r="R30" i="2"/>
  <c r="S30" i="2"/>
  <c r="T30" i="2"/>
  <c r="P30" i="2"/>
  <c r="T28" i="2"/>
  <c r="S28" i="2"/>
  <c r="T20" i="2"/>
  <c r="D18" i="3" s="1"/>
  <c r="S20" i="2"/>
  <c r="T15" i="2"/>
  <c r="S15" i="2"/>
  <c r="F18" i="3"/>
  <c r="E18" i="3"/>
  <c r="D14" i="3"/>
  <c r="T4" i="2"/>
  <c r="S4" i="2"/>
  <c r="Q28" i="2"/>
  <c r="R28" i="2"/>
  <c r="R20" i="2"/>
  <c r="Q20" i="2"/>
  <c r="R15" i="2"/>
  <c r="Q15" i="2"/>
  <c r="R4" i="2"/>
  <c r="R5" i="2" s="1"/>
  <c r="R9" i="2" s="1"/>
  <c r="Q4" i="2"/>
  <c r="P28" i="2"/>
  <c r="P20" i="2"/>
  <c r="P15" i="2"/>
  <c r="P4" i="2"/>
  <c r="P5" i="2" s="1"/>
  <c r="P9" i="2" s="1"/>
  <c r="F7" i="3"/>
  <c r="F6" i="3"/>
  <c r="E7" i="3"/>
  <c r="E6" i="3"/>
  <c r="D6" i="3"/>
  <c r="F4" i="3"/>
  <c r="AH3" i="4" s="1"/>
  <c r="E4" i="3"/>
  <c r="Z3" i="4" s="1"/>
  <c r="R3" i="4"/>
  <c r="F8" i="3"/>
  <c r="J10" i="3"/>
  <c r="K10" i="3"/>
  <c r="L10" i="3"/>
  <c r="M10" i="3"/>
  <c r="J11" i="3"/>
  <c r="K11" i="3"/>
  <c r="L11" i="3"/>
  <c r="M11" i="3"/>
  <c r="J12" i="3"/>
  <c r="K12" i="3"/>
  <c r="L12" i="3"/>
  <c r="M12" i="3"/>
  <c r="I12" i="3"/>
  <c r="I11" i="3"/>
  <c r="E8" i="3" s="1"/>
  <c r="I10" i="3"/>
  <c r="F25" i="3"/>
  <c r="AH17" i="4" s="1"/>
  <c r="E25" i="3"/>
  <c r="D25" i="3"/>
  <c r="C25" i="3"/>
  <c r="B25" i="3"/>
  <c r="AH5" i="2"/>
  <c r="AH9" i="2" s="1"/>
  <c r="C24" i="5" s="1"/>
  <c r="AE5" i="2"/>
  <c r="AE9" i="2" s="1"/>
  <c r="S5" i="2"/>
  <c r="S9" i="2" s="1"/>
  <c r="AA5" i="2"/>
  <c r="AA9" i="2" s="1"/>
  <c r="Z5" i="2"/>
  <c r="Z9" i="2" s="1"/>
  <c r="T5" i="2"/>
  <c r="T9" i="2" s="1"/>
  <c r="Q5" i="2"/>
  <c r="Q9" i="2" s="1"/>
  <c r="AA3" i="6"/>
  <c r="AA2" i="6"/>
  <c r="H18" i="3"/>
  <c r="H19" i="3"/>
  <c r="H20" i="3"/>
  <c r="H17" i="3"/>
  <c r="H16" i="3"/>
  <c r="E9" i="3"/>
  <c r="F9" i="3"/>
  <c r="D9" i="3"/>
  <c r="D2" i="1" a="1"/>
  <c r="D2" i="1" s="1"/>
  <c r="E2" i="1" a="1"/>
  <c r="E2" i="1" s="1"/>
  <c r="F2" i="1" a="1"/>
  <c r="F2" i="1" s="1"/>
  <c r="D3" i="1" a="1"/>
  <c r="D3" i="1" s="1"/>
  <c r="R21" i="4" s="1"/>
  <c r="E3" i="1" a="1"/>
  <c r="E3" i="1" s="1"/>
  <c r="Z21" i="4" s="1"/>
  <c r="F3" i="1" a="1"/>
  <c r="F3" i="1" s="1"/>
  <c r="AH21" i="4" s="1"/>
  <c r="D4" i="1" a="1"/>
  <c r="D4" i="1" s="1"/>
  <c r="E4" i="1" a="1"/>
  <c r="E4" i="1" s="1"/>
  <c r="F4" i="1" a="1"/>
  <c r="F4" i="1" s="1"/>
  <c r="D5" i="1" a="1"/>
  <c r="D5" i="1" s="1"/>
  <c r="D12" i="3" s="1"/>
  <c r="D13" i="3" s="1"/>
  <c r="E5" i="1" a="1"/>
  <c r="E5" i="1" s="1"/>
  <c r="E12" i="3" s="1"/>
  <c r="E13" i="3" s="1"/>
  <c r="F5" i="1" a="1"/>
  <c r="F5" i="1" s="1"/>
  <c r="F12" i="3" s="1"/>
  <c r="F13" i="3" s="1"/>
  <c r="D6" i="1" a="1"/>
  <c r="D6" i="1" s="1"/>
  <c r="D7" i="1" s="1"/>
  <c r="D24" i="3" s="1"/>
  <c r="R19" i="4" s="1"/>
  <c r="E6" i="1" a="1"/>
  <c r="E6" i="1" s="1"/>
  <c r="E7" i="1" s="1"/>
  <c r="E24" i="3" s="1"/>
  <c r="Z19" i="4" s="1"/>
  <c r="F6" i="1" a="1"/>
  <c r="F6" i="1" s="1"/>
  <c r="F7" i="1" s="1"/>
  <c r="F24" i="3" s="1"/>
  <c r="AH19" i="4" s="1"/>
  <c r="D8" i="1" a="1"/>
  <c r="D8" i="1" s="1"/>
  <c r="D9" i="1" s="1"/>
  <c r="D17" i="3" s="1"/>
  <c r="E8" i="1" a="1"/>
  <c r="E8" i="1" s="1"/>
  <c r="E9" i="1" s="1"/>
  <c r="E17" i="3" s="1"/>
  <c r="F8" i="1" a="1"/>
  <c r="F8" i="1" s="1"/>
  <c r="F9" i="1" s="1"/>
  <c r="F17" i="3" s="1"/>
  <c r="D10" i="1"/>
  <c r="E10" i="1"/>
  <c r="F10" i="1"/>
  <c r="D11" i="1" a="1"/>
  <c r="D11" i="1" s="1"/>
  <c r="E11" i="1" a="1"/>
  <c r="E11" i="1" s="1"/>
  <c r="F11" i="1" a="1"/>
  <c r="F11" i="1" s="1"/>
  <c r="G4" i="5"/>
  <c r="G5" i="5"/>
  <c r="G6" i="5"/>
  <c r="G7" i="5"/>
  <c r="G3" i="5"/>
  <c r="F7" i="6"/>
  <c r="B67" i="6"/>
  <c r="B66" i="6"/>
  <c r="B65" i="6"/>
  <c r="B64" i="6"/>
  <c r="B63" i="6"/>
  <c r="B62" i="6"/>
  <c r="A56" i="6"/>
  <c r="D55" i="6"/>
  <c r="A48" i="6"/>
  <c r="A54" i="6" s="1"/>
  <c r="A66" i="6" s="1"/>
  <c r="A47" i="6"/>
  <c r="A53" i="6" s="1"/>
  <c r="A65" i="6" s="1"/>
  <c r="A46" i="6"/>
  <c r="A52" i="6" s="1"/>
  <c r="A64" i="6" s="1"/>
  <c r="A43" i="6"/>
  <c r="A42" i="6"/>
  <c r="A60" i="6" s="1"/>
  <c r="A61" i="6" s="1"/>
  <c r="A41" i="6"/>
  <c r="A59" i="6" s="1"/>
  <c r="A40" i="6"/>
  <c r="A58" i="6" s="1"/>
  <c r="A39" i="6"/>
  <c r="A57" i="6" s="1"/>
  <c r="A38" i="6"/>
  <c r="A37" i="6"/>
  <c r="A36" i="6"/>
  <c r="A35" i="6"/>
  <c r="A34" i="6"/>
  <c r="A33" i="6"/>
  <c r="A32" i="6"/>
  <c r="A31" i="6"/>
  <c r="A49" i="6" s="1"/>
  <c r="A55" i="6" s="1"/>
  <c r="A67" i="6" s="1"/>
  <c r="A30" i="6"/>
  <c r="A29" i="6"/>
  <c r="A28" i="6"/>
  <c r="A27" i="6"/>
  <c r="A45" i="6" s="1"/>
  <c r="A51" i="6" s="1"/>
  <c r="A63" i="6" s="1"/>
  <c r="A26" i="6"/>
  <c r="A44" i="6" s="1"/>
  <c r="A50" i="6" s="1"/>
  <c r="A62" i="6" s="1"/>
  <c r="C25" i="6"/>
  <c r="C31" i="6" s="1"/>
  <c r="C37" i="6" s="1"/>
  <c r="C43" i="6" s="1"/>
  <c r="C49" i="6" s="1"/>
  <c r="C55" i="6" s="1"/>
  <c r="C61" i="6" s="1"/>
  <c r="C67" i="6" s="1"/>
  <c r="A25" i="6"/>
  <c r="A24" i="6"/>
  <c r="D25" i="6"/>
  <c r="A23" i="6"/>
  <c r="A22" i="6"/>
  <c r="C21" i="6"/>
  <c r="C27" i="6" s="1"/>
  <c r="C33" i="6" s="1"/>
  <c r="C39" i="6" s="1"/>
  <c r="C45" i="6" s="1"/>
  <c r="C51" i="6" s="1"/>
  <c r="C57" i="6" s="1"/>
  <c r="C63" i="6" s="1"/>
  <c r="A21" i="6"/>
  <c r="A20" i="6"/>
  <c r="D19" i="6"/>
  <c r="C19" i="6"/>
  <c r="C18" i="6"/>
  <c r="C24" i="6" s="1"/>
  <c r="C30" i="6" s="1"/>
  <c r="C36" i="6" s="1"/>
  <c r="C42" i="6" s="1"/>
  <c r="C48" i="6" s="1"/>
  <c r="C54" i="6" s="1"/>
  <c r="C60" i="6" s="1"/>
  <c r="C66" i="6" s="1"/>
  <c r="C17" i="6"/>
  <c r="C23" i="6" s="1"/>
  <c r="C29" i="6" s="1"/>
  <c r="C35" i="6" s="1"/>
  <c r="C41" i="6" s="1"/>
  <c r="C47" i="6" s="1"/>
  <c r="C53" i="6" s="1"/>
  <c r="C59" i="6" s="1"/>
  <c r="C65" i="6" s="1"/>
  <c r="C16" i="6"/>
  <c r="C22" i="6" s="1"/>
  <c r="C28" i="6" s="1"/>
  <c r="C34" i="6" s="1"/>
  <c r="C40" i="6" s="1"/>
  <c r="C46" i="6" s="1"/>
  <c r="C52" i="6" s="1"/>
  <c r="C58" i="6" s="1"/>
  <c r="C64" i="6" s="1"/>
  <c r="C15" i="6"/>
  <c r="C14" i="6"/>
  <c r="C20" i="6" s="1"/>
  <c r="C26" i="6" s="1"/>
  <c r="C32" i="6" s="1"/>
  <c r="C38" i="6" s="1"/>
  <c r="C44" i="6" s="1"/>
  <c r="C50" i="6" s="1"/>
  <c r="C56" i="6" s="1"/>
  <c r="C62" i="6" s="1"/>
  <c r="C13" i="6"/>
  <c r="C12" i="6"/>
  <c r="C11" i="6"/>
  <c r="C10" i="6"/>
  <c r="C9" i="6"/>
  <c r="C8" i="6"/>
  <c r="I15" i="6" l="1"/>
  <c r="D61" i="6"/>
  <c r="D49" i="6"/>
  <c r="D43" i="6"/>
  <c r="D37" i="6"/>
  <c r="D13" i="6"/>
  <c r="F16" i="3"/>
  <c r="AD9" i="2"/>
  <c r="B24" i="5"/>
  <c r="F5" i="3"/>
  <c r="AH4" i="4" s="1"/>
  <c r="AH6" i="4"/>
  <c r="AI3" i="4"/>
  <c r="AI7" i="4" s="1"/>
  <c r="AH7" i="4"/>
  <c r="I14" i="5"/>
  <c r="I12" i="5"/>
  <c r="I13" i="5"/>
  <c r="L7" i="5"/>
  <c r="L5" i="5"/>
  <c r="L6" i="5"/>
  <c r="Z17" i="4"/>
  <c r="I19" i="3"/>
  <c r="Z8" i="4" s="1"/>
  <c r="Z7" i="4"/>
  <c r="Z6" i="4"/>
  <c r="AA3" i="4"/>
  <c r="E5" i="3"/>
  <c r="Z4" i="4" s="1"/>
  <c r="Z5" i="4" s="1"/>
  <c r="D16" i="3"/>
  <c r="R17" i="4"/>
  <c r="I18" i="3"/>
  <c r="R8" i="4" s="1"/>
  <c r="S3" i="4"/>
  <c r="R7" i="4"/>
  <c r="R6" i="4"/>
  <c r="D5" i="3"/>
  <c r="R4" i="4" s="1"/>
  <c r="I20" i="3"/>
  <c r="AH8" i="4" s="1"/>
  <c r="F19" i="3"/>
  <c r="F20" i="3" s="1"/>
  <c r="E19" i="3"/>
  <c r="E20" i="3" s="1"/>
  <c r="D19" i="3"/>
  <c r="D20" i="3" s="1"/>
  <c r="D31" i="6"/>
  <c r="AH9" i="4" l="1"/>
  <c r="AI4" i="4"/>
  <c r="AJ3" i="4"/>
  <c r="AI6" i="4"/>
  <c r="J20" i="3"/>
  <c r="AI8" i="4" s="1"/>
  <c r="H6" i="5"/>
  <c r="J6" i="5"/>
  <c r="K6" i="5"/>
  <c r="J5" i="5"/>
  <c r="K5" i="5"/>
  <c r="H5" i="5"/>
  <c r="J7" i="5"/>
  <c r="K7" i="5"/>
  <c r="H7" i="5"/>
  <c r="AA4" i="4"/>
  <c r="AA5" i="4" s="1"/>
  <c r="AA7" i="4"/>
  <c r="AA6" i="4"/>
  <c r="AB3" i="4"/>
  <c r="J19" i="3"/>
  <c r="AA8" i="4" s="1"/>
  <c r="R9" i="4"/>
  <c r="S6" i="4"/>
  <c r="T3" i="4"/>
  <c r="S4" i="4"/>
  <c r="S7" i="4"/>
  <c r="J18" i="3"/>
  <c r="S8" i="4" s="1"/>
  <c r="E21" i="3"/>
  <c r="E22" i="3" s="1"/>
  <c r="F21" i="3"/>
  <c r="F22" i="3" s="1"/>
  <c r="D21" i="3"/>
  <c r="D22" i="3" s="1"/>
  <c r="Z9" i="4"/>
  <c r="F4" i="6"/>
  <c r="F5" i="6"/>
  <c r="F6" i="6"/>
  <c r="C3" i="6"/>
  <c r="C4" i="6"/>
  <c r="C5" i="6"/>
  <c r="C6" i="6"/>
  <c r="C2" i="6"/>
  <c r="R7" i="6" a="1"/>
  <c r="R7" i="6" s="1"/>
  <c r="R2" i="6" a="1"/>
  <c r="R2" i="6" s="1"/>
  <c r="AI9" i="4" l="1"/>
  <c r="AK3" i="4"/>
  <c r="AJ4" i="4"/>
  <c r="AJ7" i="4"/>
  <c r="K20" i="3"/>
  <c r="AJ8" i="4" s="1"/>
  <c r="AJ6" i="4"/>
  <c r="F26" i="3"/>
  <c r="AC3" i="4"/>
  <c r="AB4" i="4"/>
  <c r="AB5" i="4" s="1"/>
  <c r="AB7" i="4"/>
  <c r="AB6" i="4"/>
  <c r="K19" i="3"/>
  <c r="AB8" i="4" s="1"/>
  <c r="AA9" i="4"/>
  <c r="E26" i="3"/>
  <c r="S9" i="4"/>
  <c r="U3" i="4"/>
  <c r="T6" i="4"/>
  <c r="T4" i="4"/>
  <c r="T7" i="4"/>
  <c r="K18" i="3"/>
  <c r="T8" i="4" s="1"/>
  <c r="D26" i="3"/>
  <c r="AJ9" i="4" l="1"/>
  <c r="AK4" i="4"/>
  <c r="L20" i="3"/>
  <c r="AK8" i="4" s="1"/>
  <c r="AK6" i="4"/>
  <c r="AL3" i="4"/>
  <c r="AK7" i="4"/>
  <c r="AB9" i="4"/>
  <c r="AC4" i="4"/>
  <c r="AC5" i="4" s="1"/>
  <c r="AC7" i="4"/>
  <c r="AC6" i="4"/>
  <c r="L19" i="3"/>
  <c r="AC8" i="4" s="1"/>
  <c r="AD3" i="4"/>
  <c r="T9" i="4"/>
  <c r="V3" i="4"/>
  <c r="U7" i="4"/>
  <c r="U6" i="4"/>
  <c r="U4" i="4"/>
  <c r="L18" i="3"/>
  <c r="U8" i="4" s="1"/>
  <c r="B11" i="1" a="1"/>
  <c r="B11" i="1" s="1"/>
  <c r="H3" i="6"/>
  <c r="H2" i="6"/>
  <c r="D3" i="6"/>
  <c r="D2" i="6"/>
  <c r="D7" i="6" s="1"/>
  <c r="H12" i="6"/>
  <c r="H14" i="6" s="1"/>
  <c r="M20" i="3" l="1"/>
  <c r="AL8" i="4" s="1"/>
  <c r="AL4" i="4"/>
  <c r="AL7" i="4"/>
  <c r="AL6" i="4"/>
  <c r="AM3" i="4"/>
  <c r="AC9" i="4"/>
  <c r="AD4" i="4"/>
  <c r="AD5" i="4" s="1"/>
  <c r="AD7" i="4"/>
  <c r="AD6" i="4"/>
  <c r="M19" i="3"/>
  <c r="AD8" i="4" s="1"/>
  <c r="AE3" i="4"/>
  <c r="U9" i="4"/>
  <c r="W3" i="4"/>
  <c r="V7" i="4"/>
  <c r="V6" i="4"/>
  <c r="V4" i="4"/>
  <c r="M18" i="3"/>
  <c r="V8" i="4" s="1"/>
  <c r="AK9" i="4"/>
  <c r="F3" i="6"/>
  <c r="F2" i="6"/>
  <c r="AM4" i="4" l="1"/>
  <c r="AM7" i="4"/>
  <c r="N20" i="3"/>
  <c r="AM8" i="4" s="1"/>
  <c r="AM6" i="4"/>
  <c r="AL9" i="4"/>
  <c r="N19" i="3"/>
  <c r="AE8" i="4" s="1"/>
  <c r="AE6" i="4"/>
  <c r="AE4" i="4"/>
  <c r="AE5" i="4" s="1"/>
  <c r="AE7" i="4"/>
  <c r="AD9" i="4"/>
  <c r="V9" i="4"/>
  <c r="N18" i="3"/>
  <c r="W8" i="4" s="1"/>
  <c r="W7" i="4"/>
  <c r="W6" i="4"/>
  <c r="W4" i="4"/>
  <c r="E20" i="5"/>
  <c r="D21" i="5"/>
  <c r="D20" i="5"/>
  <c r="C4" i="5" a="1"/>
  <c r="C4" i="5" s="1"/>
  <c r="C5" i="5" a="1"/>
  <c r="C5" i="5" s="1"/>
  <c r="C6" i="5" a="1"/>
  <c r="C6" i="5" s="1"/>
  <c r="C10" i="1" s="1"/>
  <c r="C7" i="5" a="1"/>
  <c r="C7" i="5" s="1"/>
  <c r="C8" i="5" a="1"/>
  <c r="C8" i="5" s="1"/>
  <c r="C9" i="5" a="1"/>
  <c r="C9" i="5" s="1"/>
  <c r="C10" i="5" a="1"/>
  <c r="C10" i="5" s="1"/>
  <c r="C11" i="5" a="1"/>
  <c r="C11" i="5" s="1"/>
  <c r="C12" i="5" a="1"/>
  <c r="C12" i="5" s="1"/>
  <c r="C13" i="5" a="1"/>
  <c r="C13" i="5" s="1"/>
  <c r="C14" i="5" a="1"/>
  <c r="C14" i="5" s="1"/>
  <c r="C15" i="5" a="1"/>
  <c r="C15" i="5" s="1"/>
  <c r="C3" i="5" a="1"/>
  <c r="C3" i="5" s="1"/>
  <c r="E17" i="5"/>
  <c r="D17" i="5"/>
  <c r="B17" i="5"/>
  <c r="AE9" i="4" l="1"/>
  <c r="Z13" i="4" s="1"/>
  <c r="Z14" i="4" s="1"/>
  <c r="W9" i="4"/>
  <c r="R13" i="4" s="1"/>
  <c r="R14" i="4" s="1"/>
  <c r="R15" i="4"/>
  <c r="AM9" i="4"/>
  <c r="AH13" i="4" s="1"/>
  <c r="AH14" i="4" s="1"/>
  <c r="C17" i="5"/>
  <c r="AH15" i="4" l="1"/>
  <c r="I5" i="5"/>
  <c r="H12" i="5" s="1"/>
  <c r="J12" i="5" s="1"/>
  <c r="I6" i="5"/>
  <c r="H13" i="5" s="1"/>
  <c r="J13" i="5" s="1"/>
  <c r="I7" i="5"/>
  <c r="H14" i="5" s="1"/>
  <c r="J14" i="5" s="1"/>
  <c r="Z15" i="4"/>
  <c r="Z16" i="4" s="1"/>
  <c r="Z18" i="4" s="1"/>
  <c r="Z20" i="4" s="1"/>
  <c r="Z22" i="4" s="1"/>
  <c r="R16" i="4"/>
  <c r="R18" i="4" s="1"/>
  <c r="R20" i="4" s="1"/>
  <c r="R22" i="4" s="1"/>
  <c r="J8" i="3"/>
  <c r="K8" i="3"/>
  <c r="L8" i="3"/>
  <c r="M8" i="3"/>
  <c r="J9" i="3"/>
  <c r="K9" i="3"/>
  <c r="L9" i="3"/>
  <c r="M9" i="3"/>
  <c r="I9" i="3"/>
  <c r="I8" i="3"/>
  <c r="M28" i="2"/>
  <c r="M21" i="2"/>
  <c r="E21" i="5" s="1"/>
  <c r="M20" i="2"/>
  <c r="M14" i="2"/>
  <c r="L28" i="2"/>
  <c r="K28" i="2"/>
  <c r="L20" i="2"/>
  <c r="K20" i="2"/>
  <c r="J20" i="2"/>
  <c r="I20" i="2"/>
  <c r="C14" i="3" s="1"/>
  <c r="C16" i="3" s="1"/>
  <c r="L14" i="2"/>
  <c r="K14" i="2"/>
  <c r="J28" i="2"/>
  <c r="I28" i="2"/>
  <c r="I21" i="2"/>
  <c r="J14" i="2"/>
  <c r="I14" i="2"/>
  <c r="M4" i="2"/>
  <c r="M5" i="2" s="1"/>
  <c r="L4" i="2"/>
  <c r="K4" i="2"/>
  <c r="J4" i="2"/>
  <c r="J5" i="2" s="1"/>
  <c r="J9" i="2" s="1"/>
  <c r="I4" i="2"/>
  <c r="I5" i="2" s="1"/>
  <c r="C7" i="3"/>
  <c r="C6" i="3"/>
  <c r="K5" i="2"/>
  <c r="K9" i="2" s="1"/>
  <c r="L5" i="2"/>
  <c r="L9" i="2" s="1"/>
  <c r="F28" i="2"/>
  <c r="E28" i="2"/>
  <c r="D28" i="2"/>
  <c r="C28" i="2"/>
  <c r="B28" i="2"/>
  <c r="F20" i="2"/>
  <c r="E20" i="2"/>
  <c r="D20" i="2"/>
  <c r="C20" i="2"/>
  <c r="B20" i="2"/>
  <c r="B14" i="3" s="1"/>
  <c r="B16" i="3" s="1"/>
  <c r="F14" i="2"/>
  <c r="E14" i="2"/>
  <c r="D14" i="2"/>
  <c r="C14" i="2"/>
  <c r="B14" i="2"/>
  <c r="B7" i="3"/>
  <c r="B6" i="2"/>
  <c r="B6" i="3" s="1"/>
  <c r="F4" i="2"/>
  <c r="F5" i="2" s="1"/>
  <c r="E4" i="2"/>
  <c r="E5" i="2" s="1"/>
  <c r="E9" i="2" s="1"/>
  <c r="D4" i="2"/>
  <c r="D5" i="2" s="1"/>
  <c r="D9" i="2" s="1"/>
  <c r="C4" i="2"/>
  <c r="C5" i="2" s="1"/>
  <c r="C9" i="2" s="1"/>
  <c r="B4" i="2"/>
  <c r="B5" i="2" s="1"/>
  <c r="C4" i="3"/>
  <c r="B4" i="3"/>
  <c r="C2" i="1" a="1"/>
  <c r="C2" i="1" s="1"/>
  <c r="C3" i="1" a="1"/>
  <c r="C3" i="1" s="1"/>
  <c r="C4" i="1" a="1"/>
  <c r="C4" i="1" s="1"/>
  <c r="C5" i="1" a="1"/>
  <c r="C5" i="1" s="1"/>
  <c r="C12" i="3" s="1"/>
  <c r="C13" i="3" s="1"/>
  <c r="AB3" i="6" s="1"/>
  <c r="C6" i="1" a="1"/>
  <c r="C6" i="1" s="1"/>
  <c r="C7" i="1" s="1"/>
  <c r="C24" i="3" s="1"/>
  <c r="C8" i="1" a="1"/>
  <c r="C8" i="1" s="1"/>
  <c r="C9" i="1" s="1"/>
  <c r="C17" i="3" s="1"/>
  <c r="C11" i="1" a="1"/>
  <c r="C11" i="1" s="1"/>
  <c r="B10" i="1" a="1"/>
  <c r="B10" i="1" s="1"/>
  <c r="B8" i="1" a="1"/>
  <c r="B8" i="1" s="1"/>
  <c r="B9" i="1" s="1"/>
  <c r="B17" i="3" s="1"/>
  <c r="B6" i="1" a="1"/>
  <c r="B6" i="1" s="1"/>
  <c r="B7" i="1" s="1"/>
  <c r="B24" i="3" s="1"/>
  <c r="B5" i="1" a="1"/>
  <c r="B5" i="1" s="1"/>
  <c r="B12" i="3" s="1"/>
  <c r="B4" i="1" a="1"/>
  <c r="B4" i="1" s="1"/>
  <c r="B3" i="1" a="1"/>
  <c r="B3" i="1" s="1"/>
  <c r="B2" i="1" a="1"/>
  <c r="B2" i="1" s="1"/>
  <c r="B13" i="3" l="1"/>
  <c r="AB2" i="6" s="1"/>
  <c r="J21" i="4"/>
  <c r="AD3" i="6" s="1"/>
  <c r="I11" i="5"/>
  <c r="J19" i="4"/>
  <c r="L4" i="5"/>
  <c r="B19" i="4"/>
  <c r="L3" i="5"/>
  <c r="B21" i="4"/>
  <c r="AD2" i="6" s="1"/>
  <c r="I10" i="5"/>
  <c r="AH16" i="4"/>
  <c r="AH18" i="4" s="1"/>
  <c r="AH20" i="4" s="1"/>
  <c r="AH22" i="4" s="1"/>
  <c r="G2" i="6"/>
  <c r="I2" i="6" s="1"/>
  <c r="B20" i="5"/>
  <c r="F9" i="2"/>
  <c r="R3" i="6" a="1"/>
  <c r="R3" i="6" s="1"/>
  <c r="B9" i="2"/>
  <c r="R4" i="6" s="1" a="1"/>
  <c r="R4" i="6" s="1"/>
  <c r="B5" i="3"/>
  <c r="M9" i="2"/>
  <c r="G3" i="6"/>
  <c r="I3" i="6" s="1"/>
  <c r="B21" i="5"/>
  <c r="J17" i="4"/>
  <c r="C18" i="3"/>
  <c r="B18" i="3"/>
  <c r="B17" i="4"/>
  <c r="R8" i="6" a="1"/>
  <c r="R8" i="6" s="1"/>
  <c r="B3" i="4"/>
  <c r="B8" i="3"/>
  <c r="J3" i="4"/>
  <c r="C8" i="3"/>
  <c r="B19" i="3"/>
  <c r="B20" i="3" s="1"/>
  <c r="C19" i="3"/>
  <c r="C20" i="3" s="1"/>
  <c r="C5" i="3"/>
  <c r="I9" i="2"/>
  <c r="R9" i="6" s="1" a="1"/>
  <c r="R9" i="6" s="1"/>
  <c r="J3" i="5" l="1"/>
  <c r="K3" i="5"/>
  <c r="H3" i="5"/>
  <c r="I3" i="5"/>
  <c r="K4" i="5"/>
  <c r="H4" i="5"/>
  <c r="J4" i="5"/>
  <c r="I4" i="5"/>
  <c r="C21" i="5"/>
  <c r="C20" i="5"/>
  <c r="J7" i="4"/>
  <c r="J6" i="4"/>
  <c r="J4" i="4"/>
  <c r="B6" i="4"/>
  <c r="B4" i="4"/>
  <c r="B7" i="4"/>
  <c r="I16" i="3"/>
  <c r="B8" i="4" s="1"/>
  <c r="C3" i="4"/>
  <c r="K3" i="4"/>
  <c r="I17" i="3"/>
  <c r="J8" i="4" s="1"/>
  <c r="C21" i="3"/>
  <c r="C22" i="3" s="1"/>
  <c r="B21" i="3"/>
  <c r="B22" i="3" l="1"/>
  <c r="Z2" i="6" s="1"/>
  <c r="H11" i="5"/>
  <c r="J11" i="5" s="1"/>
  <c r="H10" i="5"/>
  <c r="J10" i="5" s="1"/>
  <c r="Z3" i="6"/>
  <c r="C26" i="3"/>
  <c r="K7" i="4"/>
  <c r="K6" i="4"/>
  <c r="K4" i="4"/>
  <c r="K5" i="4" s="1"/>
  <c r="J17" i="3"/>
  <c r="K8" i="4" s="1"/>
  <c r="L3" i="4"/>
  <c r="J5" i="4"/>
  <c r="B5" i="4"/>
  <c r="C6" i="4"/>
  <c r="C4" i="4"/>
  <c r="C5" i="4" s="1"/>
  <c r="C7" i="4"/>
  <c r="J16" i="3"/>
  <c r="C8" i="4" s="1"/>
  <c r="D3" i="4"/>
  <c r="B26" i="3" l="1"/>
  <c r="C9" i="4"/>
  <c r="J9" i="4"/>
  <c r="L7" i="4"/>
  <c r="L6" i="4"/>
  <c r="L4" i="4"/>
  <c r="K17" i="3"/>
  <c r="L8" i="4" s="1"/>
  <c r="M3" i="4"/>
  <c r="K9" i="4"/>
  <c r="B9" i="4"/>
  <c r="E3" i="4"/>
  <c r="D7" i="4"/>
  <c r="D6" i="4"/>
  <c r="D4" i="4"/>
  <c r="D5" i="4" s="1"/>
  <c r="K16" i="3"/>
  <c r="D8" i="4" s="1"/>
  <c r="N3" i="4" l="1"/>
  <c r="M6" i="4"/>
  <c r="M4" i="4"/>
  <c r="M7" i="4"/>
  <c r="L17" i="3"/>
  <c r="M8" i="4" s="1"/>
  <c r="F3" i="4"/>
  <c r="E7" i="4"/>
  <c r="E6" i="4"/>
  <c r="E4" i="4"/>
  <c r="L16" i="3"/>
  <c r="E8" i="4" s="1"/>
  <c r="L5" i="4"/>
  <c r="D9" i="4"/>
  <c r="M5" i="4" l="1"/>
  <c r="E5" i="4"/>
  <c r="O3" i="4"/>
  <c r="R18" i="6" s="1" a="1"/>
  <c r="R18" i="6" s="1"/>
  <c r="N6" i="4"/>
  <c r="N4" i="4"/>
  <c r="N5" i="4" s="1"/>
  <c r="N7" i="4"/>
  <c r="M17" i="3"/>
  <c r="N8" i="4" s="1"/>
  <c r="L9" i="4"/>
  <c r="G3" i="4"/>
  <c r="R12" i="6" s="1" a="1"/>
  <c r="R12" i="6" s="1"/>
  <c r="F7" i="4"/>
  <c r="F6" i="4"/>
  <c r="F4" i="4"/>
  <c r="F5" i="4" s="1"/>
  <c r="M16" i="3"/>
  <c r="F8" i="4" s="1"/>
  <c r="M9" i="4"/>
  <c r="F9" i="4" l="1"/>
  <c r="N9" i="4"/>
  <c r="O6" i="4"/>
  <c r="L3" i="6" s="1"/>
  <c r="O4" i="4"/>
  <c r="R19" i="6" s="1" a="1"/>
  <c r="R19" i="6" s="1"/>
  <c r="O7" i="4"/>
  <c r="N17" i="3"/>
  <c r="O8" i="4" s="1"/>
  <c r="E9" i="4"/>
  <c r="G7" i="4"/>
  <c r="G6" i="4"/>
  <c r="L2" i="6" s="1"/>
  <c r="G4" i="4"/>
  <c r="R13" i="6" s="1" a="1"/>
  <c r="R13" i="6" s="1"/>
  <c r="N16" i="3"/>
  <c r="G8" i="4" s="1"/>
  <c r="J3" i="6" l="1"/>
  <c r="O5" i="4"/>
  <c r="J2" i="6"/>
  <c r="G5" i="4"/>
  <c r="M3" i="6"/>
  <c r="R20" i="6" l="1" a="1"/>
  <c r="R20" i="6" s="1"/>
  <c r="R14" i="6" a="1"/>
  <c r="R14" i="6" s="1"/>
  <c r="N3" i="6"/>
  <c r="M2" i="6"/>
  <c r="N2" i="6" s="1"/>
  <c r="G9" i="4"/>
  <c r="R15" i="6" s="1" a="1"/>
  <c r="R15" i="6" s="1"/>
  <c r="O9" i="4"/>
  <c r="R21" i="6" s="1" a="1"/>
  <c r="R21" i="6" s="1"/>
  <c r="N7" i="6" l="1"/>
  <c r="J13" i="4"/>
  <c r="J14" i="4" s="1"/>
  <c r="J15" i="4"/>
  <c r="B13" i="4"/>
  <c r="B14" i="4" s="1"/>
  <c r="B15" i="4"/>
  <c r="B16" i="4" l="1"/>
  <c r="B18" i="4" s="1"/>
  <c r="B20" i="4" s="1"/>
  <c r="AC2" i="6" s="1"/>
  <c r="AE2" i="6" s="1"/>
  <c r="J16" i="4"/>
  <c r="J18" i="4" s="1"/>
  <c r="J20" i="4" s="1"/>
  <c r="AC3" i="6" s="1"/>
  <c r="AE3" i="6" s="1"/>
  <c r="J22" i="4" l="1"/>
  <c r="B22" i="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5">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26"/>
        </ext>
      </extLst>
    </bk>
    <bk>
      <extLst>
        <ext uri="{3e2802c4-a4d2-4d8b-9148-e3be6c30e623}">
          <xlrd:rvb i="29"/>
        </ext>
      </extLst>
    </bk>
    <bk>
      <extLst>
        <ext uri="{3e2802c4-a4d2-4d8b-9148-e3be6c30e623}">
          <xlrd:rvb i="32"/>
        </ext>
      </extLst>
    </bk>
    <bk>
      <extLst>
        <ext uri="{3e2802c4-a4d2-4d8b-9148-e3be6c30e623}">
          <xlrd:rvb i="35"/>
        </ext>
      </extLst>
    </bk>
    <bk>
      <extLst>
        <ext uri="{3e2802c4-a4d2-4d8b-9148-e3be6c30e623}">
          <xlrd:rvb i="42"/>
        </ext>
      </extLst>
    </bk>
    <bk>
      <extLst>
        <ext uri="{3e2802c4-a4d2-4d8b-9148-e3be6c30e623}">
          <xlrd:rvb i="45"/>
        </ext>
      </extLst>
    </bk>
    <bk>
      <extLst>
        <ext uri="{3e2802c4-a4d2-4d8b-9148-e3be6c30e623}">
          <xlrd:rvb i="48"/>
        </ext>
      </extLst>
    </bk>
  </futureMetadata>
  <cellMetadata count="1">
    <bk>
      <rc t="1" v="0"/>
    </bk>
  </cellMetadata>
  <valueMetadata count="15">
    <bk>
      <rc t="2" v="0"/>
    </bk>
    <bk>
      <rc t="2" v="1"/>
    </bk>
    <bk>
      <rc t="2" v="2"/>
    </bk>
    <bk>
      <rc t="2" v="3"/>
    </bk>
    <bk>
      <rc t="2" v="4"/>
    </bk>
    <bk>
      <rc t="2" v="5"/>
    </bk>
    <bk>
      <rc t="2" v="6"/>
    </bk>
    <bk>
      <rc t="2" v="7"/>
    </bk>
    <bk>
      <rc t="2" v="8"/>
    </bk>
    <bk>
      <rc t="2" v="9"/>
    </bk>
    <bk>
      <rc t="2" v="10"/>
    </bk>
    <bk>
      <rc t="2" v="11"/>
    </bk>
    <bk>
      <rc t="2" v="12"/>
    </bk>
    <bk>
      <rc t="2" v="13"/>
    </bk>
    <bk>
      <rc t="2" v="14"/>
    </bk>
  </valueMetadata>
</metadata>
</file>

<file path=xl/sharedStrings.xml><?xml version="1.0" encoding="utf-8"?>
<sst xmlns="http://schemas.openxmlformats.org/spreadsheetml/2006/main" count="634" uniqueCount="147">
  <si>
    <t>Company</t>
  </si>
  <si>
    <t>Official name</t>
  </si>
  <si>
    <t>Share price</t>
  </si>
  <si>
    <t>Change (%)</t>
  </si>
  <si>
    <t>Beta</t>
  </si>
  <si>
    <t>Shares outstanding</t>
  </si>
  <si>
    <t>in mn</t>
  </si>
  <si>
    <t>Market cap</t>
  </si>
  <si>
    <t>P/E</t>
  </si>
  <si>
    <t>Year</t>
  </si>
  <si>
    <t>Duke Energy</t>
  </si>
  <si>
    <t>INCOME STATEMENTS</t>
  </si>
  <si>
    <t>Particulars</t>
  </si>
  <si>
    <t>Revenue</t>
  </si>
  <si>
    <t>Operating income (EBIT)</t>
  </si>
  <si>
    <t>Depreciation &amp; Amortization</t>
  </si>
  <si>
    <t>Interest expense</t>
  </si>
  <si>
    <t>Income tax expense</t>
  </si>
  <si>
    <t>Net Income</t>
  </si>
  <si>
    <t>BALANCE SHEET</t>
  </si>
  <si>
    <t>Cash &amp; Cash equivalents</t>
  </si>
  <si>
    <t>Accounts receivables</t>
  </si>
  <si>
    <t>Inventories</t>
  </si>
  <si>
    <t>Accounts Payables</t>
  </si>
  <si>
    <t>Total Current assets</t>
  </si>
  <si>
    <t>Total Current Liabilities</t>
  </si>
  <si>
    <t>PPE</t>
  </si>
  <si>
    <t>Total debt</t>
  </si>
  <si>
    <t>Shareholder's equity</t>
  </si>
  <si>
    <t>CASH FLOW STATEMENT</t>
  </si>
  <si>
    <t>Cash flow from Operating activities</t>
  </si>
  <si>
    <t>Capital expenditures</t>
  </si>
  <si>
    <t>Dividends paid</t>
  </si>
  <si>
    <t>Debt paid</t>
  </si>
  <si>
    <t>2020</t>
  </si>
  <si>
    <t>2021</t>
  </si>
  <si>
    <t>2022</t>
  </si>
  <si>
    <t>2023</t>
  </si>
  <si>
    <t>2024</t>
  </si>
  <si>
    <t>ASSUMPTIONS</t>
  </si>
  <si>
    <t>Assumptions</t>
  </si>
  <si>
    <t>Value</t>
  </si>
  <si>
    <t>Revenue CAGR</t>
  </si>
  <si>
    <t>Operating margin (EBIT)</t>
  </si>
  <si>
    <t>Depreciation rate</t>
  </si>
  <si>
    <t>Capex margin</t>
  </si>
  <si>
    <t>Working capital</t>
  </si>
  <si>
    <t>Forecast horizon</t>
  </si>
  <si>
    <t>Risk-free rate</t>
  </si>
  <si>
    <t>Equity risk premium</t>
  </si>
  <si>
    <t>Cost of equity</t>
  </si>
  <si>
    <t>Cost of debt (pre-tax)</t>
  </si>
  <si>
    <t>Tax rate</t>
  </si>
  <si>
    <t>Cost of debt (after-tax)</t>
  </si>
  <si>
    <t>Market value of equity</t>
  </si>
  <si>
    <t xml:space="preserve">Total debt </t>
  </si>
  <si>
    <t>Total capital</t>
  </si>
  <si>
    <t>Weight of debt</t>
  </si>
  <si>
    <t>Weight of equity</t>
  </si>
  <si>
    <t>WACC</t>
  </si>
  <si>
    <t>Terminal Growth rate</t>
  </si>
  <si>
    <t>NextEra</t>
  </si>
  <si>
    <t>Duke</t>
  </si>
  <si>
    <t>NExtEra</t>
  </si>
  <si>
    <t>Operating expenses</t>
  </si>
  <si>
    <t>OpEx</t>
  </si>
  <si>
    <t>WC-NE</t>
  </si>
  <si>
    <t>WC-Duke</t>
  </si>
  <si>
    <t>2025</t>
  </si>
  <si>
    <t>2026</t>
  </si>
  <si>
    <t>2027</t>
  </si>
  <si>
    <t>2028</t>
  </si>
  <si>
    <t>2029</t>
  </si>
  <si>
    <t>2030</t>
  </si>
  <si>
    <t>EBIT</t>
  </si>
  <si>
    <t>NOPAT</t>
  </si>
  <si>
    <t>Depreciation</t>
  </si>
  <si>
    <t>Capex</t>
  </si>
  <si>
    <t xml:space="preserve"> Change in Working capital</t>
  </si>
  <si>
    <t>FCFF</t>
  </si>
  <si>
    <t>Metrics</t>
  </si>
  <si>
    <t>Terminal Value</t>
  </si>
  <si>
    <t>PV of Terminal value</t>
  </si>
  <si>
    <t>PV of FCFF</t>
  </si>
  <si>
    <t>Total enterprise value</t>
  </si>
  <si>
    <t>Net debt</t>
  </si>
  <si>
    <t>Total equity value</t>
  </si>
  <si>
    <t>Outstanding shares</t>
  </si>
  <si>
    <t>Intrinsic value</t>
  </si>
  <si>
    <t>Current market price</t>
  </si>
  <si>
    <t>Upside/Downside</t>
  </si>
  <si>
    <t>6 years</t>
  </si>
  <si>
    <t>EV/EBITDA</t>
  </si>
  <si>
    <t>P/S</t>
  </si>
  <si>
    <t>P/B</t>
  </si>
  <si>
    <t>Average</t>
  </si>
  <si>
    <t>EBITDA</t>
  </si>
  <si>
    <t>Book Value</t>
  </si>
  <si>
    <t>NextEra Energy</t>
  </si>
  <si>
    <t>Change in EBIT (historical)</t>
  </si>
  <si>
    <t>Change in CE</t>
  </si>
  <si>
    <t>Incremental ROCE (Historical)</t>
  </si>
  <si>
    <t>Change in EBIT (Forecast)</t>
  </si>
  <si>
    <t>Effective capital</t>
  </si>
  <si>
    <t>Raw ROCE</t>
  </si>
  <si>
    <t>2020-24</t>
  </si>
  <si>
    <t>Avg Capex</t>
  </si>
  <si>
    <t>2025-30</t>
  </si>
  <si>
    <t>GDP</t>
  </si>
  <si>
    <t>2020-21</t>
  </si>
  <si>
    <t>Capex CAGR</t>
  </si>
  <si>
    <t>Change</t>
  </si>
  <si>
    <t>Sensitivity</t>
  </si>
  <si>
    <t>Earnings CAGR</t>
  </si>
  <si>
    <t>Earnings Growth</t>
  </si>
  <si>
    <t>Operating income</t>
  </si>
  <si>
    <t>FCFE</t>
  </si>
  <si>
    <t>Terminal Growth</t>
  </si>
  <si>
    <t>Instrinsic Value</t>
  </si>
  <si>
    <t>Dominion Energy</t>
  </si>
  <si>
    <t>Southern Company</t>
  </si>
  <si>
    <t>Xcel Energy</t>
  </si>
  <si>
    <t>EBITDA Margin</t>
  </si>
  <si>
    <t>NPM</t>
  </si>
  <si>
    <t>Avg Revenue (Exp)</t>
  </si>
  <si>
    <t>Capex Intensity</t>
  </si>
  <si>
    <t>NE</t>
  </si>
  <si>
    <t>DE</t>
  </si>
  <si>
    <t>DOE</t>
  </si>
  <si>
    <t>SC</t>
  </si>
  <si>
    <t>XCE</t>
  </si>
  <si>
    <t>Dominion</t>
  </si>
  <si>
    <t>Southern</t>
  </si>
  <si>
    <t>Xcel</t>
  </si>
  <si>
    <t>WC-Dominion</t>
  </si>
  <si>
    <t>WC-Southern</t>
  </si>
  <si>
    <t>WC-Xcel</t>
  </si>
  <si>
    <t>Total Assets</t>
  </si>
  <si>
    <t>Total assets</t>
  </si>
  <si>
    <t>Cash and cash equivalents</t>
  </si>
  <si>
    <t>PV Discount rate</t>
  </si>
  <si>
    <t>PBT</t>
  </si>
  <si>
    <t>Shares</t>
  </si>
  <si>
    <t>Target price</t>
  </si>
  <si>
    <t>CMP</t>
  </si>
  <si>
    <t>U/D</t>
  </si>
  <si>
    <t>Net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</si>
</sst>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_([$$-409]* #,##0.00_);_([$$-409]* \(#,##0.00\);_([$$-409]* &quot;-&quot;??_);_(@_)"/>
    <numFmt numFmtId="165" formatCode="_([$$-409]* #,##0_);_([$$-409]* \(#,##0\);_([$$-409]* &quot;-&quot;_);_(@_)"/>
    <numFmt numFmtId="166" formatCode="_-[$$-409]* #,##0.00_ ;_-[$$-409]* \-#,##0.00\ ;_-[$$-409]* &quot;-&quot;??_ ;_-@_ "/>
  </numFmts>
  <fonts count="6"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8"/>
      <name val="Calibri"/>
      <family val="2"/>
      <scheme val="minor"/>
    </font>
    <font>
      <b/>
      <sz val="11"/>
      <name val="Calibri"/>
      <family val="2"/>
      <scheme val="minor"/>
    </font>
  </fonts>
  <fills count="7">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0" tint="-4.9989318521683403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theme="0"/>
      </left>
      <right style="thin">
        <color indexed="64"/>
      </right>
      <top style="thin">
        <color theme="0"/>
      </top>
      <bottom style="thin">
        <color indexed="64"/>
      </bottom>
      <diagonal/>
    </border>
    <border>
      <left style="thin">
        <color theme="0"/>
      </left>
      <right/>
      <top style="thin">
        <color theme="0"/>
      </top>
      <bottom/>
      <diagonal/>
    </border>
    <border>
      <left style="thin">
        <color indexed="64"/>
      </left>
      <right style="thin">
        <color indexed="64"/>
      </right>
      <top/>
      <bottom style="thin">
        <color indexed="64"/>
      </bottom>
      <diagonal/>
    </border>
    <border>
      <left style="thin">
        <color theme="0"/>
      </left>
      <right/>
      <top style="thin">
        <color indexed="64"/>
      </top>
      <bottom/>
      <diagonal/>
    </border>
    <border>
      <left style="thin">
        <color theme="0"/>
      </left>
      <right style="thin">
        <color indexed="64"/>
      </right>
      <top style="thin">
        <color indexed="64"/>
      </top>
      <bottom/>
      <diagonal/>
    </border>
    <border>
      <left style="thin">
        <color indexed="64"/>
      </left>
      <right/>
      <top style="thick">
        <color theme="0"/>
      </top>
      <bottom/>
      <diagonal/>
    </border>
    <border>
      <left style="thin">
        <color theme="0"/>
      </left>
      <right/>
      <top style="thick">
        <color theme="0"/>
      </top>
      <bottom/>
      <diagonal/>
    </border>
    <border>
      <left style="thin">
        <color theme="0"/>
      </left>
      <right style="thin">
        <color indexed="64"/>
      </right>
      <top style="thick">
        <color theme="0"/>
      </top>
      <bottom/>
      <diagonal/>
    </border>
    <border>
      <left style="thin">
        <color indexed="64"/>
      </left>
      <right/>
      <top style="thin">
        <color theme="0"/>
      </top>
      <bottom/>
      <diagonal/>
    </border>
    <border>
      <left style="thin">
        <color theme="0"/>
      </left>
      <right style="thin">
        <color indexed="64"/>
      </right>
      <top style="thin">
        <color theme="0"/>
      </top>
      <bottom/>
      <diagonal/>
    </border>
    <border>
      <left style="thin">
        <color indexed="64"/>
      </left>
      <right/>
      <top style="thin">
        <color theme="0"/>
      </top>
      <bottom style="thin">
        <color indexed="64"/>
      </bottom>
      <diagonal/>
    </border>
    <border>
      <left style="thin">
        <color theme="0"/>
      </left>
      <right/>
      <top style="thin">
        <color theme="0"/>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13">
    <xf numFmtId="0" fontId="0" fillId="0" borderId="0" xfId="0"/>
    <xf numFmtId="0" fontId="0" fillId="0" borderId="0" xfId="0" applyAlignment="1">
      <alignment vertical="center" wrapText="1"/>
    </xf>
    <xf numFmtId="0" fontId="0" fillId="0" borderId="0" xfId="0" applyAlignment="1">
      <alignment vertical="center"/>
    </xf>
    <xf numFmtId="0" fontId="0" fillId="0" borderId="0" xfId="0" applyAlignment="1">
      <alignment horizontal="right" vertical="center" wrapText="1"/>
    </xf>
    <xf numFmtId="0" fontId="0" fillId="0" borderId="0" xfId="0" applyAlignment="1">
      <alignment horizontal="right" vertical="center"/>
    </xf>
    <xf numFmtId="43" fontId="0" fillId="0" borderId="0" xfId="1" applyFont="1" applyAlignment="1">
      <alignment horizontal="right" vertical="center"/>
    </xf>
    <xf numFmtId="0" fontId="0" fillId="0" borderId="1" xfId="0" applyBorder="1" applyAlignment="1">
      <alignment vertical="center" wrapText="1"/>
    </xf>
    <xf numFmtId="0" fontId="0" fillId="0" borderId="1" xfId="0" applyBorder="1" applyAlignment="1">
      <alignment horizontal="right" vertical="center" wrapText="1"/>
    </xf>
    <xf numFmtId="0" fontId="0" fillId="0" borderId="1" xfId="0" applyBorder="1" applyAlignment="1">
      <alignment vertical="center"/>
    </xf>
    <xf numFmtId="0" fontId="0" fillId="0" borderId="1" xfId="0" applyBorder="1" applyAlignment="1">
      <alignment horizontal="right" vertical="center"/>
    </xf>
    <xf numFmtId="164" fontId="0" fillId="0" borderId="1" xfId="0" applyNumberFormat="1" applyBorder="1" applyAlignment="1">
      <alignment horizontal="right" vertical="center"/>
    </xf>
    <xf numFmtId="10" fontId="0" fillId="0" borderId="1" xfId="0" applyNumberFormat="1" applyBorder="1" applyAlignment="1">
      <alignment horizontal="right" vertical="center"/>
    </xf>
    <xf numFmtId="43" fontId="0" fillId="0" borderId="1" xfId="1" applyFont="1" applyBorder="1" applyAlignment="1">
      <alignment horizontal="right" vertical="center"/>
    </xf>
    <xf numFmtId="3" fontId="0" fillId="0" borderId="1" xfId="0" applyNumberFormat="1" applyBorder="1" applyAlignment="1">
      <alignment horizontal="right" vertical="center"/>
    </xf>
    <xf numFmtId="165" fontId="0" fillId="0" borderId="1" xfId="0" applyNumberFormat="1" applyBorder="1" applyAlignment="1">
      <alignment horizontal="right" vertical="center"/>
    </xf>
    <xf numFmtId="166" fontId="0" fillId="0" borderId="1" xfId="0" applyNumberFormat="1" applyBorder="1" applyAlignment="1">
      <alignment horizontal="right" vertical="center"/>
    </xf>
    <xf numFmtId="4" fontId="0" fillId="0" borderId="1" xfId="0" applyNumberFormat="1" applyBorder="1" applyAlignment="1">
      <alignment horizontal="right" vertical="center"/>
    </xf>
    <xf numFmtId="1" fontId="0" fillId="0" borderId="1" xfId="0" applyNumberFormat="1" applyBorder="1" applyAlignment="1">
      <alignment horizontal="right" vertical="center"/>
    </xf>
    <xf numFmtId="0" fontId="0" fillId="0" borderId="0" xfId="0" applyAlignment="1">
      <alignment horizontal="center" vertical="center"/>
    </xf>
    <xf numFmtId="0" fontId="3" fillId="0" borderId="0" xfId="0" applyFont="1" applyAlignment="1">
      <alignment vertical="center"/>
    </xf>
    <xf numFmtId="0" fontId="2" fillId="2" borderId="2" xfId="0" applyFont="1" applyFill="1" applyBorder="1" applyAlignment="1">
      <alignment vertical="center"/>
    </xf>
    <xf numFmtId="0" fontId="2" fillId="2" borderId="4" xfId="0" applyFont="1" applyFill="1" applyBorder="1" applyAlignment="1">
      <alignment horizontal="right" vertical="center"/>
    </xf>
    <xf numFmtId="0" fontId="2" fillId="2" borderId="5" xfId="0" applyFont="1" applyFill="1" applyBorder="1" applyAlignment="1">
      <alignment vertical="center"/>
    </xf>
    <xf numFmtId="0" fontId="2" fillId="2" borderId="6" xfId="0" applyFont="1" applyFill="1" applyBorder="1" applyAlignment="1">
      <alignment horizontal="right" vertical="center"/>
    </xf>
    <xf numFmtId="0" fontId="3" fillId="0" borderId="0" xfId="0" applyFont="1" applyAlignment="1">
      <alignment horizontal="center" vertical="center"/>
    </xf>
    <xf numFmtId="43" fontId="0" fillId="0" borderId="1" xfId="1" applyFont="1" applyBorder="1" applyAlignment="1">
      <alignment vertical="center"/>
    </xf>
    <xf numFmtId="10" fontId="0" fillId="0" borderId="1" xfId="2" applyNumberFormat="1" applyFont="1" applyBorder="1" applyAlignment="1">
      <alignment horizontal="right" vertical="center"/>
    </xf>
    <xf numFmtId="0" fontId="3" fillId="0" borderId="1" xfId="0" applyFont="1" applyBorder="1" applyAlignment="1">
      <alignment vertical="center"/>
    </xf>
    <xf numFmtId="43" fontId="3" fillId="0" borderId="1" xfId="1" applyFont="1" applyBorder="1" applyAlignment="1">
      <alignment vertical="center"/>
    </xf>
    <xf numFmtId="43" fontId="0" fillId="0" borderId="0" xfId="0" applyNumberFormat="1" applyAlignment="1">
      <alignment vertical="center"/>
    </xf>
    <xf numFmtId="0" fontId="0" fillId="0" borderId="0" xfId="2" applyNumberFormat="1" applyFont="1" applyAlignment="1">
      <alignment horizontal="center" vertical="center"/>
    </xf>
    <xf numFmtId="0" fontId="0" fillId="0" borderId="0" xfId="2" applyNumberFormat="1" applyFont="1" applyBorder="1" applyAlignment="1">
      <alignment horizontal="center" vertical="center"/>
    </xf>
    <xf numFmtId="49" fontId="0" fillId="0" borderId="0" xfId="1" applyNumberFormat="1" applyFont="1" applyAlignment="1">
      <alignment horizontal="left" vertical="center"/>
    </xf>
    <xf numFmtId="43" fontId="3" fillId="0" borderId="0" xfId="0" applyNumberFormat="1" applyFont="1" applyAlignment="1">
      <alignment vertical="center"/>
    </xf>
    <xf numFmtId="0" fontId="3" fillId="0" borderId="7" xfId="0" applyFont="1" applyBorder="1" applyAlignment="1">
      <alignment vertical="center"/>
    </xf>
    <xf numFmtId="43" fontId="3" fillId="0" borderId="7" xfId="1" applyFont="1" applyBorder="1" applyAlignment="1">
      <alignment horizontal="right" vertical="center"/>
    </xf>
    <xf numFmtId="43" fontId="3" fillId="0" borderId="0" xfId="0" applyNumberFormat="1" applyFont="1" applyAlignment="1">
      <alignment horizontal="center" vertical="center"/>
    </xf>
    <xf numFmtId="43" fontId="3" fillId="0" borderId="0" xfId="1" applyFont="1" applyBorder="1" applyAlignment="1">
      <alignment horizontal="right" vertical="center"/>
    </xf>
    <xf numFmtId="43" fontId="0" fillId="0" borderId="0" xfId="0" applyNumberFormat="1" applyAlignment="1">
      <alignment horizontal="center" vertical="center"/>
    </xf>
    <xf numFmtId="43" fontId="0" fillId="0" borderId="1" xfId="0" applyNumberFormat="1" applyBorder="1" applyAlignment="1">
      <alignment horizontal="center" vertical="center"/>
    </xf>
    <xf numFmtId="43" fontId="0" fillId="0" borderId="0" xfId="1" applyFont="1" applyAlignment="1">
      <alignment horizontal="center" vertical="center"/>
    </xf>
    <xf numFmtId="43" fontId="0" fillId="0" borderId="1" xfId="1" applyFont="1" applyBorder="1" applyAlignment="1">
      <alignment horizontal="center" vertical="center"/>
    </xf>
    <xf numFmtId="10" fontId="0" fillId="0" borderId="0" xfId="2" applyNumberFormat="1" applyFont="1" applyAlignment="1">
      <alignment horizontal="right" vertical="center"/>
    </xf>
    <xf numFmtId="43" fontId="0" fillId="0" borderId="1" xfId="0" applyNumberFormat="1" applyBorder="1" applyAlignment="1">
      <alignment horizontal="right" vertical="center"/>
    </xf>
    <xf numFmtId="43" fontId="0" fillId="0" borderId="0" xfId="1" applyFont="1" applyBorder="1" applyAlignment="1">
      <alignment horizontal="right" vertical="center"/>
    </xf>
    <xf numFmtId="0" fontId="0" fillId="3" borderId="5" xfId="0" applyFill="1" applyBorder="1" applyAlignment="1">
      <alignment vertical="center"/>
    </xf>
    <xf numFmtId="0" fontId="0" fillId="3" borderId="8" xfId="0" applyFill="1" applyBorder="1" applyAlignment="1">
      <alignment horizontal="right" vertical="center"/>
    </xf>
    <xf numFmtId="0" fontId="0" fillId="3" borderId="6" xfId="0" applyFill="1" applyBorder="1" applyAlignment="1">
      <alignment horizontal="right" vertical="center"/>
    </xf>
    <xf numFmtId="43" fontId="3" fillId="0" borderId="1" xfId="0" applyNumberFormat="1" applyFont="1" applyBorder="1" applyAlignment="1">
      <alignment horizontal="right" vertical="center"/>
    </xf>
    <xf numFmtId="43" fontId="0" fillId="0" borderId="0" xfId="0" applyNumberFormat="1" applyAlignment="1">
      <alignment horizontal="right" vertical="center"/>
    </xf>
    <xf numFmtId="0" fontId="0" fillId="0" borderId="6" xfId="0" applyBorder="1" applyAlignment="1">
      <alignment vertical="center"/>
    </xf>
    <xf numFmtId="43" fontId="0" fillId="0" borderId="5" xfId="0" applyNumberFormat="1" applyBorder="1" applyAlignment="1">
      <alignment horizontal="right" vertical="center"/>
    </xf>
    <xf numFmtId="0" fontId="0" fillId="0" borderId="4" xfId="0" applyBorder="1" applyAlignment="1">
      <alignment vertical="center"/>
    </xf>
    <xf numFmtId="43" fontId="0" fillId="0" borderId="7" xfId="0" applyNumberFormat="1" applyBorder="1" applyAlignment="1">
      <alignment horizontal="right" vertical="center"/>
    </xf>
    <xf numFmtId="43" fontId="0" fillId="0" borderId="2" xfId="0" applyNumberFormat="1" applyBorder="1" applyAlignment="1">
      <alignment horizontal="right" vertical="center"/>
    </xf>
    <xf numFmtId="0" fontId="2" fillId="2" borderId="3" xfId="0" applyFont="1" applyFill="1" applyBorder="1" applyAlignment="1">
      <alignment horizontal="right" vertical="center"/>
    </xf>
    <xf numFmtId="0" fontId="3" fillId="2" borderId="0" xfId="0" applyFont="1" applyFill="1" applyAlignment="1">
      <alignment vertical="center" wrapText="1"/>
    </xf>
    <xf numFmtId="0" fontId="3" fillId="2" borderId="0" xfId="0" applyFont="1" applyFill="1" applyAlignment="1">
      <alignment horizontal="center" vertical="center" wrapText="1"/>
    </xf>
    <xf numFmtId="0" fontId="3" fillId="0" borderId="0" xfId="0" applyFont="1" applyAlignment="1">
      <alignment vertical="center" wrapText="1"/>
    </xf>
    <xf numFmtId="0" fontId="3" fillId="0" borderId="0" xfId="0" applyFont="1" applyAlignment="1">
      <alignment horizontal="right" vertical="center" wrapText="1"/>
    </xf>
    <xf numFmtId="0" fontId="3" fillId="0" borderId="0" xfId="0" applyFont="1" applyAlignment="1">
      <alignment horizontal="right" vertical="center"/>
    </xf>
    <xf numFmtId="43" fontId="0" fillId="0" borderId="0" xfId="1" applyFont="1" applyAlignment="1">
      <alignment vertical="center"/>
    </xf>
    <xf numFmtId="10" fontId="0" fillId="0" borderId="0" xfId="2" applyNumberFormat="1" applyFont="1" applyAlignment="1">
      <alignment vertical="center"/>
    </xf>
    <xf numFmtId="10" fontId="0" fillId="0" borderId="0" xfId="0" applyNumberFormat="1" applyAlignment="1">
      <alignment vertical="center"/>
    </xf>
    <xf numFmtId="43" fontId="3" fillId="0" borderId="0" xfId="0" applyNumberFormat="1" applyFont="1" applyAlignment="1">
      <alignment horizontal="right" vertical="center"/>
    </xf>
    <xf numFmtId="10" fontId="0" fillId="0" borderId="0" xfId="0" applyNumberFormat="1" applyAlignment="1">
      <alignment horizontal="right" vertical="center"/>
    </xf>
    <xf numFmtId="10" fontId="3" fillId="0" borderId="0" xfId="2" applyNumberFormat="1" applyFont="1" applyAlignment="1">
      <alignment horizontal="right" vertical="center"/>
    </xf>
    <xf numFmtId="0" fontId="5" fillId="0" borderId="1" xfId="0" applyFont="1" applyBorder="1" applyAlignment="1">
      <alignment vertical="center"/>
    </xf>
    <xf numFmtId="49" fontId="5" fillId="0" borderId="1" xfId="0" applyNumberFormat="1" applyFont="1" applyBorder="1" applyAlignment="1">
      <alignment horizontal="right" vertical="center"/>
    </xf>
    <xf numFmtId="0" fontId="5" fillId="0" borderId="1" xfId="0" applyFont="1" applyBorder="1" applyAlignment="1">
      <alignment horizontal="right" vertical="center"/>
    </xf>
    <xf numFmtId="43" fontId="1" fillId="0" borderId="0" xfId="2" applyNumberFormat="1" applyFont="1" applyAlignment="1">
      <alignment horizontal="right" vertical="center"/>
    </xf>
    <xf numFmtId="43" fontId="3" fillId="0" borderId="0" xfId="1" applyFont="1" applyAlignment="1">
      <alignment horizontal="right" vertical="center"/>
    </xf>
    <xf numFmtId="10" fontId="1" fillId="0" borderId="0" xfId="2" applyNumberFormat="1" applyFont="1" applyAlignment="1">
      <alignment horizontal="right" vertical="center"/>
    </xf>
    <xf numFmtId="10" fontId="3" fillId="0" borderId="0" xfId="1" applyNumberFormat="1" applyFont="1" applyAlignment="1">
      <alignment horizontal="right" vertical="center"/>
    </xf>
    <xf numFmtId="10" fontId="1" fillId="0" borderId="0" xfId="1" applyNumberFormat="1" applyFont="1" applyAlignment="1">
      <alignment horizontal="right" vertical="center"/>
    </xf>
    <xf numFmtId="0" fontId="3" fillId="0" borderId="0" xfId="0" applyFont="1"/>
    <xf numFmtId="0" fontId="2" fillId="2" borderId="8" xfId="0" applyFont="1" applyFill="1" applyBorder="1" applyAlignment="1">
      <alignment horizontal="right" vertical="center"/>
    </xf>
    <xf numFmtId="0" fontId="0" fillId="6" borderId="13" xfId="0" applyFill="1" applyBorder="1" applyAlignment="1">
      <alignment vertical="center"/>
    </xf>
    <xf numFmtId="10" fontId="0" fillId="6" borderId="13" xfId="2" applyNumberFormat="1" applyFont="1" applyFill="1" applyBorder="1" applyAlignment="1">
      <alignment horizontal="right" vertical="center"/>
    </xf>
    <xf numFmtId="0" fontId="0" fillId="6" borderId="1" xfId="0" applyFill="1" applyBorder="1" applyAlignment="1">
      <alignment vertical="center"/>
    </xf>
    <xf numFmtId="10" fontId="0" fillId="6" borderId="1" xfId="2" applyNumberFormat="1" applyFont="1" applyFill="1" applyBorder="1" applyAlignment="1">
      <alignment horizontal="right" vertical="center"/>
    </xf>
    <xf numFmtId="0" fontId="0" fillId="6" borderId="1" xfId="0" applyFill="1" applyBorder="1" applyAlignment="1">
      <alignment horizontal="right" vertical="center"/>
    </xf>
    <xf numFmtId="43" fontId="0" fillId="6" borderId="1" xfId="0" applyNumberFormat="1" applyFill="1" applyBorder="1" applyAlignment="1">
      <alignment horizontal="right" vertical="center"/>
    </xf>
    <xf numFmtId="0" fontId="3" fillId="6" borderId="1" xfId="0" applyFont="1" applyFill="1" applyBorder="1" applyAlignment="1">
      <alignment vertical="center"/>
    </xf>
    <xf numFmtId="10" fontId="3" fillId="6" borderId="1" xfId="2" applyNumberFormat="1" applyFont="1" applyFill="1" applyBorder="1" applyAlignment="1">
      <alignment horizontal="right" vertical="center"/>
    </xf>
    <xf numFmtId="43" fontId="0" fillId="6" borderId="1" xfId="1" applyFont="1" applyFill="1" applyBorder="1" applyAlignment="1">
      <alignment horizontal="right" vertical="center"/>
    </xf>
    <xf numFmtId="10" fontId="0" fillId="0" borderId="5" xfId="2" applyNumberFormat="1" applyFont="1" applyBorder="1" applyAlignment="1">
      <alignment horizontal="right" vertical="center"/>
    </xf>
    <xf numFmtId="0" fontId="2" fillId="0" borderId="10" xfId="0" applyFont="1" applyBorder="1" applyAlignment="1">
      <alignment vertical="center"/>
    </xf>
    <xf numFmtId="0" fontId="2" fillId="0" borderId="13" xfId="0" applyFont="1" applyBorder="1" applyAlignment="1">
      <alignment horizontal="right" vertical="center"/>
    </xf>
    <xf numFmtId="0" fontId="2" fillId="0" borderId="9" xfId="0" applyFont="1" applyBorder="1" applyAlignment="1">
      <alignment horizontal="right" vertical="center"/>
    </xf>
    <xf numFmtId="10" fontId="0" fillId="0" borderId="7" xfId="0" applyNumberFormat="1" applyBorder="1" applyAlignment="1">
      <alignment horizontal="right" vertical="center"/>
    </xf>
    <xf numFmtId="10" fontId="0" fillId="0" borderId="2" xfId="2" applyNumberFormat="1" applyFont="1" applyBorder="1" applyAlignment="1">
      <alignment horizontal="right" vertical="center"/>
    </xf>
    <xf numFmtId="0" fontId="2" fillId="2" borderId="14" xfId="0" applyFont="1" applyFill="1" applyBorder="1" applyAlignment="1">
      <alignment horizontal="right" vertical="center"/>
    </xf>
    <xf numFmtId="0" fontId="2" fillId="2" borderId="15" xfId="0" applyFont="1" applyFill="1" applyBorder="1" applyAlignment="1">
      <alignment horizontal="right" vertical="center"/>
    </xf>
    <xf numFmtId="0" fontId="0" fillId="4" borderId="16" xfId="0" applyFill="1" applyBorder="1" applyAlignment="1">
      <alignment vertical="center"/>
    </xf>
    <xf numFmtId="43" fontId="0" fillId="4" borderId="17" xfId="1" applyFont="1" applyFill="1" applyBorder="1" applyAlignment="1">
      <alignment horizontal="right" vertical="center"/>
    </xf>
    <xf numFmtId="43" fontId="0" fillId="4" borderId="18" xfId="1" applyFont="1" applyFill="1" applyBorder="1" applyAlignment="1">
      <alignment horizontal="right" vertical="center"/>
    </xf>
    <xf numFmtId="0" fontId="0" fillId="5" borderId="19" xfId="0" applyFill="1" applyBorder="1" applyAlignment="1">
      <alignment vertical="center"/>
    </xf>
    <xf numFmtId="43" fontId="0" fillId="5" borderId="12" xfId="1" applyFont="1" applyFill="1" applyBorder="1" applyAlignment="1">
      <alignment horizontal="right" vertical="center"/>
    </xf>
    <xf numFmtId="43" fontId="0" fillId="5" borderId="20" xfId="1" applyFont="1" applyFill="1" applyBorder="1" applyAlignment="1">
      <alignment horizontal="right" vertical="center"/>
    </xf>
    <xf numFmtId="0" fontId="0" fillId="4" borderId="19" xfId="0" applyFill="1" applyBorder="1" applyAlignment="1">
      <alignment vertical="center"/>
    </xf>
    <xf numFmtId="43" fontId="0" fillId="4" borderId="12" xfId="1" applyFont="1" applyFill="1" applyBorder="1" applyAlignment="1">
      <alignment horizontal="right" vertical="center"/>
    </xf>
    <xf numFmtId="43" fontId="0" fillId="4" borderId="20" xfId="1" applyFont="1" applyFill="1" applyBorder="1" applyAlignment="1">
      <alignment horizontal="right" vertical="center"/>
    </xf>
    <xf numFmtId="10" fontId="0" fillId="0" borderId="0" xfId="2" applyNumberFormat="1" applyFont="1" applyFill="1" applyBorder="1" applyAlignment="1">
      <alignment horizontal="right" vertical="center"/>
    </xf>
    <xf numFmtId="43" fontId="0" fillId="0" borderId="0" xfId="1" applyFont="1" applyFill="1" applyBorder="1" applyAlignment="1">
      <alignment horizontal="right" vertical="center"/>
    </xf>
    <xf numFmtId="0" fontId="0" fillId="4" borderId="21" xfId="0" applyFill="1" applyBorder="1" applyAlignment="1">
      <alignment vertical="center"/>
    </xf>
    <xf numFmtId="43" fontId="0" fillId="4" borderId="22" xfId="1" applyFont="1" applyFill="1" applyBorder="1" applyAlignment="1">
      <alignment horizontal="right" vertical="center"/>
    </xf>
    <xf numFmtId="43" fontId="0" fillId="4" borderId="11" xfId="1" applyFont="1" applyFill="1" applyBorder="1" applyAlignment="1">
      <alignment horizontal="right" vertical="center"/>
    </xf>
    <xf numFmtId="0" fontId="0" fillId="2" borderId="0" xfId="0" applyFill="1" applyAlignment="1">
      <alignment vertical="center"/>
    </xf>
    <xf numFmtId="43" fontId="0" fillId="2" borderId="0" xfId="1" applyFont="1" applyFill="1" applyBorder="1" applyAlignment="1">
      <alignment horizontal="right" vertical="center"/>
    </xf>
    <xf numFmtId="43" fontId="3" fillId="0" borderId="0" xfId="1" applyFont="1" applyAlignment="1">
      <alignment vertical="center"/>
    </xf>
    <xf numFmtId="43" fontId="1" fillId="0" borderId="0" xfId="1" applyFont="1" applyAlignment="1">
      <alignment horizontal="right" vertical="center"/>
    </xf>
    <xf numFmtId="43" fontId="3" fillId="0" borderId="1" xfId="1" applyFont="1" applyBorder="1" applyAlignment="1">
      <alignment horizontal="right" vertical="center"/>
    </xf>
  </cellXfs>
  <cellStyles count="3">
    <cellStyle name="Comma" xfId="1" builtinId="3"/>
    <cellStyle name="Normal" xfId="0" builtinId="0"/>
    <cellStyle name="Percent" xfId="2" builtinId="5"/>
  </cellStyles>
  <dxfs count="318">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val="0"/>
        <i val="0"/>
        <strike val="0"/>
        <condense val="0"/>
        <extend val="0"/>
        <outline val="0"/>
        <shadow val="0"/>
        <u val="none"/>
        <vertAlign val="baseline"/>
        <sz val="11"/>
        <color theme="1"/>
        <name val="Calibri"/>
        <family val="2"/>
        <scheme val="minor"/>
      </font>
      <numFmt numFmtId="14" formatCode="0.00%"/>
      <alignment horizontal="right" vertical="center" textRotation="0" wrapText="0" indent="0" justifyLastLine="0" shrinkToFit="0" readingOrder="0"/>
      <border diagonalUp="0" diagonalDown="0">
        <left style="thin">
          <color indexed="64"/>
        </left>
        <right/>
        <top style="thin">
          <color indexed="64"/>
        </top>
        <bottom style="thin">
          <color indexed="64"/>
        </bottom>
        <vertical/>
        <horizontal/>
      </border>
    </dxf>
    <dxf>
      <numFmt numFmtId="35" formatCode="_ * #,##0.00_ ;_ * \-#,##0.00_ ;_ * &quot;-&quot;??_ ;_ @_ "/>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5" formatCode="_ * #,##0.00_ ;_ * \-#,##0.00_ ;_ * &quot;-&quot;??_ ;_ @_ "/>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4" formatCode="0.0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4" formatCode="0.0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4" formatCode="0.0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alignment horizontal="right" vertical="center" textRotation="0" wrapText="0" indent="0" justifyLastLine="0" shrinkToFit="0" readingOrder="0"/>
      <border diagonalUp="0" diagonalDown="0" outline="0">
        <left style="thin">
          <color indexed="64"/>
        </left>
        <right style="thin">
          <color indexed="64"/>
        </right>
        <top/>
        <bottom/>
      </border>
    </dxf>
    <dxf>
      <numFmt numFmtId="14" formatCode="0.00%"/>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5" formatCode="_ * #,##0.00_ ;_ * \-#,##0.00_ ;_ * &quot;-&quot;??_ ;_ @_ "/>
      <fill>
        <patternFill patternType="solid">
          <fgColor indexed="64"/>
          <bgColor rgb="FF002060"/>
        </patternFill>
      </fill>
      <alignment horizontal="right" vertical="center" textRotation="0" wrapText="0" indent="0" justifyLastLine="0" shrinkToFit="0" readingOrder="0"/>
    </dxf>
    <dxf>
      <alignment horizontal="right"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rgb="FF002060"/>
        </patternFill>
      </fill>
      <alignment horizontal="center" vertical="center" textRotation="0" wrapText="1"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alignment horizontal="righ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vertical="center" textRotation="0" wrapText="0" indent="0" justifyLastLine="0" shrinkToFit="0" readingOrder="0"/>
    </dxf>
    <dxf>
      <alignment vertical="center" textRotation="0" wrapText="0" indent="0" justifyLastLine="0" shrinkToFit="0" readingOrder="0"/>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vertical="center" textRotation="0" wrapText="0" indent="0" justifyLastLine="0" shrinkToFit="0" readingOrder="0"/>
    </dxf>
    <dxf>
      <alignment vertical="center" textRotation="0" wrapText="0" indent="0" justifyLastLine="0" shrinkToFit="0" readingOrder="0"/>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ichStyles" Target="richData/richStyles.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Structure" Target="richData/rdrichvaluestructure.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06/relationships/rdRichValue" Target="richData/rdrichvalue.xml"/><Relationship Id="rId5" Type="http://schemas.openxmlformats.org/officeDocument/2006/relationships/worksheet" Target="worksheets/sheet5.xml"/><Relationship Id="rId15" Type="http://schemas.microsoft.com/office/2017/06/relationships/rdSupportingPropertyBag" Target="richData/rdsupportingpropertybag.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SupportingPropertyBagStructure" Target="richData/rdsupportingpropertybagstructur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49">
  <rv s="0">
    <v>https://www.bing.com/financeapi/forcetrigger?t=a1ye2w&amp;q=XNYS%3aNEE&amp;form=skydnc</v>
    <v>Learn more on Bing</v>
  </rv>
  <rv s="1">
    <v>en-IN</v>
    <v>a1ye2w</v>
    <v>268435456</v>
    <v>1</v>
    <v>Powered by Refinitiv</v>
    <v>0</v>
    <v>NEXTERA ENERGY, INC. (XNYS:NEE)</v>
    <v>2</v>
    <v>3</v>
    <v>Finance</v>
    <v>4</v>
    <v>87.53</v>
    <v>61.72</v>
    <v>0.72150000000000003</v>
    <v>-1.05</v>
    <v>-1.2244999999999999E-2</v>
    <v>USD</v>
    <v>NextEra Energy, Inc. is an electric power and energy infrastructure company. It operates through its wholly owned subsidiaries, NextEra Energy Resources, LLC and NextEra Energy Transmission, LLC (collectively, NEER) and Florida Power &amp; Light Company (FPL). Its segments include NEER and FPL. FPL segment is a rate-regulated electric utility engaged in the generation, transmission, distribution and sale of electric energy in Florida. FPL has approximately 35,052 megawatts of net generating capacity, over 91,000 circuit miles of transmission and distribution lines and 921 substations. The NEER segment owns, develops, constructs, manages and operates electric generation facilities in wholesale energy markets in the United States and Canada and includes assets and investments in other businesses with a clean energy focus, such as battery storage, natural gas pipelines, and renewable fuels. It owns, develops, constructs and operates rate-regulated transmission facilities in North America.</v>
    <v>16800</v>
    <v>New York Stock Exchange</v>
    <v>XNYS</v>
    <v>XNYS</v>
    <v>700 Universe Blvd, JUNO BEACH, FL, 33408 US</v>
    <v>86.69</v>
    <v>Electrical Utilities &amp; IPPs</v>
    <v>Stock</v>
    <v>45980.04051259219</v>
    <v>0</v>
    <v>84.62</v>
    <v>176397067000</v>
    <v>NEXTERA ENERGY, INC.</v>
    <v>NEXTERA ENERGY, INC.</v>
    <v>86.12</v>
    <v>26.881399999999999</v>
    <v>85.75</v>
    <v>84.7</v>
    <v>2082610000</v>
    <v>NEE</v>
    <v>NEXTERA ENERGY, INC. (XNYS:NEE)</v>
    <v>348</v>
    <v>9248660</v>
    <v>1984</v>
  </rv>
  <rv s="2">
    <v>1</v>
  </rv>
  <rv s="0">
    <v>https://www.bing.com/financeapi/forcetrigger?t=bpiyqh&amp;q=XNYS%3aDUK+PR+A&amp;form=skydnc</v>
    <v>Learn more on Bing</v>
  </rv>
  <rv s="3">
    <v>en-IN</v>
    <v>bpiyqh</v>
    <v>268435456</v>
    <v>1</v>
    <v>Powered by Refinitiv</v>
    <v>5</v>
    <v>DUKE ENERGY CORPORATION (XNYS:DUK PR A)</v>
    <v>2</v>
    <v>6</v>
    <v>Finance</v>
    <v>7</v>
    <v>25.405000000000001</v>
    <v>24.06</v>
    <v>0.47370000000000001</v>
    <v>0.04</v>
    <v>1.6100000000000001E-3</v>
    <v>USD</v>
    <v>Duke Energy Corporation is an energy holding company. The Company operates through two segments: Electric Utilities and Infrastructure (EU&amp;I) and Gas Utilities and Infrastructure (GU&amp;I). The EU&amp;I segment conducts operations primarily through the regulated public utilities of Duke Energy Carolinas, Duke Energy Progress, Duke Energy Florida, Duke Energy Indiana and Duke Energy Ohio. EU&amp;I provides retail electric service through the generation, transmission, distribution, and sale of electricity to customers within the Southeast and Midwest regions of the United States. The GU&amp;I segment conducts natural gas operations primarily through the regulated public utilities of Piedmont, Duke Energy Ohio, and Duke Energy Kentucky. GU&amp;I serves residential, commercial, industrial, and power generation natural gas customers, including customers served by municipalities who are wholesale customers. It also purchases a diverse portfolio of transportation and storage services from interstate pipelines.</v>
    <v>26413</v>
    <v>New York Stock Exchange</v>
    <v>XNYS</v>
    <v>XNYS</v>
    <v>525 South Tryon Street, CHARLOTTE, NC, 28202-1803 US</v>
    <v>24.9</v>
    <v>Electrical Utilities &amp; IPPs</v>
    <v>Stock</v>
    <v>45980.000000034372</v>
    <v>3</v>
    <v>24.84</v>
    <v>97347630000</v>
    <v>DUKE ENERGY CORPORATION</v>
    <v>DUKE ENERGY CORPORATION</v>
    <v>24.85</v>
    <v>24.85</v>
    <v>24.89</v>
    <v>777661200</v>
    <v>DUK PR A</v>
    <v>DUKE ENERGY CORPORATION (XNYS:DUK PR A)</v>
    <v>47942</v>
    <v>46031</v>
    <v>2005</v>
  </rv>
  <rv s="2">
    <v>4</v>
  </rv>
  <rv s="0">
    <v>https://www.bing.com/financeapi/forcetrigger?t=a1qpw7&amp;q=XNYS%3aD&amp;form=skydnc</v>
    <v>Learn more on Bing</v>
  </rv>
  <rv s="1">
    <v>en-IN</v>
    <v>a1qpw7</v>
    <v>268435456</v>
    <v>1</v>
    <v>Powered by Refinitiv</v>
    <v>0</v>
    <v>Dominion Energy, Inc. (XNYS:D)</v>
    <v>2</v>
    <v>3</v>
    <v>Finance</v>
    <v>7</v>
    <v>62.5197</v>
    <v>48.07</v>
    <v>0.67079999999999995</v>
    <v>-0.05</v>
    <v>-8.1299999999999992E-4</v>
    <v>USD</v>
    <v>Dominion Energy, Inc. provides regulated electricity service to about 3.6 million homes and businesses in Virginia, North Carolina, and South Carolina, and regulated natural gas service to 500,000 customers in South Carolina. It is a developer and operator of regulated offshore wind and solar power and the producer of carbon-free electricity in New England. Its Dominion Energy Virginia segment is composed of Virginia Power’s regulated electric transmission, distribution, and generation operations, which serve homes and businesses in Virginia and North Carolina. Its Dominion Energy South Carolina segment consists of DESC’s generation, transmission, and distribution of electricity to customers in the central, southern and southwestern portions of South Carolina and the distribution of natural gas to residential, commercial and industrial customers in South Carolina. Its Contracted Energy segment includes non-regulated electric generation fleet and renewable natural gas operations.</v>
    <v>14700</v>
    <v>New York Stock Exchange</v>
    <v>XNYS</v>
    <v>XNYS</v>
    <v>600 EAST CANAL STREET, RICHMOND, VA, 23219 US</v>
    <v>62.18</v>
    <v>Electrical Utilities &amp; IPPs</v>
    <v>Stock</v>
    <v>45980.039289803128</v>
    <v>6</v>
    <v>61.27</v>
    <v>52472972285</v>
    <v>Dominion Energy, Inc.</v>
    <v>Dominion Energy, Inc.</v>
    <v>61.69</v>
    <v>23.0669</v>
    <v>61.5</v>
    <v>61.45</v>
    <v>853913300</v>
    <v>D</v>
    <v>Dominion Energy, Inc. (XNYS:D)</v>
    <v>7127536</v>
    <v>4689371</v>
    <v>1983</v>
  </rv>
  <rv s="2">
    <v>7</v>
  </rv>
  <rv s="0">
    <v>https://www.bing.com/financeapi/forcetrigger?t=a23a5r&amp;q=XNYS%3aSO&amp;form=skydnc</v>
    <v>Learn more on Bing</v>
  </rv>
  <rv s="1">
    <v>en-IN</v>
    <v>a23a5r</v>
    <v>268435456</v>
    <v>1</v>
    <v>Powered by Refinitiv</v>
    <v>0</v>
    <v>THE SOUTHERN COMPANY (XNYS:SO)</v>
    <v>2</v>
    <v>3</v>
    <v>Finance</v>
    <v>7</v>
    <v>100.83499999999999</v>
    <v>80.459999999999994</v>
    <v>0.4486</v>
    <v>0.18</v>
    <v>1.9870000000000001E-3</v>
    <v>USD</v>
    <v>The Southern Company is an energy provider. The Company owns three traditional electric operating companies, Southern Power Company and Southern Company Gas. The traditional electric operating companies-Alabama Power, Georgia Power and Mississippi Power-are operating public utility companies providing electric service to retail customers in three Southeastern states in addition to wholesale customers in the Southeast. The Southern Power Company develops, constructs, acquires, owns, and manages power generation assets, including renewable energy projects, and sells electricity at market-based rates in the wholesale market. The Southern Company Gas is an energy services holding company whose primary business is the distribution of natural gas in four states - Illinois, Georgia, Virginia, and Tennessee, through the natural gas distribution utilities. Southern Company Gas is also involved in several other businesses that are complementary to the distribution of natural gas.</v>
    <v>28600</v>
    <v>New York Stock Exchange</v>
    <v>XNYS</v>
    <v>XNYS</v>
    <v>30 Ivan Allen Jr. Blvd., N.W., ATLANTA, GA, 30308 US</v>
    <v>91.41</v>
    <v>Electrical Utilities &amp; IPPs</v>
    <v>Stock</v>
    <v>45979.970274675783</v>
    <v>9</v>
    <v>90.530100000000004</v>
    <v>99936289800</v>
    <v>THE SOUTHERN COMPANY</v>
    <v>THE SOUTHERN COMPANY</v>
    <v>91.04</v>
    <v>22.517900000000001</v>
    <v>90.58</v>
    <v>90.76</v>
    <v>1101105000</v>
    <v>SO</v>
    <v>THE SOUTHERN COMPANY (XNYS:SO)</v>
    <v>1</v>
    <v>6105003</v>
    <v>1945</v>
  </rv>
  <rv s="2">
    <v>10</v>
  </rv>
  <rv s="0">
    <v>https://www.bing.com/financeapi/forcetrigger?t=ay4lu2&amp;q=XNAS%3aXEL&amp;form=skydnc</v>
    <v>Learn more on Bing</v>
  </rv>
  <rv s="1">
    <v>en-IN</v>
    <v>ay4lu2</v>
    <v>268435456</v>
    <v>1</v>
    <v>Powered by Refinitiv</v>
    <v>0</v>
    <v>Xcel Energy Inc. (XNAS:XEL)</v>
    <v>2</v>
    <v>3</v>
    <v>Finance</v>
    <v>7</v>
    <v>83.01</v>
    <v>62.58</v>
    <v>0.45190000000000002</v>
    <v>-0.31</v>
    <v>-3.8129999999999995E-3</v>
    <v>USD</v>
    <v>Xcel Energy Inc. is an electric and natural gas delivery company. The Company provides a comprehensive portfolio of energy-related products and services to approximately 3.9 million electric customers and 2.2 million natural gas customers through four utility subsidiaries, NSP-Minnesota, NSP-Wisconsin, PSCo and SPS. The Company operates through two segments. Its regulated electric utility segment generates, purchases, transmits, distributes and sells electricity in Colorado, Michigan, Minnesota, New Mexico, North Dakota, South Dakota, Texas and Wisconsin. In addition, this segment includes sales for resale and provides wholesale transmission service to various entities in the United States. The regulated electric utility segment also includes wholesale commodity and trading operations. Its regulated natural gas utility segment purchases, transports, stores, distributes and sells natural gas primarily in portions of Colorado, Michigan, Minnesota, North Dakota and Wisconsin.</v>
    <v>11380</v>
    <v>Nasdaq Stock Market</v>
    <v>XNAS</v>
    <v>XNAS</v>
    <v>414 Nicollet Mall, MINNEAPOLIS, MN, 55401 US</v>
    <v>82.28</v>
    <v>Electrical Utilities &amp; IPPs</v>
    <v>Stock</v>
    <v>45980.040202800781</v>
    <v>12</v>
    <v>80.95</v>
    <v>47914723800</v>
    <v>Xcel Energy Inc.</v>
    <v>Xcel Energy Inc.</v>
    <v>81.75</v>
    <v>24.6965</v>
    <v>81.31</v>
    <v>81</v>
    <v>591539800</v>
    <v>XEL</v>
    <v>Xcel Energy Inc. (XNAS:XEL)</v>
    <v>3754091</v>
    <v>4704895</v>
    <v>1909</v>
  </rv>
  <rv s="2">
    <v>13</v>
  </rv>
  <rv s="0">
    <v>https://www.bing.com/financeapi/forcetrigger?t=ahj8rw&amp;q=XNSE%3aNTPC&amp;form=skydnc</v>
    <v>Learn more on Bing</v>
  </rv>
  <rv s="1">
    <v>en-IN</v>
    <v>ahj8rw</v>
    <v>268435456</v>
    <v>1</v>
    <v>Powered by Refinitiv</v>
    <v>0</v>
    <v>NTPC LIMITED (XNSE:NTPC)</v>
    <v>2</v>
    <v>8</v>
    <v>Finance</v>
    <v>9</v>
    <v>380</v>
    <v>292.8</v>
    <v>1.0946</v>
    <v>-2</v>
    <v>-6.0889999999999998E-3</v>
    <v>INR</v>
    <v>NTPC Limited is an India-based power generating company. The Company is primarily involved in the generation and sale of bulk power to State Power Utilities. Its segments include Generation of energy and Others. Its generation of energy segment is engaged in generation and sale of bulk power to state power utilities. Its other segment is focused on providing consultancy, project management and supervision, energy trading, oil &amp; gas exploration, and coal mining. The Company operates a total of 92 power stations across various Indian states, either independently or through its joint ventures (JVs) and subsidiaries. Its subsidiaries include NTPC Vidyut Vyapar Nigam Limited, NTPC Electric Supply Company Limited, Bhartiya Rail Bijlee Company Limited, Patratu Vidyut Utpadan Nigam Limited, NTPC Mining Limited, North Eastern Electric Power Corporation Limited, THDC India Limited, NTPC EDMC Waste Solutions Private Limited, NTPC Green Energy Limited, and Ratnagiri Gas and Power Private Limited.</v>
    <v>16646</v>
    <v>National Stock Exchange of India</v>
    <v>XNSE</v>
    <v>XNSE</v>
    <v>NTPC Bhawan, SCOPE Complex, Institutional Area, Lodhi Road, NEW DELHI, DELHI, 110003 IN</v>
    <v>328.95</v>
    <v>Electrical Utilities &amp; IPPs</v>
    <v>Stock</v>
    <v>45980.405671296299</v>
    <v>15</v>
    <v>325.05</v>
    <v>3201839000000</v>
    <v>NTPC LIMITED</v>
    <v>NTPC LIMITED</v>
    <v>328.95</v>
    <v>13.328099999999999</v>
    <v>328.45</v>
    <v>326.45</v>
    <v>9696666000</v>
    <v>NTPC</v>
    <v>NTPC LIMITED (XNSE:NTPC)</v>
    <v>6399525</v>
    <v>8322570</v>
    <v>1975</v>
  </rv>
  <rv s="2">
    <v>16</v>
  </rv>
  <rv s="0">
    <v>https://www.bing.com/financeapi/forcetrigger?t=a1rdzr&amp;q=XNYS%3aDUK&amp;form=skydnc</v>
    <v>Learn more on Bing</v>
  </rv>
  <rv s="1">
    <v>en-IN</v>
    <v>a1rdzr</v>
    <v>268435456</v>
    <v>1</v>
    <v>Powered by Refinitiv</v>
    <v>0</v>
    <v>DUKE ENERGY CORPORATION (XNYS:DUK)</v>
    <v>2</v>
    <v>3</v>
    <v>Finance</v>
    <v>7</v>
    <v>130.03</v>
    <v>105.2</v>
    <v>0.47370000000000001</v>
    <v>-1.38</v>
    <v>-1.1024000000000001E-2</v>
    <v>USD</v>
    <v>Duke Energy Corporation is an energy holding company. The Company operates through two segments: Electric Utilities and Infrastructure (EU&amp;I) and Gas Utilities and Infrastructure (GU&amp;I). The EU&amp;I segment conducts operations primarily through the regulated public utilities of Duke Energy Carolinas, Duke Energy Progress, Duke Energy Florida, Duke Energy Indiana and Duke Energy Ohio. EU&amp;I provides retail electric service through the generation, transmission, distribution, and sale of electricity to customers within the Southeast and Midwest regions of the United States. The GU&amp;I segment conducts natural gas operations primarily through the regulated public utilities of Piedmont, Duke Energy Ohio, and Duke Energy Kentucky. GU&amp;I serves residential, commercial, industrial, and power generation natural gas customers, including customers served by municipalities who are wholesale customers. It also purchases a diverse portfolio of transportation and storage services from interstate pipelines.</v>
    <v>26413</v>
    <v>New York Stock Exchange</v>
    <v>XNYS</v>
    <v>XNYS</v>
    <v>525 South Tryon Street, CHARLOTTE, NC, 28202-1803 US</v>
    <v>125.93</v>
    <v>Electrical Utilities &amp; IPPs</v>
    <v>Stock</v>
    <v>45980.04135738359</v>
    <v>18</v>
    <v>123.79</v>
    <v>96274456560</v>
    <v>DUKE ENERGY CORPORATION</v>
    <v>DUKE ENERGY CORPORATION</v>
    <v>125.65</v>
    <v>19.450800000000001</v>
    <v>125.18</v>
    <v>123.8</v>
    <v>777661200</v>
    <v>DUK</v>
    <v>DUKE ENERGY CORPORATION (XNYS:DUK)</v>
    <v>10</v>
    <v>3318889</v>
    <v>2005</v>
  </rv>
  <rv s="2">
    <v>19</v>
  </rv>
  <rv s="0">
    <v>https://www.bing.com/financeapi/forcetrigger?t=amfx6h&amp;q=BMEX%3aIBE&amp;form=skydnc</v>
    <v>Learn more on Bing</v>
  </rv>
  <rv s="4">
    <v>en-IN</v>
    <v>amfx6h</v>
    <v>268435456</v>
    <v>1</v>
    <v>Powered by Refinitiv</v>
    <v>10</v>
    <v>Iberdrola SA (BMEX:IBE)</v>
    <v>2</v>
    <v>11</v>
    <v>Finance</v>
    <v>12</v>
    <v>18.149999999999999</v>
    <v>12.332000000000001</v>
    <v>0.65329999999999999</v>
    <v>-7.4999999999999997E-2</v>
    <v>-4.1679999999999998E-3</v>
    <v>EUR</v>
    <v>IBERDROLA, S.A. is engaged in carrying out electricity and gas activities in Spain and abroad. The Company's segments include Network business, Deregulated business, Renewable business and Other businesses. The Company's Network business segment includes all the energy transmission and distribution activities, and any other regulated activity originated in Spain, the United Kingdom, the United States and Brazil. Its Deregulated business segment includes electricity generation and sales businesses, as well as gas trading and storage businesses carried on by the Company in Spain, Portugal, the United Kingdom and North America. Its Renewable business segment includes activities related to renewable energies in Spain, the United Kingdom, the United States and the rest of the world. Its Other businesses segment includes the engineering and construction businesses and the non-power businesses. The Company offers its customers power and natural gas, both in the wholesale and retail markets.</v>
    <v>45273</v>
    <v>Bolsas y Mercados Espanoles</v>
    <v>BMEX</v>
    <v>BMEX</v>
    <v>Plaza Euskadi numero 5, BILBAO, VIZCAYA ES</v>
    <v>17.95</v>
    <v>Electrical Utilities &amp; IPPs</v>
    <v>Stock</v>
    <v>45980.40556712963</v>
    <v>21</v>
    <v>17.84</v>
    <v>121230900000</v>
    <v>Iberdrola SA</v>
    <v>Iberdrola SA</v>
    <v>17.95</v>
    <v>21.774000000000001</v>
    <v>17.995000000000001</v>
    <v>17.920000000000002</v>
    <v>6681228000</v>
    <v>IBE</v>
    <v>Iberdrola SA (BMEX:IBE)</v>
    <v>522508</v>
    <v>5965730</v>
  </rv>
  <rv s="2">
    <v>22</v>
  </rv>
  <rv s="0">
    <v>https://www.bing.com/financeapi/forcetrigger?t=ajeyzr&amp;q=XMIL%3aENEL&amp;form=skydnc</v>
    <v>Learn more on Bing</v>
  </rv>
  <rv s="1">
    <v>en-IN</v>
    <v>ajeyzr</v>
    <v>268435456</v>
    <v>1</v>
    <v>Powered by Refinitiv</v>
    <v>0</v>
    <v>Enel SpA (XMIL:ENEL)</v>
    <v>2</v>
    <v>13</v>
    <v>Finance</v>
    <v>14</v>
    <v>9.11</v>
    <v>6.52</v>
    <v>0.73080000000000001</v>
    <v>-0.17</v>
    <v>-1.8877999999999999E-2</v>
    <v>EUR</v>
    <v>Enel SpA is an Italy-based multinational company primarily engaged in power distribution segment and an integrated operator in the global power, gas and renewables markets. The Company is active in Europe and is present in more than 30 countries, producing energy with over 68 gigawatt (GW) of installed capacity. Enel distributes electricity through a network of over 2.2 million kilometers, supplying over 70 million business and household end users globally. Enel's renewables arm Enel Green Power supplies energy of wind, solar, geothermal and hydropower plants installed in Europe, the Americas, Africa, Asia and Oceania. Enel X is Enel's global business line focusing on energy-related products and services including distribution systems and batteries, smart lighting and energy and electric mobility.</v>
    <v>61192</v>
    <v>Borsa Italiana</v>
    <v>XMIL</v>
    <v>XMIL</v>
    <v>Viale Regina Margherita, 137, ROMA, ROMA, 00198 IT</v>
    <v>8.9459999999999997</v>
    <v>Electrical Utilities &amp; IPPs</v>
    <v>Stock</v>
    <v>45980.405578703707</v>
    <v>24</v>
    <v>8.7880000000000003</v>
    <v>92333790000</v>
    <v>Enel SpA</v>
    <v>Enel SpA</v>
    <v>8.9459999999999997</v>
    <v>14.620200000000001</v>
    <v>9.0050000000000008</v>
    <v>8.8350000000000009</v>
    <v>10166680000</v>
    <v>ENEL</v>
    <v>Enel SpA (XMIL:ENEL)</v>
    <v>5000145</v>
    <v>18411300</v>
    <v>1989</v>
  </rv>
  <rv s="2">
    <v>25</v>
  </rv>
  <rv s="0">
    <v>https://www.bing.com/financeapi/forcetrigger?t=a25l52&amp;q=XNYS%3aVST&amp;form=skydnc</v>
    <v>Learn more on Bing</v>
  </rv>
  <rv s="1">
    <v>en-IN</v>
    <v>a25l52</v>
    <v>268435456</v>
    <v>1</v>
    <v>Powered by Refinitiv</v>
    <v>0</v>
    <v>VISTRA CORP. (XNYS:VST)</v>
    <v>2</v>
    <v>3</v>
    <v>Finance</v>
    <v>4</v>
    <v>219.82</v>
    <v>90.51</v>
    <v>1.409</v>
    <v>-0.57999999999999996</v>
    <v>-3.3139999999999997E-3</v>
    <v>USD</v>
    <v>Vistra Corp. is an integrated retail electricity and power generation company that provides essential resources to customers, businesses, and communities from California to Maine. It operates a reliable power generation fleet of natural gas, nuclear, coal, solar, and battery energy storage facilities while taking an innovative, customer-centric approach to its retail business. Its segments include Retail, Texas, East, West, and Asset Closure. The Retail segment is engaged in retail sales of electricity and natural gas to residential, commercial and industrial customers. The Texas and East segments are engaged in electricity generation, wholesale energy sales and purchases, commodity risk management activities, fuel procurement, and logistics management. The West segment represents results from the CAISO market, including its battery ESS projects at its Moss Landing power plant site. The Asset Closure segment is engaged in the decommissioning and reclamation of retired plants and mines.</v>
    <v>6850</v>
    <v>New York Stock Exchange</v>
    <v>XNYS</v>
    <v>XNYS</v>
    <v>6555 Sierra Drive, IRVING, TX, 75039 US</v>
    <v>177.42</v>
    <v>Electrical Utilities &amp; IPPs</v>
    <v>Stock</v>
    <v>45980.040501735937</v>
    <v>27</v>
    <v>170.66</v>
    <v>59097943709</v>
    <v>VISTRA CORP.</v>
    <v>VISTRA CORP.</v>
    <v>172.66</v>
    <v>63.252499999999998</v>
    <v>175</v>
    <v>174.42</v>
    <v>338825500</v>
    <v>VST</v>
    <v>VISTRA CORP. (XNYS:VST)</v>
    <v>1026</v>
    <v>4704526</v>
    <v>2016</v>
  </rv>
  <rv s="2">
    <v>28</v>
  </rv>
  <rv s="0">
    <v>https://www.bing.com/financeapi/forcetrigger?t=a1yh9c&amp;q=XNYS%3aNGG&amp;form=skydnc</v>
    <v>Learn more on Bing</v>
  </rv>
  <rv s="1">
    <v>en-IN</v>
    <v>a1yh9c</v>
    <v>268435456</v>
    <v>1</v>
    <v>Powered by Refinitiv</v>
    <v>0</v>
    <v>NATIONAL GRID PLC (XNYS:NGG)</v>
    <v>2</v>
    <v>3</v>
    <v>Finance</v>
    <v>4</v>
    <v>78.489999999999995</v>
    <v>55.82</v>
    <v>0.76449999999999996</v>
    <v>-0.41</v>
    <v>-5.2599999999999999E-3</v>
    <v>USD</v>
    <v>National Grid plc is a United Kingdom-based energy company. The Company's principal activities involve the transmission and distribution of electricity in Great Britain and of electricity and gas in the northeastern United States. Its segments include UK Electricity Transmission, UK Electricity Distribution, New England, New York and National Grid Ventures. The UK Electricity Transmission segment includes the high-voltage electricity transmission networks in England and Wales. The UK Electricity Distribution segment includes electricity distribution networks of NGED in the East Midlands, West Midlands and South West of England and South Wales. The New England segment includes electricity distribution networks, high-voltage electricity transmission networks and gas distribution networks in New England. The New York segment includes electricity distribution networks, high-voltage electricity transmission networks and gas distribution networks in New York.</v>
    <v>31654</v>
    <v>New York Stock Exchange</v>
    <v>XNYS</v>
    <v>XNYS</v>
    <v>1-3 Strand, LONDON, WC2N 5EH GB</v>
    <v>78.27</v>
    <v>Multiline Utilities</v>
    <v>Stock</v>
    <v>45979.964377245313</v>
    <v>30</v>
    <v>77.319999999999993</v>
    <v>76886640000</v>
    <v>NATIONAL GRID PLC</v>
    <v>NATIONAL GRID PLC</v>
    <v>77.84</v>
    <v>19.8263</v>
    <v>77.94</v>
    <v>77.53</v>
    <v>992307600</v>
    <v>NGG</v>
    <v>NATIONAL GRID PLC (XNYS:NGG)</v>
    <v>2637</v>
    <v>673790</v>
    <v>2000</v>
  </rv>
  <rv s="2">
    <v>31</v>
  </rv>
  <rv s="0">
    <v>https://www.bing.com/financeapi/forcetrigger?t=a1wgpr&amp;q=XNYS%3aKEP&amp;form=skydnc</v>
    <v>Learn more on Bing</v>
  </rv>
  <rv s="1">
    <v>en-IN</v>
    <v>a1wgpr</v>
    <v>268435456</v>
    <v>1</v>
    <v>Powered by Refinitiv</v>
    <v>0</v>
    <v>KOREA ELECTRIC POWER CORPORATION (XNYS:KEP)</v>
    <v>2</v>
    <v>3</v>
    <v>Finance</v>
    <v>7</v>
    <v>17.155000000000001</v>
    <v>6.68</v>
    <v>0.92869999999999997</v>
    <v>0.18</v>
    <v>1.0645E-2</v>
    <v>USD</v>
    <v>Korea Electric Power Corp is a Korea-based company principally engaged in the sale and delivery of electricity. The Company operates its business through four segments. The Electricity Sale Business segment is engaged in the sale and delivery of electricity and the development of power resources, among others. The Nuclear Power Business segment is engaged in the nuclear power, hydropower and pumped power generation business. The Thermal Power Business segment is engaged in power generation business such as bituminous coal, anthracite coal, liquefied natural gas (LNG) and others. The Other Business segment is involved in the design of power plants, the maintenance of power generation facilities, the supply of nuclear fuel, the provision of power information and communications technologies (ICT) services, the operation of renewable and solar power generation businesses, and the emission of greenhouse gases.</v>
    <v>48809</v>
    <v>New York Stock Exchange</v>
    <v>XNYS</v>
    <v>XNYS</v>
    <v>55, Jeollyeok-ro, NAJU, JEOLLANAM-DO, 58322 KR</v>
    <v>17.155000000000001</v>
    <v>Electrical Utilities &amp; IPPs</v>
    <v>Stock</v>
    <v>45979.881944444445</v>
    <v>33</v>
    <v>16.760000000000002</v>
    <v>21645110000</v>
    <v>KOREA ELECTRIC POWER CORPORATION</v>
    <v>KOREA ELECTRIC POWER CORPORATION</v>
    <v>16.98</v>
    <v>3.74</v>
    <v>16.91</v>
    <v>17.09</v>
    <v>1283928000</v>
    <v>KEP</v>
    <v>KOREA ELECTRIC POWER CORPORATION (XNYS:KEP)</v>
    <v>477007</v>
    <v>451126</v>
    <v>1961</v>
  </rv>
  <rv s="2">
    <v>34</v>
  </rv>
  <rv s="0">
    <v>http://en.wikipedia.org/wiki/Public_domain</v>
    <v>Public domain</v>
  </rv>
  <rv s="0">
    <v>http://zh.wikipedia.org/wiki/太平洋瓦電公司</v>
    <v>Wikipedia</v>
  </rv>
  <rv s="5">
    <v>36</v>
    <v>37</v>
  </rv>
  <rv s="6">
    <v>19</v>
    <v>https://www.bing.com/th?id=AMMS_d7c2863336a8698ebd1054cdf3b7bcff&amp;qlt=95</v>
    <v>38</v>
    <v>0</v>
    <v>https://www.bing.com/images/search?form=xlimg&amp;q=pacific+gas+and+electric+company</v>
    <v>Image of PG&amp;E CORPORATION</v>
  </rv>
  <rv s="0">
    <v>https://www.bing.com/financeapi/forcetrigger?t=a1zkar&amp;q=XNYS%3aPCG&amp;form=skydnc</v>
    <v>Learn more on Bing</v>
  </rv>
  <rv s="7">
    <v>en-IN</v>
    <v>a1zkar</v>
    <v>268435456</v>
    <v>1</v>
    <v>Powered by Refinitiv</v>
    <v>15</v>
    <v>PG&amp;E CORPORATION (XNYS:PCG)</v>
    <v>17</v>
    <v>18</v>
    <v>Finance</v>
    <v>7</v>
    <v>21.72</v>
    <v>12.97</v>
    <v>0.36509999999999998</v>
    <v>-0.18</v>
    <v>-1.1023E-2</v>
    <v>USD</v>
    <v>PG&amp;E Corporation is a holding company. The Company's primary operating subsidiary is Pacific Gas and Electric Company (the Utility), a public utility operating in Northern and Central California. The Utility is engaged in the sale and delivery of electricity and natural gas to customers. The Utility generates electricity and provides electric transmission and distribution services throughout its service area in northern and central California to residential, commercial, industrial, and agricultural customers. The Utility provides electricity, transmission, and distribution services in its service area. The Utility owns approximately 18,000 circuit miles of interconnected transmission lines operating at voltages ranging from 60 kilovolts (kV) to 500 kV. The Utility also operates 33 electric transmission substations with a capacity of approximately 67,000 megavolt amperes (MVA). Customers can also obtain electricity from alternative providers such as municipalities (CCAs).</v>
    <v>10</v>
    <v>New York Stock Exchange</v>
    <v>XNYS</v>
    <v>XNYS</v>
    <v>300 Lakeside Drive, OAKLAND, CA, 94612 US</v>
    <v>16.54</v>
    <v>39</v>
    <v>Electrical Utilities &amp; IPPs</v>
    <v>Stock</v>
    <v>45980.03870841406</v>
    <v>40</v>
    <v>16.145</v>
    <v>35496246500</v>
    <v>PG&amp;E CORPORATION</v>
    <v>PG&amp;E CORPORATION</v>
    <v>16.350000000000001</v>
    <v>13.7742</v>
    <v>16.329999999999998</v>
    <v>16.149999999999999</v>
    <v>2197910000</v>
    <v>PCG</v>
    <v>PG&amp;E CORPORATION (XNYS:PCG)</v>
    <v>2</v>
    <v>20613063</v>
    <v>1995</v>
  </rv>
  <rv s="2">
    <v>41</v>
  </rv>
  <rv s="0">
    <v>https://www.bing.com/financeapi/forcetrigger?t=a1shjc&amp;q=XNAS%3aEXC&amp;form=skydnc</v>
    <v>Learn more on Bing</v>
  </rv>
  <rv s="1">
    <v>en-IN</v>
    <v>a1shjc</v>
    <v>268435456</v>
    <v>1</v>
    <v>Powered by Refinitiv</v>
    <v>0</v>
    <v>EXELON CORPORATION (XNAS:EXC)</v>
    <v>2</v>
    <v>3</v>
    <v>Finance</v>
    <v>7</v>
    <v>48.505000000000003</v>
    <v>35.94</v>
    <v>0.43619999999999998</v>
    <v>-0.22</v>
    <v>-4.7210000000000004E-3</v>
    <v>USD</v>
    <v>Exelon Corporation is a utility services holding company engaged in the energy transmission and distribution businesses through its subsidiaries, Commonwealth Edison Company (ComEd), PECO Energy Company (PECO), Baltimore Gas and Electric Company (BGE), Potomac Electric Power Company (Pepco), Delmarva Power &amp; Light Company (DPL) and Atlantic City Electric Company (ACE). Its segments include ComEd, PECO, BGE, Pepco, DPL and ACE. ComEd segment is engaged in purchasing and regulating the retail sale of electricity. PECO segment is engaged in purchasing and regulating the retail sale of electricity and natural gas. Through its business services subsidiary, Exelon Business Services Company, LLC (BSC), it provides its subsidiaries with a variety of support services at cost, including legal, human resources, finance, information technology and supply management services. BGE segment is focused on transmission and distribution of electricity and distribution of natural gas to retail customers.</v>
    <v>20000</v>
    <v>Nasdaq Stock Market</v>
    <v>XNAS</v>
    <v>XNAS</v>
    <v>10 S. Dearborn Street, Po Box 805379, CHICAGO, IL, 60680-5379 US</v>
    <v>46.85</v>
    <v>Electrical Utilities &amp; IPPs</v>
    <v>Stock</v>
    <v>45980.031852325781</v>
    <v>43</v>
    <v>46.21</v>
    <v>46857250200</v>
    <v>EXELON CORPORATION</v>
    <v>EXELON CORPORATION</v>
    <v>46.585000000000001</v>
    <v>16.604800000000001</v>
    <v>46.6</v>
    <v>46.38</v>
    <v>1010290000</v>
    <v>EXC</v>
    <v>EXELON CORPORATION (XNAS:EXC)</v>
    <v>112</v>
    <v>7752828</v>
    <v>1999</v>
  </rv>
  <rv s="2">
    <v>44</v>
  </rv>
  <rv s="0">
    <v>https://www.bing.com/financeapi/forcetrigger?t=aaybr7&amp;q=XTSE%3aFTS&amp;form=skydnc</v>
    <v>Learn more on Bing</v>
  </rv>
  <rv s="8">
    <v>en-IN</v>
    <v>aaybr7</v>
    <v>268435456</v>
    <v>1</v>
    <v>Powered by Refinitiv</v>
    <v>20</v>
    <v>Fortis Inc. (XTSE:FTS)</v>
    <v>2</v>
    <v>21</v>
    <v>Finance</v>
    <v>22</v>
    <v>74</v>
    <v>57.98</v>
    <v>0.3911</v>
    <v>-0.57999999999999996</v>
    <v>0</v>
    <v>-7.9170000000000004E-3</v>
    <v>0</v>
    <v>CAD</v>
    <v>Fortis Inc. is a Canada-based diversified regulated electric and gas utility holding company. Its regulated utilities include ITC, UNS Energy, Central Hudson, FortisBC Energy Inc., FortisAlberta Inc., FortisBC Inc. and Other electric. The ITC includes Investment Holdings Inc., ITC Holdings Corp. and the electric transmission operations of its regulated operating subsidiaries, which include International Transmission Company, Michigan Electric Transmission Company, LLC, ITC Midwest LLC and ITC Great Plains, LLC. UNS Energy includes UNS Energy Corporation, which primarily includes Tucson Electric Power Company, UNS Electric, Inc. and UNS Gas, Inc. The Central Hudson includes CH Energy Group, Inc., which primarily includes Central Hudson Gas &amp; Electric Corporation. Other Electric include Eastern Canadian and Caribbean utilities, as follows: Newfoundland Power Inc., Maritime Electric Company, Limited, FortisOntario Inc., and others.</v>
    <v>9600</v>
    <v>Toronto Stock Exchange</v>
    <v>XTSE</v>
    <v>XTSE</v>
    <v>5 Springdale Street, Fortis Place, Suite 1100, ST. JOHNS, NL, A1B 3T2 CA</v>
    <v>73.47</v>
    <v>Electrical Utilities &amp; IPPs</v>
    <v>Stock</v>
    <v>45979.888159722221</v>
    <v>46</v>
    <v>72.28</v>
    <v>36735887960</v>
    <v>Fortis Inc.</v>
    <v>Fortis Inc.</v>
    <v>73.2</v>
    <v>21.602799999999998</v>
    <v>73.260000000000005</v>
    <v>72.680000000000007</v>
    <v>72.680000000000007</v>
    <v>505447000</v>
    <v>FTS</v>
    <v>Fortis Inc. (XTSE:FTS)</v>
    <v>4118902</v>
    <v>2073500</v>
    <v>1987</v>
  </rv>
  <rv s="2">
    <v>47</v>
  </rv>
</rvData>
</file>

<file path=xl/richData/rdrichvaluestructure.xml><?xml version="1.0" encoding="utf-8"?>
<rvStructures xmlns="http://schemas.microsoft.com/office/spreadsheetml/2017/richdata" count="9">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5">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LearnMoreOnLink</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23">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 s="0">
      <v>1</v>
      <v>Name</v>
      <v>LearnMoreOnLink</v>
    </spb>
    <spb s="5">
      <v>1</v>
      <v>2</v>
      <v>1</v>
      <v>3</v>
      <v>1</v>
      <v>1</v>
      <v>1</v>
      <v>4</v>
      <v>4</v>
      <v>5</v>
      <v>6</v>
      <v>1</v>
      <v>1</v>
      <v>1</v>
      <v>4</v>
      <v>7</v>
      <v>8</v>
      <v>9</v>
      <v>4</v>
    </spb>
    <spb s="4">
      <v>Delayed 15 minutes</v>
      <v>from previous close</v>
      <v>from previous close</v>
      <v>Source: Nasdaq</v>
      <v>GMT</v>
    </spb>
    <spb s="3">
      <v>10</v>
      <v>2</v>
      <v>2</v>
      <v>10</v>
      <v>3</v>
      <v>10</v>
      <v>10</v>
      <v>10</v>
      <v>4</v>
      <v>4</v>
      <v>5</v>
      <v>11</v>
      <v>10</v>
      <v>10</v>
      <v>10</v>
      <v>4</v>
      <v>7</v>
      <v>8</v>
      <v>9</v>
      <v>4</v>
    </spb>
    <spb s="6">
      <v>Delayed 5 minutes</v>
      <v>from previous close</v>
      <v>from previous close</v>
      <v>GMT</v>
    </spb>
    <spb s="0">
      <v>2</v>
      <v>Name</v>
      <v>LearnMoreOnLink</v>
    </spb>
    <spb s="7">
      <v>12</v>
      <v>2</v>
      <v>2</v>
      <v>12</v>
      <v>3</v>
      <v>12</v>
      <v>12</v>
      <v>12</v>
      <v>4</v>
      <v>4</v>
      <v>5</v>
      <v>13</v>
      <v>12</v>
      <v>12</v>
      <v>12</v>
      <v>4</v>
      <v>7</v>
      <v>9</v>
      <v>4</v>
    </spb>
    <spb s="6">
      <v>Delayed 15 minutes</v>
      <v>from previous close</v>
      <v>from previous close</v>
      <v>GMT</v>
    </spb>
    <spb s="3">
      <v>12</v>
      <v>2</v>
      <v>2</v>
      <v>12</v>
      <v>3</v>
      <v>12</v>
      <v>12</v>
      <v>12</v>
      <v>4</v>
      <v>4</v>
      <v>5</v>
      <v>13</v>
      <v>12</v>
      <v>12</v>
      <v>12</v>
      <v>4</v>
      <v>7</v>
      <v>8</v>
      <v>9</v>
      <v>4</v>
    </spb>
    <spb s="4">
      <v>Delayed 15 minutes</v>
      <v>from previous close</v>
      <v>from previous close</v>
      <v>Borsa Italia</v>
      <v>GMT</v>
    </spb>
    <spb s="0">
      <v>3</v>
      <v>Name</v>
      <v>LearnMoreOnLink</v>
    </spb>
    <spb s="8">
      <v>0</v>
      <v>0</v>
    </spb>
    <spb s="9">
      <v>16</v>
      <v>1</v>
      <v>1</v>
      <v>1</v>
      <v>1</v>
    </spb>
    <spb s="10">
      <v>1</v>
      <v>2</v>
      <v>2</v>
      <v>1</v>
      <v>3</v>
      <v>1</v>
      <v>14</v>
      <v>1</v>
      <v>1</v>
      <v>4</v>
      <v>4</v>
      <v>5</v>
      <v>6</v>
      <v>1</v>
      <v>1</v>
      <v>1</v>
      <v>4</v>
      <v>7</v>
      <v>8</v>
      <v>9</v>
      <v>4</v>
    </spb>
    <spb s="11">
      <v>Powered by Refinitiv</v>
    </spb>
    <spb s="0">
      <v>4</v>
      <v>Name</v>
      <v>LearnMoreOnLink</v>
    </spb>
    <spb s="12">
      <v>15</v>
      <v>2</v>
      <v>2</v>
      <v>15</v>
      <v>3</v>
      <v>15</v>
      <v>15</v>
      <v>15</v>
      <v>4</v>
      <v>4</v>
      <v>5</v>
      <v>16</v>
      <v>15</v>
      <v>15</v>
      <v>15</v>
      <v>4</v>
      <v>7</v>
      <v>8</v>
      <v>9</v>
      <v>4</v>
      <v>15</v>
      <v>15</v>
      <v>5</v>
    </spb>
    <spb s="13">
      <v>at close</v>
      <v>from previous close</v>
      <v>from previous close</v>
      <v>GMT</v>
      <v>Delayed 20 minutes</v>
      <v>from close</v>
      <v>from close</v>
    </spb>
  </spbData>
</supportingPropertyBags>
</file>

<file path=xl/richData/rdsupportingpropertybagstructure.xml><?xml version="1.0" encoding="utf-8"?>
<spbStructures xmlns="http://schemas.microsoft.com/office/spreadsheetml/2017/richdata2" count="14">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Low" t="i"/>
    <k n="P/E"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Last trade time" t="s"/>
    <k n="Price (Extended hours)" t="s"/>
    <k n="Change (Extended hours)" t="s"/>
    <k n="Change % (Extended hours)"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yyyy/mm/dd\ hh:mm"/>
    </x:dxf>
    <x:dxf>
      <x:numFmt numFmtId="14" formatCode="0.00%"/>
    </x:dxf>
    <x:dxf>
      <x:numFmt numFmtId="3" formatCode="#,##0"/>
    </x:dxf>
    <x:dxf>
      <x:numFmt numFmtId="4" formatCode="#,##0.00"/>
    </x:dxf>
    <x:dxf>
      <x:numFmt numFmtId="1" formatCode="0"/>
    </x:dxf>
  </dxfs>
  <richProperties>
    <rPr n="NumberFormat" t="s"/>
    <rPr n="IsTitleField" t="b"/>
    <rPr n="IsHero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Sty dxfid="1">
      <rpv i="0" xml:space="preserve">_ [$₹-en-IN] * #,##0.00_ ;_ [$₹-en-IN] * -#,##0.00_ ;_ [$₹-en-IN] * "-"??_ ;_ @_ </rpv>
    </rSty>
    <rSty dxfid="1">
      <rpv i="0" xml:space="preserve">_ [$₹-en-IN] * #,##0_ ;_ [$₹-en-IN] * -#,##0_ ;_ [$₹-en-IN] * "-"_ ;_ @_ </rpv>
    </rSty>
    <rSty dxfid="1">
      <rpv i="0">_([$€-x-euro2] * #,##0.00_);_([$€-x-euro2] * (#,##0.00);_([$€-x-euro2] * "-"??_);_(@_)</rpv>
    </rSty>
    <rSty dxfid="1">
      <rpv i="0">_([$€-x-euro2] * #,##0_);_([$€-x-euro2] * (#,##0);_([$€-x-euro2] * "-"_);_(@_)</rpv>
    </rSty>
    <rSty>
      <rpv i="2">1</rpv>
    </rSty>
    <rSty dxfid="1">
      <rpv i="0">_-[$$-en-CA]* #,##0.00_-;-[$$-en-CA]* #,##0.00_-;_-[$$-en-CA]* "-"??_-;_-@_-</rpv>
    </rSty>
    <rSty dxfid="1">
      <rpv i="0">_-[$$-en-CA]* #,##0_-;-[$$-en-CA]* #,##0_-;_-[$$-en-CA]* "-"_-;_-@_-</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5E0ADA-98AF-4083-A1F5-B339E1AEBD4C}" name="Table1" displayName="Table1" ref="A2:F9" totalsRowShown="0" headerRowDxfId="317" dataDxfId="316" tableBorderDxfId="315">
  <autoFilter ref="A2:F9" xr:uid="{675E0ADA-98AF-4083-A1F5-B339E1AEBD4C}">
    <filterColumn colId="0" hiddenButton="1"/>
    <filterColumn colId="1" hiddenButton="1"/>
    <filterColumn colId="2" hiddenButton="1"/>
    <filterColumn colId="3" hiddenButton="1"/>
    <filterColumn colId="4" hiddenButton="1"/>
    <filterColumn colId="5" hiddenButton="1"/>
  </autoFilter>
  <tableColumns count="6">
    <tableColumn id="1" xr3:uid="{9F0E1A3E-053E-4C1E-A516-7D1CCC265237}" name="Particulars" dataDxfId="314"/>
    <tableColumn id="2" xr3:uid="{A4001D28-3BE4-410C-9BD4-38267EC5849E}" name="2020" dataDxfId="313" dataCellStyle="Comma"/>
    <tableColumn id="3" xr3:uid="{C0D064DD-064C-41A2-AB3C-94A53BFBE574}" name="2021" dataDxfId="312" dataCellStyle="Comma"/>
    <tableColumn id="4" xr3:uid="{9A63EB1F-02C4-472E-BD8D-4C008570ACA9}" name="2022" dataDxfId="311" dataCellStyle="Comma"/>
    <tableColumn id="5" xr3:uid="{D0555F29-8146-4088-A1D8-5F09F327F999}" name="2023" dataDxfId="310" dataCellStyle="Comma"/>
    <tableColumn id="6" xr3:uid="{B34FFF1D-9C16-48B4-9282-591613D0973B}" name="2024" dataDxfId="309" dataCellStyle="Comma"/>
  </tableColumns>
  <tableStyleInfo name="TableStyleMedium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B80897-FA73-452D-9C04-99F75FA96416}" name="Table2" displayName="Table2" ref="A12:F21" totalsRowShown="0" headerRowDxfId="308" dataDxfId="307" tableBorderDxfId="306">
  <autoFilter ref="A12:F21" xr:uid="{75B80897-FA73-452D-9C04-99F75FA96416}">
    <filterColumn colId="0" hiddenButton="1"/>
    <filterColumn colId="1" hiddenButton="1"/>
    <filterColumn colId="2" hiddenButton="1"/>
    <filterColumn colId="3" hiddenButton="1"/>
    <filterColumn colId="4" hiddenButton="1"/>
    <filterColumn colId="5" hiddenButton="1"/>
  </autoFilter>
  <tableColumns count="6">
    <tableColumn id="1" xr3:uid="{EB9F2F96-50D0-4815-97A2-7A9EA48340DA}" name="Particulars" dataDxfId="305"/>
    <tableColumn id="2" xr3:uid="{919209B0-DDCC-4365-9617-8678F4FAA972}" name="2020" dataDxfId="304" dataCellStyle="Comma"/>
    <tableColumn id="3" xr3:uid="{3DC98E7B-ED1B-4536-8509-882B7E0957B5}" name="2021" dataDxfId="303" dataCellStyle="Comma"/>
    <tableColumn id="4" xr3:uid="{6FBC21C3-B038-4206-B665-21D8AE44DC82}" name="2022" dataDxfId="302" dataCellStyle="Comma"/>
    <tableColumn id="5" xr3:uid="{E028F2E5-83D8-48AF-A470-8CE8C50EF64D}" name="2023" dataDxfId="301" dataCellStyle="Comma"/>
    <tableColumn id="6" xr3:uid="{6F2D4919-C691-4D3C-ACE8-6E1C42DF5701}" name="2024" dataDxfId="300" dataCellStyle="Comma"/>
  </tableColumns>
  <tableStyleInfo name="TableStyleMedium2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64321A8-9F7B-450C-8B8F-B357CDAA913D}" name="Table3" displayName="Table3" ref="A24:F28" totalsRowShown="0" headerRowDxfId="299" dataDxfId="298" tableBorderDxfId="297">
  <autoFilter ref="A24:F28" xr:uid="{C64321A8-9F7B-450C-8B8F-B357CDAA913D}">
    <filterColumn colId="0" hiddenButton="1"/>
    <filterColumn colId="1" hiddenButton="1"/>
    <filterColumn colId="2" hiddenButton="1"/>
    <filterColumn colId="3" hiddenButton="1"/>
    <filterColumn colId="4" hiddenButton="1"/>
    <filterColumn colId="5" hiddenButton="1"/>
  </autoFilter>
  <tableColumns count="6">
    <tableColumn id="1" xr3:uid="{44298839-D487-4C85-A551-BBBCF3AF1853}" name="Particulars" dataDxfId="296"/>
    <tableColumn id="2" xr3:uid="{995B91B7-F9F6-4D1E-9C41-71833F6A154E}" name="2020" dataDxfId="295" dataCellStyle="Comma"/>
    <tableColumn id="3" xr3:uid="{6C617B07-9092-4193-B23F-1CA6F90F1513}" name="2021" dataDxfId="294" dataCellStyle="Comma"/>
    <tableColumn id="4" xr3:uid="{F9462FA3-4714-4BFE-8C8B-650436752CE1}" name="2022" dataDxfId="293" dataCellStyle="Comma"/>
    <tableColumn id="5" xr3:uid="{F6EF318E-A94E-48AC-B7A4-46D6459DC665}" name="2023" dataDxfId="292" dataCellStyle="Comma"/>
    <tableColumn id="6" xr3:uid="{C1966454-0573-43DD-84A7-DC23830AAE83}" name="2024" dataDxfId="291" dataCellStyle="Comma"/>
  </tableColumns>
  <tableStyleInfo name="TableStyleMedium2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5778329-D5DF-4962-BB78-FBE0D34D43E7}" name="Table18" displayName="Table18" ref="H2:M9" totalsRowShown="0" headerRowDxfId="290" dataDxfId="289" tableBorderDxfId="288">
  <autoFilter ref="H2:M9" xr:uid="{C5778329-D5DF-4962-BB78-FBE0D34D43E7}">
    <filterColumn colId="0" hiddenButton="1"/>
    <filterColumn colId="1" hiddenButton="1"/>
    <filterColumn colId="2" hiddenButton="1"/>
    <filterColumn colId="3" hiddenButton="1"/>
    <filterColumn colId="4" hiddenButton="1"/>
    <filterColumn colId="5" hiddenButton="1"/>
  </autoFilter>
  <tableColumns count="6">
    <tableColumn id="1" xr3:uid="{8FAA2D7B-3BCC-43A0-AACB-A16537BE24FD}" name="Particulars" dataDxfId="287"/>
    <tableColumn id="2" xr3:uid="{9E563DA7-A29C-4459-99E2-2A1A7F8FDF4C}" name="2020" dataDxfId="286" dataCellStyle="Comma"/>
    <tableColumn id="3" xr3:uid="{AB38E19F-1B2B-498B-8B41-8C9A113D0884}" name="2021" dataDxfId="285" dataCellStyle="Comma"/>
    <tableColumn id="4" xr3:uid="{1A76A697-E6E2-4C04-B6E2-211722826D81}" name="2022" dataDxfId="284" dataCellStyle="Comma"/>
    <tableColumn id="5" xr3:uid="{7696AEBE-9E53-4D99-8557-741A880DC82F}" name="2023" dataDxfId="283" dataCellStyle="Comma"/>
    <tableColumn id="6" xr3:uid="{FCCCF5ED-EBAF-4CD0-9A9C-70AD1CB47516}" name="2024" dataDxfId="282" dataCellStyle="Comma"/>
  </tableColumns>
  <tableStyleInfo name="TableStyleMedium2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5461DE2-545D-46EA-A64E-ACC630579A09}" name="Table29" displayName="Table29" ref="H12:M21" totalsRowShown="0" headerRowDxfId="281" dataDxfId="280" tableBorderDxfId="279">
  <autoFilter ref="H12:M21" xr:uid="{05461DE2-545D-46EA-A64E-ACC630579A09}">
    <filterColumn colId="0" hiddenButton="1"/>
    <filterColumn colId="1" hiddenButton="1"/>
    <filterColumn colId="2" hiddenButton="1"/>
    <filterColumn colId="3" hiddenButton="1"/>
    <filterColumn colId="4" hiddenButton="1"/>
    <filterColumn colId="5" hiddenButton="1"/>
  </autoFilter>
  <tableColumns count="6">
    <tableColumn id="1" xr3:uid="{600FAAFF-EF79-43E4-86F1-82DA976A130E}" name="Particulars" dataDxfId="278"/>
    <tableColumn id="2" xr3:uid="{061DECDE-CD1C-4B66-86DC-F92313628E10}" name="2020" dataDxfId="277" dataCellStyle="Comma"/>
    <tableColumn id="3" xr3:uid="{BAC054FE-50CB-4753-B8C8-36A8BA237A9E}" name="2021" dataDxfId="276" dataCellStyle="Comma"/>
    <tableColumn id="4" xr3:uid="{41F14352-753F-4B98-948B-D420F5BF8FE0}" name="2022" dataDxfId="275" dataCellStyle="Comma"/>
    <tableColumn id="5" xr3:uid="{8D2C0BE6-51E6-4FE9-82EA-B5979271BC50}" name="2023" dataDxfId="274" dataCellStyle="Comma"/>
    <tableColumn id="6" xr3:uid="{04815DA8-08C8-43DA-BE25-3B8573699133}" name="2024" dataDxfId="273" dataCellStyle="Comma"/>
  </tableColumns>
  <tableStyleInfo name="TableStyleMedium2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C26C3C8-0B48-42F9-A9C0-2190AC3C3B93}" name="Table310" displayName="Table310" ref="H24:M28" totalsRowShown="0" headerRowDxfId="272" dataDxfId="271" tableBorderDxfId="270">
  <autoFilter ref="H24:M28" xr:uid="{DC26C3C8-0B48-42F9-A9C0-2190AC3C3B93}">
    <filterColumn colId="0" hiddenButton="1"/>
    <filterColumn colId="1" hiddenButton="1"/>
    <filterColumn colId="2" hiddenButton="1"/>
    <filterColumn colId="3" hiddenButton="1"/>
    <filterColumn colId="4" hiddenButton="1"/>
    <filterColumn colId="5" hiddenButton="1"/>
  </autoFilter>
  <tableColumns count="6">
    <tableColumn id="1" xr3:uid="{7F5BD67F-E648-43CF-872E-27156409B720}" name="Particulars" dataDxfId="269"/>
    <tableColumn id="2" xr3:uid="{94C34577-7343-459D-854B-090AF840C6AE}" name="2020" dataDxfId="268" dataCellStyle="Comma"/>
    <tableColumn id="3" xr3:uid="{0885219F-E30B-471A-B365-80CCCDBFBDE6}" name="2021" dataDxfId="267" dataCellStyle="Comma"/>
    <tableColumn id="4" xr3:uid="{9656C492-C5CA-44E3-95E5-436667E4C927}" name="2022" dataDxfId="266" dataCellStyle="Comma"/>
    <tableColumn id="5" xr3:uid="{84662294-13CB-4B87-9FD2-A77FD8A0B89D}" name="2023" dataDxfId="265" dataCellStyle="Comma"/>
    <tableColumn id="6" xr3:uid="{D42936C2-9724-423B-A1E7-7E68C55D92E4}" name="2024" dataDxfId="264" dataCellStyle="Comma"/>
  </tableColumns>
  <tableStyleInfo name="TableStyleMedium2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CFEA1758-1231-44C4-B86E-846FD01CCAB5}" name="Table125" displayName="Table125" ref="O2:T9" totalsRowShown="0" headerRowDxfId="263" dataDxfId="262" tableBorderDxfId="261">
  <autoFilter ref="O2:T9" xr:uid="{CFEA1758-1231-44C4-B86E-846FD01CCAB5}">
    <filterColumn colId="0" hiddenButton="1"/>
    <filterColumn colId="1" hiddenButton="1"/>
    <filterColumn colId="2" hiddenButton="1"/>
    <filterColumn colId="3" hiddenButton="1"/>
    <filterColumn colId="4" hiddenButton="1"/>
    <filterColumn colId="5" hiddenButton="1"/>
  </autoFilter>
  <tableColumns count="6">
    <tableColumn id="1" xr3:uid="{8FDC474D-8C48-49EC-A195-A2B0C2D8C78E}" name="Particulars" dataDxfId="260"/>
    <tableColumn id="2" xr3:uid="{B42DFF34-9D07-4ED2-9317-CD80139A51CA}" name="2020" dataDxfId="259" dataCellStyle="Comma"/>
    <tableColumn id="3" xr3:uid="{BB87A284-6CC6-422A-A62D-A143FAA37D1A}" name="2021" dataDxfId="258" dataCellStyle="Comma"/>
    <tableColumn id="4" xr3:uid="{CC2447AD-67FE-408F-87EE-04E8F65AA47B}" name="2022" dataDxfId="257" dataCellStyle="Comma"/>
    <tableColumn id="5" xr3:uid="{1BA6CFD2-6139-491E-A583-09100C07584F}" name="2023" dataDxfId="256" dataCellStyle="Comma"/>
    <tableColumn id="6" xr3:uid="{15749702-8210-4B42-AEB4-181DE707E5DB}" name="2024" dataDxfId="255" dataCellStyle="Comma"/>
  </tableColumns>
  <tableStyleInfo name="TableStyleMedium2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9A0A8DE-6F58-4444-B1D8-0BF4B76F4049}" name="Table226" displayName="Table226" ref="O12:T21" totalsRowShown="0" headerRowDxfId="254" dataDxfId="253" tableBorderDxfId="252">
  <autoFilter ref="O12:T21" xr:uid="{49A0A8DE-6F58-4444-B1D8-0BF4B76F4049}">
    <filterColumn colId="0" hiddenButton="1"/>
    <filterColumn colId="1" hiddenButton="1"/>
    <filterColumn colId="2" hiddenButton="1"/>
    <filterColumn colId="3" hiddenButton="1"/>
    <filterColumn colId="4" hiddenButton="1"/>
    <filterColumn colId="5" hiddenButton="1"/>
  </autoFilter>
  <tableColumns count="6">
    <tableColumn id="1" xr3:uid="{29EA3F4C-E66D-4E89-BB4F-D1584298D5F3}" name="Particulars" dataDxfId="251"/>
    <tableColumn id="2" xr3:uid="{E1E63A03-B6B4-4714-AD6C-D9553A8986A9}" name="2020" dataDxfId="250" dataCellStyle="Comma"/>
    <tableColumn id="3" xr3:uid="{C578BEFC-8BD6-41B2-A114-54A8E2B85A93}" name="2021" dataDxfId="249" dataCellStyle="Comma"/>
    <tableColumn id="4" xr3:uid="{2EB3353A-FF2C-4C24-BD1C-FA451C56D176}" name="2022" dataDxfId="248" dataCellStyle="Comma"/>
    <tableColumn id="5" xr3:uid="{4DEB6F4E-EC26-4B3D-AE95-2210D2891CCA}" name="2023" dataDxfId="247" dataCellStyle="Comma"/>
    <tableColumn id="6" xr3:uid="{C5BC0C9D-58F0-4453-9077-6C73962FA7C7}" name="2024" dataDxfId="246" dataCellStyle="Comma"/>
  </tableColumns>
  <tableStyleInfo name="TableStyleMedium20"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C6431545-520F-4197-9E10-3C51FB4E734A}" name="Table327" displayName="Table327" ref="O24:T28" totalsRowShown="0" headerRowDxfId="245" dataDxfId="244" tableBorderDxfId="243">
  <autoFilter ref="O24:T28" xr:uid="{C6431545-520F-4197-9E10-3C51FB4E734A}">
    <filterColumn colId="0" hiddenButton="1"/>
    <filterColumn colId="1" hiddenButton="1"/>
    <filterColumn colId="2" hiddenButton="1"/>
    <filterColumn colId="3" hiddenButton="1"/>
    <filterColumn colId="4" hiddenButton="1"/>
    <filterColumn colId="5" hiddenButton="1"/>
  </autoFilter>
  <tableColumns count="6">
    <tableColumn id="1" xr3:uid="{E9652750-6D02-483E-95AE-BE7B05C4CBF4}" name="Particulars" dataDxfId="242"/>
    <tableColumn id="2" xr3:uid="{8EDDAA49-7F0F-4F57-A234-DB97570C61D5}" name="2020" dataDxfId="241" dataCellStyle="Comma"/>
    <tableColumn id="3" xr3:uid="{74139E62-837B-4BA6-9BE1-6C9D00D3143D}" name="2021" dataDxfId="240" dataCellStyle="Comma"/>
    <tableColumn id="4" xr3:uid="{8CD9A4B7-9C48-4F49-8C2E-0E39C42B8C95}" name="2022" dataDxfId="239" dataCellStyle="Comma"/>
    <tableColumn id="5" xr3:uid="{9A813FA6-DFC5-44AE-9DA2-FDAC953D444E}" name="2023" dataDxfId="238" dataCellStyle="Comma"/>
    <tableColumn id="6" xr3:uid="{F0AD8652-31EF-4C53-B92B-44647E3D609E}" name="2024" dataDxfId="237" dataCellStyle="Comma"/>
  </tableColumns>
  <tableStyleInfo name="TableStyleMedium20"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DE607FDF-28C7-46DE-8E14-7527D0186400}" name="Table1828" displayName="Table1828" ref="V2:AA9" totalsRowShown="0" headerRowDxfId="236" dataDxfId="235" tableBorderDxfId="234">
  <autoFilter ref="V2:AA9" xr:uid="{DE607FDF-28C7-46DE-8E14-7527D0186400}">
    <filterColumn colId="0" hiddenButton="1"/>
    <filterColumn colId="1" hiddenButton="1"/>
    <filterColumn colId="2" hiddenButton="1"/>
    <filterColumn colId="3" hiddenButton="1"/>
    <filterColumn colId="4" hiddenButton="1"/>
    <filterColumn colId="5" hiddenButton="1"/>
  </autoFilter>
  <tableColumns count="6">
    <tableColumn id="1" xr3:uid="{A0A49D27-F06B-4BAA-80AB-67AAD1DAB564}" name="Particulars" dataDxfId="233"/>
    <tableColumn id="2" xr3:uid="{795FBD29-B06F-44BB-BC62-FFED10641AB8}" name="2020" dataDxfId="232" dataCellStyle="Comma"/>
    <tableColumn id="3" xr3:uid="{20BA02E3-C34B-4159-AFCB-000EBAA3BD01}" name="2021" dataDxfId="231" dataCellStyle="Comma"/>
    <tableColumn id="4" xr3:uid="{6B56F690-9E14-4BDA-975E-7F3B54C26D7C}" name="2022" dataDxfId="230" dataCellStyle="Comma"/>
    <tableColumn id="5" xr3:uid="{03AD6542-D49E-4B7D-BDA7-9350437BB5D4}" name="2023" dataDxfId="229" dataCellStyle="Comma"/>
    <tableColumn id="6" xr3:uid="{24E8E0F1-FDFB-419A-AC67-4D27CF2A7D69}" name="2024" dataDxfId="228" dataCellStyle="Comma"/>
  </tableColumns>
  <tableStyleInfo name="TableStyleMedium20"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7980156-85A4-4DB9-9917-A36C0739983E}" name="Table2929" displayName="Table2929" ref="V12:AA21" totalsRowShown="0" headerRowDxfId="227" dataDxfId="226" tableBorderDxfId="225">
  <autoFilter ref="V12:AA21" xr:uid="{07980156-85A4-4DB9-9917-A36C0739983E}">
    <filterColumn colId="0" hiddenButton="1"/>
    <filterColumn colId="1" hiddenButton="1"/>
    <filterColumn colId="2" hiddenButton="1"/>
    <filterColumn colId="3" hiddenButton="1"/>
    <filterColumn colId="4" hiddenButton="1"/>
    <filterColumn colId="5" hiddenButton="1"/>
  </autoFilter>
  <tableColumns count="6">
    <tableColumn id="1" xr3:uid="{68D8C1EB-522C-490F-90D9-D3B6BA05B975}" name="Particulars" dataDxfId="224"/>
    <tableColumn id="2" xr3:uid="{14692C65-2C56-4E6B-A2F2-9389C29A743E}" name="2020" dataDxfId="223" dataCellStyle="Comma"/>
    <tableColumn id="3" xr3:uid="{E8529ADB-8B92-4D20-A1EA-FBF923269B71}" name="2021" dataDxfId="222" dataCellStyle="Comma"/>
    <tableColumn id="4" xr3:uid="{0E5B59C1-95FB-499E-A54A-66E32C83C85B}" name="2022" dataDxfId="221" dataCellStyle="Comma"/>
    <tableColumn id="5" xr3:uid="{95825CC3-60A1-4FDE-AC22-7A3B24EC97C9}" name="2023" dataDxfId="220" dataCellStyle="Comma"/>
    <tableColumn id="6" xr3:uid="{6B1A8E6C-4EEB-42B0-9276-E63F634EBFBE}" name="2024" dataDxfId="219" dataCellStyle="Comma"/>
  </tableColumns>
  <tableStyleInfo name="TableStyleMedium20"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B545E80-5959-4CE2-A542-5AE4B4CFE412}" name="Table31030" displayName="Table31030" ref="V24:AA28" totalsRowShown="0" headerRowDxfId="218" dataDxfId="217" tableBorderDxfId="216">
  <autoFilter ref="V24:AA28" xr:uid="{0B545E80-5959-4CE2-A542-5AE4B4CFE412}">
    <filterColumn colId="0" hiddenButton="1"/>
    <filterColumn colId="1" hiddenButton="1"/>
    <filterColumn colId="2" hiddenButton="1"/>
    <filterColumn colId="3" hiddenButton="1"/>
    <filterColumn colId="4" hiddenButton="1"/>
    <filterColumn colId="5" hiddenButton="1"/>
  </autoFilter>
  <tableColumns count="6">
    <tableColumn id="1" xr3:uid="{6E20E3F2-CFFE-4DAD-A3E3-0BBD1ABC19D2}" name="Particulars" dataDxfId="215"/>
    <tableColumn id="2" xr3:uid="{3A115CCD-985B-434F-AC00-AE4B98A6DFE4}" name="2020" dataDxfId="214" dataCellStyle="Comma"/>
    <tableColumn id="3" xr3:uid="{281AE50C-665B-4391-ABCE-C0109BDD421F}" name="2021" dataDxfId="213" dataCellStyle="Comma"/>
    <tableColumn id="4" xr3:uid="{C4DE8115-A276-4CB6-9EFC-A3D58DDAEA7E}" name="2022" dataDxfId="212" dataCellStyle="Comma"/>
    <tableColumn id="5" xr3:uid="{83F4FE97-D445-48EB-9192-0B830516EE57}" name="2023" dataDxfId="211" dataCellStyle="Comma"/>
    <tableColumn id="6" xr3:uid="{2294DF75-B9F7-4213-8010-9969B536EAC4}" name="2024" dataDxfId="210" dataCellStyle="Comma"/>
  </tableColumns>
  <tableStyleInfo name="TableStyleMedium20"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484DA431-693D-440B-A7D7-C94B4B0B24D7}" name="Table182837" displayName="Table182837" ref="AC2:AH9" totalsRowShown="0" headerRowDxfId="209" dataDxfId="208" tableBorderDxfId="207">
  <autoFilter ref="AC2:AH9" xr:uid="{484DA431-693D-440B-A7D7-C94B4B0B24D7}">
    <filterColumn colId="0" hiddenButton="1"/>
    <filterColumn colId="1" hiddenButton="1"/>
    <filterColumn colId="2" hiddenButton="1"/>
    <filterColumn colId="3" hiddenButton="1"/>
    <filterColumn colId="4" hiddenButton="1"/>
    <filterColumn colId="5" hiddenButton="1"/>
  </autoFilter>
  <tableColumns count="6">
    <tableColumn id="1" xr3:uid="{358D71A6-DAE4-485C-ADB0-A5EA5E69B91D}" name="Particulars" dataDxfId="206"/>
    <tableColumn id="2" xr3:uid="{5397BF1C-CB82-4334-A373-16172C4476BD}" name="2020" dataDxfId="205" dataCellStyle="Comma"/>
    <tableColumn id="3" xr3:uid="{7BE79B49-FAAF-4B56-AC32-2143A6D69565}" name="2021" dataDxfId="204" dataCellStyle="Comma"/>
    <tableColumn id="4" xr3:uid="{F2F3258F-121B-439C-A5E1-8166734FD2A7}" name="2022" dataDxfId="203" dataCellStyle="Comma"/>
    <tableColumn id="5" xr3:uid="{1A23A008-68EE-4EE4-8481-ED1A7F929E20}" name="2023" dataDxfId="202" dataCellStyle="Comma"/>
    <tableColumn id="6" xr3:uid="{CF3B4E07-16EE-43CA-98C7-636A149B28EE}" name="2024" dataDxfId="201" dataCellStyle="Comma"/>
  </tableColumns>
  <tableStyleInfo name="TableStyleMedium20"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339A2FC4-C519-45ED-A1FD-50BC650CACF0}" name="Table292938" displayName="Table292938" ref="AC12:AH21" totalsRowShown="0" headerRowDxfId="200" dataDxfId="199" tableBorderDxfId="198">
  <autoFilter ref="AC12:AH21" xr:uid="{339A2FC4-C519-45ED-A1FD-50BC650CACF0}">
    <filterColumn colId="0" hiddenButton="1"/>
    <filterColumn colId="1" hiddenButton="1"/>
    <filterColumn colId="2" hiddenButton="1"/>
    <filterColumn colId="3" hiddenButton="1"/>
    <filterColumn colId="4" hiddenButton="1"/>
    <filterColumn colId="5" hiddenButton="1"/>
  </autoFilter>
  <tableColumns count="6">
    <tableColumn id="1" xr3:uid="{DB085D67-CA37-4290-8D4C-945077AAD496}" name="Particulars" dataDxfId="197"/>
    <tableColumn id="2" xr3:uid="{3181133E-2330-4C08-AECD-22FDFF74555E}" name="2020" dataDxfId="196" dataCellStyle="Comma"/>
    <tableColumn id="3" xr3:uid="{27291744-DD9F-4F50-BC8B-D7664C660BE6}" name="2021" dataDxfId="195" dataCellStyle="Comma"/>
    <tableColumn id="4" xr3:uid="{3DAE459C-F17B-4FA9-BAE1-F4B718EC8237}" name="2022" dataDxfId="194" dataCellStyle="Comma"/>
    <tableColumn id="5" xr3:uid="{73A93804-D527-476F-9348-B39A00746930}" name="2023" dataDxfId="193" dataCellStyle="Comma"/>
    <tableColumn id="6" xr3:uid="{673D04FD-7784-46C2-8492-B2E342CA6543}" name="2024" dataDxfId="192" dataCellStyle="Comma"/>
  </tableColumns>
  <tableStyleInfo name="TableStyleMedium20"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21BDB588-0F73-4A1F-9202-3EEA300F03BB}" name="Table3103039" displayName="Table3103039" ref="AC24:AH28" totalsRowShown="0" headerRowDxfId="191" dataDxfId="190" tableBorderDxfId="189">
  <autoFilter ref="AC24:AH28" xr:uid="{21BDB588-0F73-4A1F-9202-3EEA300F03BB}">
    <filterColumn colId="0" hiddenButton="1"/>
    <filterColumn colId="1" hiddenButton="1"/>
    <filterColumn colId="2" hiddenButton="1"/>
    <filterColumn colId="3" hiddenButton="1"/>
    <filterColumn colId="4" hiddenButton="1"/>
    <filterColumn colId="5" hiddenButton="1"/>
  </autoFilter>
  <tableColumns count="6">
    <tableColumn id="1" xr3:uid="{A380B0C3-790D-4643-96BC-57EC527CD12B}" name="Particulars" dataDxfId="188"/>
    <tableColumn id="2" xr3:uid="{EAAD6A68-ACAD-4677-9C40-B126E1E41322}" name="2020" dataDxfId="187" dataCellStyle="Comma"/>
    <tableColumn id="3" xr3:uid="{5BE250B4-C939-4910-BB80-631C368D1F39}" name="2021" dataDxfId="186" dataCellStyle="Comma"/>
    <tableColumn id="4" xr3:uid="{99F03F6B-AC19-4397-AE63-6693C6C5E1B1}" name="2022" dataDxfId="185" dataCellStyle="Comma"/>
    <tableColumn id="5" xr3:uid="{514D55B3-47A6-4EA7-B52B-9604C4804075}" name="2023" dataDxfId="184" dataCellStyle="Comma"/>
    <tableColumn id="6" xr3:uid="{08DE5AE1-F336-4ECB-9B84-3BFFA656A380}" name="2024" dataDxfId="183" dataCellStyle="Comma"/>
  </tableColumns>
  <tableStyleInfo name="TableStyleMedium20"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E1A16DB-FECF-4BC8-A1DE-692A744DC807}" name="Table11" displayName="Table11" ref="O32:T35" totalsRowShown="0" headerRowDxfId="182" dataDxfId="181">
  <autoFilter ref="O32:T35" xr:uid="{0E1A16DB-FECF-4BC8-A1DE-692A744DC807}">
    <filterColumn colId="0" hiddenButton="1"/>
    <filterColumn colId="1" hiddenButton="1"/>
    <filterColumn colId="2" hiddenButton="1"/>
    <filterColumn colId="3" hiddenButton="1"/>
    <filterColumn colId="4" hiddenButton="1"/>
    <filterColumn colId="5" hiddenButton="1"/>
  </autoFilter>
  <tableColumns count="6">
    <tableColumn id="1" xr3:uid="{797FAA54-0D9C-4DBC-84BF-C9CBACF127F2}" name="Particulars" dataDxfId="180"/>
    <tableColumn id="2" xr3:uid="{536E070F-D724-4665-B8B3-3AFC07F03E23}" name="2020" dataDxfId="179"/>
    <tableColumn id="3" xr3:uid="{C52E57C9-D98B-4A56-A99D-896BCD3260CB}" name="2021" dataDxfId="178"/>
    <tableColumn id="4" xr3:uid="{B4ED2CFC-C137-43DD-A5DF-CB1F3B1359D8}" name="2022" dataDxfId="177"/>
    <tableColumn id="5" xr3:uid="{663AA751-D10D-4945-8D7A-177041C02F4A}" name="2023" dataDxfId="176"/>
    <tableColumn id="6" xr3:uid="{C9329630-453A-4AA6-B4F2-8D3F99EF539A}" name="2024" dataDxfId="175"/>
  </tableColumns>
  <tableStyleInfo name="TableStyleMedium13"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2495BC3-7403-4B80-A1C7-09A80374F1BC}" name="Table12" displayName="Table12" ref="O37:U41" totalsRowShown="0" headerRowDxfId="174" dataDxfId="173">
  <autoFilter ref="O37:U41" xr:uid="{22495BC3-7403-4B80-A1C7-09A80374F1B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0A21007-B893-452D-8452-21A26D267CC1}" name="Particulars" dataDxfId="172"/>
    <tableColumn id="2" xr3:uid="{E7276BBF-389C-4846-9BCE-B08CE56D3072}" name="2025" dataDxfId="171">
      <calculatedColumnFormula>DCF!R3</calculatedColumnFormula>
    </tableColumn>
    <tableColumn id="3" xr3:uid="{F6C57E76-D9F0-490F-B4A5-4D4C111D70F4}" name="2026" dataDxfId="170">
      <calculatedColumnFormula>DCF!S3</calculatedColumnFormula>
    </tableColumn>
    <tableColumn id="4" xr3:uid="{90D86FD5-FF12-485A-B490-B765CE15AF3B}" name="2027" dataDxfId="169">
      <calculatedColumnFormula>DCF!T3</calculatedColumnFormula>
    </tableColumn>
    <tableColumn id="5" xr3:uid="{EAF79EBA-DECB-4730-A3F8-ADFC01ACA0F0}" name="2028" dataDxfId="168">
      <calculatedColumnFormula>DCF!U3</calculatedColumnFormula>
    </tableColumn>
    <tableColumn id="6" xr3:uid="{E388DE8A-9595-427B-85F9-ACE79E007A88}" name="2029" dataDxfId="167">
      <calculatedColumnFormula>DCF!V3</calculatedColumnFormula>
    </tableColumn>
    <tableColumn id="7" xr3:uid="{BF7A3C8D-3DB6-484C-9878-AF79045E5206}" name="2030" dataDxfId="166">
      <calculatedColumnFormula>DCF!W3</calculatedColumnFormula>
    </tableColumn>
  </tableColumns>
  <tableStyleInfo name="TableStyleMedium13"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44A10C6A-0DF7-40D6-9C22-AC9ADD34E05C}" name="Table1222" displayName="Table1222" ref="V41:AB45" totalsRowShown="0" headerRowDxfId="8" dataDxfId="7">
  <autoFilter ref="V41:AB45" xr:uid="{44A10C6A-0DF7-40D6-9C22-AC9ADD34E05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F651DC4-2373-42FC-82B1-88304A16D7CD}" name="Particulars" dataDxfId="6"/>
    <tableColumn id="2" xr3:uid="{7CE3A899-5551-4F78-8714-F220029E5A28}" name="2025" dataDxfId="5"/>
    <tableColumn id="3" xr3:uid="{F88D7122-1A94-4AB6-AA44-86EB3BF92A61}" name="2026" dataDxfId="4"/>
    <tableColumn id="4" xr3:uid="{EEBEDE56-DCAD-4FAC-AE86-92862E5CB906}" name="2027" dataDxfId="3"/>
    <tableColumn id="5" xr3:uid="{068DE999-B1F8-4384-B4FB-3ECB41923F86}" name="2028" dataDxfId="2"/>
    <tableColumn id="6" xr3:uid="{F7F93047-9F78-4EAD-9147-A7FD72A2B137}" name="2029" dataDxfId="1"/>
    <tableColumn id="7" xr3:uid="{746ED4A1-41DD-49E9-B043-34FD2A9B049B}" name="2030" dataDxfId="0"/>
  </tableColumns>
  <tableStyleInfo name="TableStyleMedium13"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436E348E-4826-45E4-A2D7-A6C51F20D01C}" name="Table1131" displayName="Table1131" ref="V32:AA35" totalsRowShown="0" headerRowDxfId="165" dataDxfId="164">
  <autoFilter ref="V32:AA35" xr:uid="{436E348E-4826-45E4-A2D7-A6C51F20D01C}">
    <filterColumn colId="0" hiddenButton="1"/>
    <filterColumn colId="1" hiddenButton="1"/>
    <filterColumn colId="2" hiddenButton="1"/>
    <filterColumn colId="3" hiddenButton="1"/>
    <filterColumn colId="4" hiddenButton="1"/>
    <filterColumn colId="5" hiddenButton="1"/>
  </autoFilter>
  <tableColumns count="6">
    <tableColumn id="1" xr3:uid="{68431845-D3FD-430D-964D-B969BC899A92}" name="Particulars" dataDxfId="163"/>
    <tableColumn id="2" xr3:uid="{68ECDFF3-DF46-4C19-940C-C28B6A890EF1}" name="2020" dataDxfId="162"/>
    <tableColumn id="3" xr3:uid="{CEF79E36-2C86-475B-98BB-52CE178F9CB7}" name="2021" dataDxfId="161"/>
    <tableColumn id="4" xr3:uid="{0B3ACE95-D2FD-4B8E-9319-43174271FE69}" name="2022" dataDxfId="160"/>
    <tableColumn id="5" xr3:uid="{F1CC65D1-DD77-4917-83DD-7E0D921964DD}" name="2023" dataDxfId="159"/>
    <tableColumn id="6" xr3:uid="{685136E4-E96C-41BD-A271-3427D802D903}" name="2024" dataDxfId="158"/>
  </tableColumns>
  <tableStyleInfo name="TableStyleMedium13"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2248ED05-E5FD-4F6E-995C-874F15BB6508}" name="Table1132" displayName="Table1132" ref="AC32:AH35" totalsRowShown="0" headerRowDxfId="157" dataDxfId="156">
  <autoFilter ref="AC32:AH35" xr:uid="{2248ED05-E5FD-4F6E-995C-874F15BB6508}">
    <filterColumn colId="0" hiddenButton="1"/>
    <filterColumn colId="1" hiddenButton="1"/>
    <filterColumn colId="2" hiddenButton="1"/>
    <filterColumn colId="3" hiddenButton="1"/>
    <filterColumn colId="4" hiddenButton="1"/>
    <filterColumn colId="5" hiddenButton="1"/>
  </autoFilter>
  <tableColumns count="6">
    <tableColumn id="1" xr3:uid="{2DA27D76-16CF-4B60-8705-847D95955EA3}" name="Particulars" dataDxfId="155"/>
    <tableColumn id="2" xr3:uid="{EF12D7DB-A01D-488F-8964-6A39C2545065}" name="2020" dataDxfId="154"/>
    <tableColumn id="3" xr3:uid="{2BAD5F11-74CD-41E9-AA7A-E2FCDE204B5D}" name="2021" dataDxfId="153"/>
    <tableColumn id="4" xr3:uid="{0AAC14BA-8D83-4859-B8E0-822645840328}" name="2022" dataDxfId="152"/>
    <tableColumn id="5" xr3:uid="{F39788B4-B1E2-4481-BA84-385A8EAF7A95}" name="2023" dataDxfId="151"/>
    <tableColumn id="6" xr3:uid="{994538DC-AE15-4823-89D5-1F5B5497C8C8}" name="2024" dataDxfId="150"/>
  </tableColumns>
  <tableStyleInfo name="TableStyleMedium13"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D4BC4E63-15D2-45D6-93D6-DB6BCA039480}" name="Table1233" displayName="Table1233" ref="AC37:AI41" totalsRowShown="0" headerRowDxfId="149" dataDxfId="148">
  <autoFilter ref="AC37:AI41" xr:uid="{D4BC4E63-15D2-45D6-93D6-DB6BCA03948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370C023-70BE-48E9-8747-A91545E2F361}" name="Particulars" dataDxfId="147"/>
    <tableColumn id="2" xr3:uid="{AB143B5E-05E5-4C11-ABF8-91E24F90188C}" name="2025" dataDxfId="146"/>
    <tableColumn id="3" xr3:uid="{1E27A58A-90DA-41AB-8FA8-F2A129F209E6}" name="2026" dataDxfId="145"/>
    <tableColumn id="4" xr3:uid="{9C24CA3D-18C1-4A8C-BE33-CA9599D0EC6F}" name="2027" dataDxfId="144"/>
    <tableColumn id="5" xr3:uid="{42895F51-3821-4C69-B9CF-AE72AAFE7195}" name="2028" dataDxfId="143"/>
    <tableColumn id="6" xr3:uid="{C72B9A38-6B3E-474B-9B41-C0DD26E20C8A}" name="2029" dataDxfId="142"/>
    <tableColumn id="7" xr3:uid="{4476ECD1-6DDE-4D9B-B215-9F4F1DD4F92A}" name="2030" dataDxfId="141"/>
  </tableColumns>
  <tableStyleInfo name="TableStyleMedium13"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987F260-B9CD-408B-848D-F1605F59FFAA}" name="Table19" displayName="Table19" ref="H7:M12" totalsRowShown="0" headerRowDxfId="140" dataDxfId="139">
  <autoFilter ref="H7:M12" xr:uid="{9987F260-B9CD-408B-848D-F1605F59FFAA}">
    <filterColumn colId="0" hiddenButton="1"/>
    <filterColumn colId="1" hiddenButton="1"/>
    <filterColumn colId="2" hiddenButton="1"/>
    <filterColumn colId="3" hiddenButton="1"/>
    <filterColumn colId="4" hiddenButton="1"/>
    <filterColumn colId="5" hiddenButton="1"/>
  </autoFilter>
  <tableColumns count="6">
    <tableColumn id="1" xr3:uid="{1C1AFDF3-5AF3-491D-8288-B1F35D674925}" name="Particulars" dataDxfId="138"/>
    <tableColumn id="2" xr3:uid="{29FB5A2E-0396-4A1D-9AFF-F0959867B12B}" name="2020" dataDxfId="137">
      <calculatedColumnFormula>Financials!I16-Financials!I17</calculatedColumnFormula>
    </tableColumn>
    <tableColumn id="3" xr3:uid="{D1B629CB-C12D-48C8-9BAA-CC1976CC0EEF}" name="2021" dataDxfId="136">
      <calculatedColumnFormula>Financials!J16-Financials!J17</calculatedColumnFormula>
    </tableColumn>
    <tableColumn id="4" xr3:uid="{83D8A675-8DA8-4305-85EB-F87BA2906D6F}" name="2022" dataDxfId="135">
      <calculatedColumnFormula>Financials!K16-Financials!K17</calculatedColumnFormula>
    </tableColumn>
    <tableColumn id="5" xr3:uid="{B4C1E3D1-3D73-40FC-8A0B-31378B56B29A}" name="2023" dataDxfId="134">
      <calculatedColumnFormula>Financials!L16-Financials!L17</calculatedColumnFormula>
    </tableColumn>
    <tableColumn id="6" xr3:uid="{B9561974-7218-44C6-A151-D75B3A86A6BF}" name="2024" dataDxfId="133">
      <calculatedColumnFormula>Financials!M16-Financials!M17</calculatedColumnFormula>
    </tableColumn>
  </tableColumns>
  <tableStyleInfo name="TableStyleMedium13"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221BFC3-AFBA-4AD4-8FAB-53924882DDDE}" name="Table22" displayName="Table22" ref="H15:N20" totalsRowShown="0" headerRowDxfId="132" dataDxfId="131">
  <autoFilter ref="H15:N20" xr:uid="{9221BFC3-AFBA-4AD4-8FAB-53924882DDD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CD3E82A-BF65-4E48-9048-FC3964098FE6}" name="Particulars" dataDxfId="130">
      <calculatedColumnFormula>H8</calculatedColumnFormula>
    </tableColumn>
    <tableColumn id="2" xr3:uid="{09BA8C8C-6980-4E71-8412-265ED163911F}" name="2025" dataDxfId="129">
      <calculatedColumnFormula>DCF!J2*Assumptions!$C$8</calculatedColumnFormula>
    </tableColumn>
    <tableColumn id="3" xr3:uid="{1D1E62C0-2C0B-4B4B-B2E0-C036E88FDD2B}" name="2026" dataDxfId="128">
      <calculatedColumnFormula>DCF!K2*Assumptions!$C$8</calculatedColumnFormula>
    </tableColumn>
    <tableColumn id="4" xr3:uid="{66D74986-C480-4692-B4D9-6680367BE683}" name="2027" dataDxfId="127">
      <calculatedColumnFormula>DCF!L2*Assumptions!$C$8</calculatedColumnFormula>
    </tableColumn>
    <tableColumn id="5" xr3:uid="{A36BEEB7-AFE2-4148-A85F-888380F48A50}" name="2028" dataDxfId="126">
      <calculatedColumnFormula>DCF!M2*Assumptions!$C$8</calculatedColumnFormula>
    </tableColumn>
    <tableColumn id="6" xr3:uid="{33AB04BF-7595-48C1-BAE0-4C860136A28D}" name="2029" dataDxfId="125">
      <calculatedColumnFormula>DCF!N2*Assumptions!$C$8</calculatedColumnFormula>
    </tableColumn>
    <tableColumn id="7" xr3:uid="{86594958-E69A-4BB1-AFB2-9BA7557EAB33}" name="2030" dataDxfId="124">
      <calculatedColumnFormula>DCF!O2*Assumptions!$C$8</calculatedColumnFormula>
    </tableColumn>
  </tableColumns>
  <tableStyleInfo name="TableStyleMedium13"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804823B-13F9-4E32-B1AC-52151DAB94A3}" name="Table8" displayName="Table8" ref="A12:B22" totalsRowShown="0" headerRowDxfId="123" dataDxfId="122">
  <autoFilter ref="A12:B22" xr:uid="{0804823B-13F9-4E32-B1AC-52151DAB94A3}">
    <filterColumn colId="0" hiddenButton="1"/>
    <filterColumn colId="1" hiddenButton="1"/>
  </autoFilter>
  <tableColumns count="2">
    <tableColumn id="1" xr3:uid="{CA5D3839-1557-4297-96D1-070675721E76}" name="Metrics" dataDxfId="121"/>
    <tableColumn id="2" xr3:uid="{817CB96B-F3D2-4A72-B0E7-1C26569E5B97}" name="Value" dataDxfId="120"/>
  </tableColumns>
  <tableStyleInfo name="TableStyleMedium9"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89CC81E-2980-4957-B884-251934476198}" name="Table9" displayName="Table9" ref="A2:G9" totalsRowShown="0" headerRowDxfId="119" dataDxfId="118" headerRowCellStyle="Percent">
  <autoFilter ref="A2:G9" xr:uid="{789CC81E-2980-4957-B884-25193447619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8E25F24-12BD-492A-9E2B-5CC2512C1BE6}" name="Particulars" dataDxfId="117"/>
    <tableColumn id="2" xr3:uid="{93A2DEA1-92A7-4FCA-A898-5CDE182CCC5A}" name="2025" dataDxfId="116"/>
    <tableColumn id="3" xr3:uid="{BF6DA51C-2F54-41AA-90FE-AABD0AF9D99E}" name="2026" dataDxfId="115"/>
    <tableColumn id="4" xr3:uid="{3BC5EF40-D1DA-46AD-B11F-04444F8F970D}" name="2027" dataDxfId="114"/>
    <tableColumn id="5" xr3:uid="{33605CBE-E6A9-4C3A-837A-9C89C8F6C3C5}" name="2028" dataDxfId="113"/>
    <tableColumn id="6" xr3:uid="{DEB9D77D-8473-49B2-B991-4F651C38BF7B}" name="2029" dataDxfId="112"/>
    <tableColumn id="7" xr3:uid="{FFC60C77-FD8B-4539-B15C-5BA737AF70FF}" name="2030" dataDxfId="111"/>
  </tableColumns>
  <tableStyleInfo name="TableStyleMedium9"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8ADAA66-EC83-4F55-AEB4-A74DB571852F}" name="Table10" displayName="Table10" ref="I2:O9" totalsRowShown="0" headerRowDxfId="110" dataDxfId="109" tableBorderDxfId="108" headerRowCellStyle="Percent">
  <autoFilter ref="I2:O9" xr:uid="{A8ADAA66-EC83-4F55-AEB4-A74DB571852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16C361F-DAC8-424B-8054-9327236BAC1F}" name="Particulars" dataDxfId="107"/>
    <tableColumn id="2" xr3:uid="{B84D70E3-AB59-4DFC-BF0B-FDE15EF92770}" name="2025" dataDxfId="106" dataCellStyle="Comma"/>
    <tableColumn id="3" xr3:uid="{44CF394D-F77C-47E0-90A3-7FBE71581B7A}" name="2026" dataDxfId="105" dataCellStyle="Comma"/>
    <tableColumn id="4" xr3:uid="{3995323B-041C-4ED9-880C-854E25AC5558}" name="2027" dataDxfId="104" dataCellStyle="Comma"/>
    <tableColumn id="5" xr3:uid="{9762BB0F-8EE3-4D5A-B5AA-9361D756504D}" name="2028" dataDxfId="103" dataCellStyle="Comma"/>
    <tableColumn id="6" xr3:uid="{31B24C98-7CF1-4308-98C4-5AE4F410CEA7}" name="2029" dataDxfId="102" dataCellStyle="Comma"/>
    <tableColumn id="7" xr3:uid="{73BF7E82-AD21-4329-95BB-5CC4A08800A6}" name="2030" dataDxfId="101" dataCellStyle="Comma"/>
  </tableColumns>
  <tableStyleInfo name="TableStyleMedium17"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0D472D9-32C2-4F05-9B1C-2EBBF7926323}" name="Table814" displayName="Table814" ref="I12:J22" totalsRowShown="0" headerRowDxfId="100" dataDxfId="99" tableBorderDxfId="98">
  <autoFilter ref="I12:J22" xr:uid="{D0D472D9-32C2-4F05-9B1C-2EBBF7926323}">
    <filterColumn colId="0" hiddenButton="1"/>
    <filterColumn colId="1" hiddenButton="1"/>
  </autoFilter>
  <tableColumns count="2">
    <tableColumn id="1" xr3:uid="{DBF7AD31-5BFE-4076-9ED8-E84C43B54179}" name="Metrics" dataDxfId="97"/>
    <tableColumn id="2" xr3:uid="{51331A6F-910E-4908-859B-5796F6778055}" name="Value" dataDxfId="96"/>
  </tableColumns>
  <tableStyleInfo name="TableStyleMedium17"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8CBCBC5-1D86-42D1-B2C5-3376DC7D0554}" name="Table85" displayName="Table85" ref="Q12:R22" totalsRowShown="0" headerRowDxfId="95" dataDxfId="94">
  <autoFilter ref="Q12:R22" xr:uid="{08CBCBC5-1D86-42D1-B2C5-3376DC7D0554}">
    <filterColumn colId="0" hiddenButton="1"/>
    <filterColumn colId="1" hiddenButton="1"/>
  </autoFilter>
  <tableColumns count="2">
    <tableColumn id="1" xr3:uid="{E0BA9E8D-5BBD-4327-8E9B-B5930173C2FC}" name="Metrics" dataDxfId="93"/>
    <tableColumn id="2" xr3:uid="{0B75E78B-2050-470F-957E-3A583CBFAF7F}" name="Value" dataDxfId="92"/>
  </tableColumns>
  <tableStyleInfo name="TableStyleMedium9"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DD0CB27-6736-48B3-9004-260CEC7B804B}" name="Table96" displayName="Table96" ref="Q2:W9" totalsRowShown="0" headerRowDxfId="91" dataDxfId="90" headerRowCellStyle="Percent">
  <autoFilter ref="Q2:W9" xr:uid="{ADD0CB27-6736-48B3-9004-260CEC7B804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39B3E0A-1889-4AC7-A6FC-3B8D4E2BD9CB}" name="Particulars" dataDxfId="89"/>
    <tableColumn id="2" xr3:uid="{C11AD89F-9D0C-4E2D-873E-9B565CD63777}" name="2025" dataDxfId="88"/>
    <tableColumn id="3" xr3:uid="{373B35C5-83C7-432C-A283-16B13D239C91}" name="2026" dataDxfId="87"/>
    <tableColumn id="4" xr3:uid="{1E4AEC85-6819-44E9-A5D2-644AF30DF06E}" name="2027" dataDxfId="86"/>
    <tableColumn id="5" xr3:uid="{E69E2BB9-40E4-4367-B3BB-F49E9BD062C9}" name="2028" dataDxfId="85"/>
    <tableColumn id="6" xr3:uid="{142B84E6-964A-4153-909F-30682D588B7C}" name="2029" dataDxfId="84"/>
    <tableColumn id="7" xr3:uid="{4EAD9893-0FCF-49BD-8ED0-3CE4A02BEF58}" name="2030" dataDxfId="83"/>
  </tableColumns>
  <tableStyleInfo name="TableStyleMedium9"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09188D9-0578-4AC0-A559-75F5F424B0C4}" name="Table107" displayName="Table107" ref="Y2:AE9" totalsRowShown="0" headerRowDxfId="82" dataDxfId="81" tableBorderDxfId="80" headerRowCellStyle="Percent">
  <autoFilter ref="Y2:AE9" xr:uid="{209188D9-0578-4AC0-A559-75F5F424B0C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7336ABF-6B99-4E6F-BEC1-48B58A6ED1A1}" name="Particulars" dataDxfId="79"/>
    <tableColumn id="2" xr3:uid="{75728F43-7D3D-4586-A4D9-8BD07D3082A5}" name="2025" dataDxfId="78" dataCellStyle="Comma"/>
    <tableColumn id="3" xr3:uid="{93CEC0B1-4C1C-433E-9465-1E8A00301BFE}" name="2026" dataDxfId="77" dataCellStyle="Comma"/>
    <tableColumn id="4" xr3:uid="{B899F202-2106-402F-883C-E7C8C9E0C8B9}" name="2027" dataDxfId="76" dataCellStyle="Comma"/>
    <tableColumn id="5" xr3:uid="{2F0BC99C-F2BE-45CD-803A-43C939E30FD8}" name="2028" dataDxfId="75" dataCellStyle="Comma"/>
    <tableColumn id="6" xr3:uid="{05CD6E78-0951-401B-815F-D0F0C33BD170}" name="2029" dataDxfId="74" dataCellStyle="Comma"/>
    <tableColumn id="7" xr3:uid="{B3C324A6-3831-48A1-9EC2-CDEDA43D32C9}" name="2030" dataDxfId="73" dataCellStyle="Comma"/>
  </tableColumns>
  <tableStyleInfo name="TableStyleMedium17"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3B3D288-F9D3-4B24-A57F-BA902DC7BA00}" name="Table81411" displayName="Table81411" ref="Y12:Z22" totalsRowShown="0" headerRowDxfId="72" dataDxfId="71" tableBorderDxfId="70">
  <autoFilter ref="Y12:Z22" xr:uid="{13B3D288-F9D3-4B24-A57F-BA902DC7BA00}">
    <filterColumn colId="0" hiddenButton="1"/>
    <filterColumn colId="1" hiddenButton="1"/>
  </autoFilter>
  <tableColumns count="2">
    <tableColumn id="1" xr3:uid="{45746702-2DD6-49EB-AE1B-3CFD9A415D62}" name="Metrics" dataDxfId="69"/>
    <tableColumn id="2" xr3:uid="{798382D6-9EE9-48C8-8A19-1154491D2940}" name="Value" dataDxfId="68"/>
  </tableColumns>
  <tableStyleInfo name="TableStyleMedium17"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780B563-9A8F-4211-A27B-2689B6D4E366}" name="Table8514" displayName="Table8514" ref="AG12:AH22" totalsRowShown="0" headerRowDxfId="67" dataDxfId="66">
  <autoFilter ref="AG12:AH22" xr:uid="{4780B563-9A8F-4211-A27B-2689B6D4E366}">
    <filterColumn colId="0" hiddenButton="1"/>
    <filterColumn colId="1" hiddenButton="1"/>
  </autoFilter>
  <tableColumns count="2">
    <tableColumn id="1" xr3:uid="{E8A615EF-4E7C-41CE-95D3-88E50782C632}" name="Metrics" dataDxfId="65"/>
    <tableColumn id="2" xr3:uid="{76B27C91-FE15-49F9-9BC9-F039624AA565}" name="Value" dataDxfId="64"/>
  </tableColumns>
  <tableStyleInfo name="TableStyleMedium9"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4336C7E-6F8F-41FD-A3A5-E3CE5D16F870}" name="Table9619" displayName="Table9619" ref="AG2:AM9" totalsRowShown="0" headerRowDxfId="63" dataDxfId="62" headerRowCellStyle="Percent">
  <autoFilter ref="AG2:AM9" xr:uid="{84336C7E-6F8F-41FD-A3A5-E3CE5D16F87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D7AEDEF-BC17-43E2-B398-40DC05D1E81A}" name="Particulars" dataDxfId="61"/>
    <tableColumn id="2" xr3:uid="{AEEE6891-E335-4BCA-B904-5CF7FA3ADD41}" name="2025" dataDxfId="60" dataCellStyle="Comma"/>
    <tableColumn id="3" xr3:uid="{755A3D02-020B-4B16-B834-081ED2D781CC}" name="2026" dataDxfId="59" dataCellStyle="Comma"/>
    <tableColumn id="4" xr3:uid="{A2ED2A60-50AF-4898-BEB6-DDB9C1F1B5BE}" name="2027" dataDxfId="58" dataCellStyle="Comma"/>
    <tableColumn id="5" xr3:uid="{F4FD78D0-E12B-4AAE-BCAA-97FB8A58EF83}" name="2028" dataDxfId="57" dataCellStyle="Comma"/>
    <tableColumn id="6" xr3:uid="{87F3FDBB-2CC7-4F47-A76D-28C5FC944F4C}" name="2029" dataDxfId="56" dataCellStyle="Comma"/>
    <tableColumn id="7" xr3:uid="{F744A0EC-B01B-42BF-8122-8D95A476807A}" name="2030" dataDxfId="55" dataCellStyle="Comma"/>
  </tableColumns>
  <tableStyleInfo name="TableStyleMedium9"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7EE4C68C-880C-415A-A77D-29517EB880FC}" name="Table14" displayName="Table14" ref="A19:E24" totalsRowShown="0" headerRowDxfId="54" dataDxfId="53" tableBorderDxfId="52">
  <autoFilter ref="A19:E24" xr:uid="{7EE4C68C-880C-415A-A77D-29517EB880FC}">
    <filterColumn colId="0" hiddenButton="1"/>
    <filterColumn colId="1" hiddenButton="1"/>
    <filterColumn colId="2" hiddenButton="1"/>
    <filterColumn colId="3" hiddenButton="1"/>
    <filterColumn colId="4" hiddenButton="1"/>
  </autoFilter>
  <tableColumns count="5">
    <tableColumn id="1" xr3:uid="{C457B542-A708-4862-95AA-ADA61FC88C81}" name="Company" dataDxfId="51"/>
    <tableColumn id="2" xr3:uid="{A87E0F37-506F-42EE-A44F-52E2D3BAB350}" name="EBITDA" dataDxfId="50"/>
    <tableColumn id="3" xr3:uid="{A12C03D3-0636-4BE2-9624-A2874303D9B3}" name="Net Income" dataDxfId="49"/>
    <tableColumn id="4" xr3:uid="{C3E7AC37-E450-477E-8B94-3310ED7E0416}" name="Revenue" dataDxfId="48"/>
    <tableColumn id="5" xr3:uid="{8A3B938D-0AC4-4886-B82F-F38074EBB6E3}" name="Book Value" dataDxfId="47"/>
  </tableColumns>
  <tableStyleInfo name="TableStyleMedium17"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94AA7BC4-3F3F-4053-9274-8B70562E76A0}" name="Table39" displayName="Table39" ref="G9:J14" totalsRowShown="0" headerRowDxfId="46" dataDxfId="45" tableBorderDxfId="44" headerRowCellStyle="Comma">
  <autoFilter ref="G9:J14" xr:uid="{94AA7BC4-3F3F-4053-9274-8B70562E76A0}">
    <filterColumn colId="0" hiddenButton="1"/>
    <filterColumn colId="1" hiddenButton="1"/>
    <filterColumn colId="2" hiddenButton="1"/>
    <filterColumn colId="3" hiddenButton="1"/>
  </autoFilter>
  <tableColumns count="4">
    <tableColumn id="1" xr3:uid="{F3522E45-58F0-4A0D-86A7-816A2EBD00FC}" name="Company" dataDxfId="43">
      <calculatedColumnFormula>G3</calculatedColumnFormula>
    </tableColumn>
    <tableColumn id="2" xr3:uid="{AC32CC44-B857-46C8-8BC6-3FCDFE2DEF7E}" name="Target price" dataDxfId="42">
      <calculatedColumnFormula>AVERAGE(H3:K3)</calculatedColumnFormula>
    </tableColumn>
    <tableColumn id="3" xr3:uid="{42670E68-AF0B-4CAB-86AE-C3F881175D4E}" name="CMP" dataDxfId="41" dataCellStyle="Comma"/>
    <tableColumn id="4" xr3:uid="{22DA6513-C520-476C-9A61-527DDA0A749A}" name="U/D" dataDxfId="40" dataCellStyle="Percent">
      <calculatedColumnFormula>(Table39[[#This Row],[Target price]]-I10)/I10</calculatedColumnFormula>
    </tableColumn>
  </tableColumns>
  <tableStyleInfo name="TableStyleMedium13"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180E2065-1032-4466-9C8D-1619445F87DC}" name="Table23" displayName="Table23" ref="Y1:AE3" totalsRowShown="0" headerRowDxfId="39" dataDxfId="37" headerRowBorderDxfId="38" tableBorderDxfId="36" totalsRowBorderDxfId="35">
  <autoFilter ref="Y1:AE3" xr:uid="{180E2065-1032-4466-9C8D-1619445F87D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0FF6F70-A795-408D-9FDF-83E4B9196327}" name="Company" dataDxfId="34"/>
    <tableColumn id="2" xr3:uid="{87CA3192-401F-40CA-AB36-74B6E78D0034}" name="WACC" dataDxfId="33">
      <calculatedColumnFormula>Assumptions!C21</calculatedColumnFormula>
    </tableColumn>
    <tableColumn id="3" xr3:uid="{D0C2ABD1-6649-490D-985D-B92043A2C7DB}" name="Terminal Growth" dataDxfId="32">
      <calculatedColumnFormula>Assumptions!C22</calculatedColumnFormula>
    </tableColumn>
    <tableColumn id="4" xr3:uid="{69D8590F-DCCB-4D9E-8DDA-B23E6196E3EB}" name="Cost of equity" dataDxfId="31">
      <calculatedColumnFormula>Assumptions!C12</calculatedColumnFormula>
    </tableColumn>
    <tableColumn id="5" xr3:uid="{7B3F2D6E-B74C-4452-BDD2-DB5E71736624}" name="Instrinsic Value" dataDxfId="30">
      <calculatedColumnFormula>DCF!J19</calculatedColumnFormula>
    </tableColumn>
    <tableColumn id="6" xr3:uid="{3AF8F438-4960-4502-BA79-23311D71DD8C}" name="Share price" dataDxfId="29">
      <calculatedColumnFormula>DCF!J20</calculatedColumnFormula>
    </tableColumn>
    <tableColumn id="7" xr3:uid="{450DAB68-CEE8-4A0B-8022-A6F628551FE8}" name="Upside/Downside" dataDxfId="28" dataCellStyle="Percent">
      <calculatedColumnFormula>(AC2-AD2)/AD2</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table" Target="../tables/table22.xml"/></Relationships>
</file>

<file path=xl/worksheets/_rels/sheet4.xml.rels><?xml version="1.0" encoding="UTF-8" standalone="yes"?>
<Relationships xmlns="http://schemas.openxmlformats.org/package/2006/relationships"><Relationship Id="rId8" Type="http://schemas.openxmlformats.org/officeDocument/2006/relationships/table" Target="../tables/table31.xml"/><Relationship Id="rId3" Type="http://schemas.openxmlformats.org/officeDocument/2006/relationships/table" Target="../tables/table26.xml"/><Relationship Id="rId7" Type="http://schemas.openxmlformats.org/officeDocument/2006/relationships/table" Target="../tables/table30.xml"/><Relationship Id="rId2" Type="http://schemas.openxmlformats.org/officeDocument/2006/relationships/table" Target="../tables/table25.xml"/><Relationship Id="rId1" Type="http://schemas.openxmlformats.org/officeDocument/2006/relationships/table" Target="../tables/table24.xml"/><Relationship Id="rId6" Type="http://schemas.openxmlformats.org/officeDocument/2006/relationships/table" Target="../tables/table29.xml"/><Relationship Id="rId5" Type="http://schemas.openxmlformats.org/officeDocument/2006/relationships/table" Target="../tables/table2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5.xml"/><Relationship Id="rId1" Type="http://schemas.openxmlformats.org/officeDocument/2006/relationships/table" Target="../tables/table3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topLeftCell="D1" workbookViewId="0">
      <selection activeCell="J5" sqref="J5"/>
    </sheetView>
  </sheetViews>
  <sheetFormatPr defaultRowHeight="14.4" x14ac:dyDescent="0.3"/>
  <cols>
    <col min="1" max="1" width="16.44140625" style="2" bestFit="1" customWidth="1"/>
    <col min="2" max="2" width="22.44140625" style="4" bestFit="1" customWidth="1"/>
    <col min="3" max="3" width="28" style="4" bestFit="1" customWidth="1"/>
    <col min="4" max="4" width="18.88671875" style="2" bestFit="1" customWidth="1"/>
    <col min="5" max="5" width="23.21875" style="2" bestFit="1" customWidth="1"/>
    <col min="6" max="6" width="15.88671875" style="2" bestFit="1" customWidth="1"/>
    <col min="7" max="16384" width="8.88671875" style="2"/>
  </cols>
  <sheetData>
    <row r="1" spans="1:6" s="1" customFormat="1" ht="43.2" x14ac:dyDescent="0.3">
      <c r="A1" s="6" t="s">
        <v>0</v>
      </c>
      <c r="B1" s="7" t="e" vm="1">
        <v>#VALUE!</v>
      </c>
      <c r="C1" s="7" t="e" vm="2">
        <v>#VALUE!</v>
      </c>
      <c r="D1" s="6" t="e" vm="3">
        <v>#VALUE!</v>
      </c>
      <c r="E1" s="6" t="e" vm="4">
        <v>#VALUE!</v>
      </c>
      <c r="F1" s="6" t="e" vm="5">
        <v>#VALUE!</v>
      </c>
    </row>
    <row r="2" spans="1:6" x14ac:dyDescent="0.3">
      <c r="A2" s="8" t="s">
        <v>1</v>
      </c>
      <c r="B2" s="9" t="str" cm="1">
        <f t="array" aca="1" ref="B2" ca="1">_FV(B1,"Official name",TRUE)</f>
        <v>NEXTERA ENERGY, INC.</v>
      </c>
      <c r="C2" s="9" t="str" cm="1">
        <f t="array" aca="1" ref="C2" ca="1">_FV(C1,"Official name",TRUE)</f>
        <v>DUKE ENERGY CORPORATION</v>
      </c>
      <c r="D2" s="9" t="str" cm="1">
        <f t="array" aca="1" ref="D2" ca="1">_FV(D1,"Official name",TRUE)</f>
        <v>Dominion Energy, Inc.</v>
      </c>
      <c r="E2" s="9" t="str" cm="1">
        <f t="array" aca="1" ref="E2" ca="1">_FV(E1,"Official name",TRUE)</f>
        <v>THE SOUTHERN COMPANY</v>
      </c>
      <c r="F2" s="9" t="str" cm="1">
        <f t="array" aca="1" ref="F2" ca="1">_FV(F1,"Official name",TRUE)</f>
        <v>Xcel Energy Inc.</v>
      </c>
    </row>
    <row r="3" spans="1:6" x14ac:dyDescent="0.3">
      <c r="A3" s="8" t="s">
        <v>2</v>
      </c>
      <c r="B3" s="10" cm="1">
        <f t="array" aca="1" ref="B3" ca="1">_FV(B1,"Price")</f>
        <v>84.7</v>
      </c>
      <c r="C3" s="10" cm="1">
        <f t="array" aca="1" ref="C3" ca="1">_FV(C1,"Price")</f>
        <v>24.89</v>
      </c>
      <c r="D3" s="10" cm="1">
        <f t="array" aca="1" ref="D3" ca="1">_FV(D1,"Price")</f>
        <v>61.45</v>
      </c>
      <c r="E3" s="10" cm="1">
        <f t="array" aca="1" ref="E3" ca="1">_FV(E1,"Price")</f>
        <v>90.76</v>
      </c>
      <c r="F3" s="10" cm="1">
        <f t="array" aca="1" ref="F3" ca="1">_FV(F1,"Price")</f>
        <v>81</v>
      </c>
    </row>
    <row r="4" spans="1:6" x14ac:dyDescent="0.3">
      <c r="A4" s="8" t="s">
        <v>3</v>
      </c>
      <c r="B4" s="11" cm="1">
        <f t="array" aca="1" ref="B4" ca="1">_FV(B1,"Change (%)",TRUE)</f>
        <v>-1.2244999999999999E-2</v>
      </c>
      <c r="C4" s="11" cm="1">
        <f t="array" aca="1" ref="C4" ca="1">_FV(C1,"Change (%)",TRUE)</f>
        <v>1.6100000000000001E-3</v>
      </c>
      <c r="D4" s="11" cm="1">
        <f t="array" aca="1" ref="D4" ca="1">_FV(D1,"Change (%)",TRUE)</f>
        <v>-8.1299999999999992E-4</v>
      </c>
      <c r="E4" s="11" cm="1">
        <f t="array" aca="1" ref="E4" ca="1">_FV(E1,"Change (%)",TRUE)</f>
        <v>1.9870000000000001E-3</v>
      </c>
      <c r="F4" s="11" cm="1">
        <f t="array" aca="1" ref="F4" ca="1">_FV(F1,"Change (%)",TRUE)</f>
        <v>-3.8129999999999995E-3</v>
      </c>
    </row>
    <row r="5" spans="1:6" x14ac:dyDescent="0.3">
      <c r="A5" s="8" t="s">
        <v>4</v>
      </c>
      <c r="B5" s="12" cm="1">
        <f t="array" aca="1" ref="B5" ca="1">_FV(B1,"Beta")</f>
        <v>0.72150000000000003</v>
      </c>
      <c r="C5" s="12" cm="1">
        <f t="array" aca="1" ref="C5" ca="1">_FV(C1,"Beta")</f>
        <v>0.47370000000000001</v>
      </c>
      <c r="D5" s="12" cm="1">
        <f t="array" aca="1" ref="D5" ca="1">_FV(D1,"Beta")</f>
        <v>0.67079999999999995</v>
      </c>
      <c r="E5" s="12" cm="1">
        <f t="array" aca="1" ref="E5" ca="1">_FV(E1,"Beta")</f>
        <v>0.4486</v>
      </c>
      <c r="F5" s="12" cm="1">
        <f t="array" aca="1" ref="F5" ca="1">_FV(F1,"Beta")</f>
        <v>0.45190000000000002</v>
      </c>
    </row>
    <row r="6" spans="1:6" x14ac:dyDescent="0.3">
      <c r="A6" s="8" t="s">
        <v>5</v>
      </c>
      <c r="B6" s="13" cm="1">
        <f t="array" aca="1" ref="B6" ca="1">_FV(B1,"Shares outstanding",TRUE)</f>
        <v>2082610000</v>
      </c>
      <c r="C6" s="13" cm="1">
        <f t="array" aca="1" ref="C6" ca="1">_FV(C1,"Shares outstanding",TRUE)</f>
        <v>777661200</v>
      </c>
      <c r="D6" s="13" cm="1">
        <f t="array" aca="1" ref="D6" ca="1">_FV(D1,"Shares outstanding",TRUE)</f>
        <v>853913300</v>
      </c>
      <c r="E6" s="13" cm="1">
        <f t="array" aca="1" ref="E6" ca="1">_FV(E1,"Shares outstanding",TRUE)</f>
        <v>1101105000</v>
      </c>
      <c r="F6" s="13" cm="1">
        <f t="array" aca="1" ref="F6" ca="1">_FV(F1,"Shares outstanding",TRUE)</f>
        <v>591539800</v>
      </c>
    </row>
    <row r="7" spans="1:6" x14ac:dyDescent="0.3">
      <c r="A7" s="8" t="s">
        <v>6</v>
      </c>
      <c r="B7" s="12">
        <f ca="1">B6/1000000</f>
        <v>2082.61</v>
      </c>
      <c r="C7" s="12">
        <f ca="1">C6/1000000</f>
        <v>777.66120000000001</v>
      </c>
      <c r="D7" s="12">
        <f t="shared" ref="D7:F7" ca="1" si="0">D6/1000000</f>
        <v>853.91330000000005</v>
      </c>
      <c r="E7" s="12">
        <f t="shared" ca="1" si="0"/>
        <v>1101.105</v>
      </c>
      <c r="F7" s="12">
        <f t="shared" ca="1" si="0"/>
        <v>591.53980000000001</v>
      </c>
    </row>
    <row r="8" spans="1:6" x14ac:dyDescent="0.3">
      <c r="A8" s="8" t="s">
        <v>7</v>
      </c>
      <c r="B8" s="14" cm="1">
        <f t="array" aca="1" ref="B8" ca="1">_FV(B1,"Market cap",TRUE)</f>
        <v>176397067000</v>
      </c>
      <c r="C8" s="14" cm="1">
        <f t="array" aca="1" ref="C8" ca="1">_FV(C1,"Market cap",TRUE)</f>
        <v>97347630000</v>
      </c>
      <c r="D8" s="14" cm="1">
        <f t="array" aca="1" ref="D8" ca="1">_FV(D1,"Market cap",TRUE)</f>
        <v>52472972285</v>
      </c>
      <c r="E8" s="14" cm="1">
        <f t="array" aca="1" ref="E8" ca="1">_FV(E1,"Market cap",TRUE)</f>
        <v>99936289800</v>
      </c>
      <c r="F8" s="14" cm="1">
        <f t="array" aca="1" ref="F8" ca="1">_FV(F1,"Market cap",TRUE)</f>
        <v>47914723800</v>
      </c>
    </row>
    <row r="9" spans="1:6" x14ac:dyDescent="0.3">
      <c r="A9" s="8" t="s">
        <v>6</v>
      </c>
      <c r="B9" s="15">
        <f ca="1">B8/1000000</f>
        <v>176397.06700000001</v>
      </c>
      <c r="C9" s="15">
        <f ca="1">C8/1000000</f>
        <v>97347.63</v>
      </c>
      <c r="D9" s="15">
        <f t="shared" ref="D9:F9" ca="1" si="1">D8/1000000</f>
        <v>52472.972285000003</v>
      </c>
      <c r="E9" s="15">
        <f t="shared" ca="1" si="1"/>
        <v>99936.289799999999</v>
      </c>
      <c r="F9" s="15">
        <f t="shared" ca="1" si="1"/>
        <v>47914.7238</v>
      </c>
    </row>
    <row r="10" spans="1:6" x14ac:dyDescent="0.3">
      <c r="A10" s="8" t="s">
        <v>8</v>
      </c>
      <c r="B10" s="16" cm="1">
        <f t="array" aca="1" ref="B10" ca="1">_FV(B1,"P/E",TRUE)</f>
        <v>26.881399999999999</v>
      </c>
      <c r="C10" s="16">
        <f ca="1">Relative!C6</f>
        <v>19.450800000000001</v>
      </c>
      <c r="D10" s="16">
        <f>Relative!D6</f>
        <v>2.75</v>
      </c>
      <c r="E10" s="16">
        <f>Relative!E6</f>
        <v>1.74</v>
      </c>
      <c r="F10" s="16">
        <f>Relative!F6</f>
        <v>0</v>
      </c>
    </row>
    <row r="11" spans="1:6" x14ac:dyDescent="0.3">
      <c r="A11" s="8" t="s">
        <v>9</v>
      </c>
      <c r="B11" s="17" cm="1">
        <f t="array" aca="1" ref="B11" ca="1">_FV(B1,"Year incorporated",TRUE)</f>
        <v>1984</v>
      </c>
      <c r="C11" s="17" cm="1">
        <f t="array" aca="1" ref="C11" ca="1">_FV(C1,"Year incorporated",TRUE)</f>
        <v>2005</v>
      </c>
      <c r="D11" s="17" cm="1">
        <f t="array" aca="1" ref="D11" ca="1">_FV(D1,"Year incorporated",TRUE)</f>
        <v>1983</v>
      </c>
      <c r="E11" s="17" cm="1">
        <f t="array" aca="1" ref="E11" ca="1">_FV(E1,"Year incorporated",TRUE)</f>
        <v>1945</v>
      </c>
      <c r="F11" s="17" cm="1">
        <f t="array" aca="1" ref="F11" ca="1">_FV(F1,"Year incorporated",TRUE)</f>
        <v>1909</v>
      </c>
    </row>
  </sheetData>
  <conditionalFormatting sqref="B4:F4">
    <cfRule type="cellIs" dxfId="27" priority="1" operator="greaterThan">
      <formula>0</formula>
    </cfRule>
    <cfRule type="cellIs" dxfId="26" priority="2" operator="lessThan">
      <formula>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A43E7-6954-4498-AFF5-5E94B90ED302}">
  <dimension ref="A1:AI45"/>
  <sheetViews>
    <sheetView topLeftCell="AD26" workbookViewId="0">
      <selection activeCell="AF45" sqref="AF45"/>
    </sheetView>
  </sheetViews>
  <sheetFormatPr defaultRowHeight="14.4" x14ac:dyDescent="0.3"/>
  <cols>
    <col min="1" max="1" width="30.109375" style="2" bestFit="1" customWidth="1"/>
    <col min="2" max="3" width="9.88671875" style="2" bestFit="1" customWidth="1"/>
    <col min="4" max="6" width="10.88671875" style="2" bestFit="1" customWidth="1"/>
    <col min="7" max="7" width="8.88671875" style="2"/>
    <col min="8" max="8" width="30.109375" style="2" bestFit="1" customWidth="1"/>
    <col min="9" max="13" width="10.88671875" style="2" bestFit="1" customWidth="1"/>
    <col min="14" max="14" width="8.88671875" style="2"/>
    <col min="15" max="15" width="30.109375" style="2" bestFit="1" customWidth="1"/>
    <col min="16" max="16" width="9.88671875" style="2" bestFit="1" customWidth="1"/>
    <col min="17" max="17" width="9.88671875" style="4" bestFit="1" customWidth="1"/>
    <col min="18" max="20" width="10.88671875" style="4" bestFit="1" customWidth="1"/>
    <col min="21" max="21" width="9.88671875" style="4" bestFit="1" customWidth="1"/>
    <col min="22" max="22" width="30.109375" style="2" bestFit="1" customWidth="1"/>
    <col min="23" max="25" width="11" style="2" bestFit="1" customWidth="1"/>
    <col min="26" max="27" width="11" style="4" bestFit="1" customWidth="1"/>
    <col min="28" max="28" width="9.88671875" style="4" bestFit="1" customWidth="1"/>
    <col min="29" max="29" width="30.109375" style="4" bestFit="1" customWidth="1"/>
    <col min="30" max="31" width="10" style="4" bestFit="1" customWidth="1"/>
    <col min="32" max="34" width="10" style="2" bestFit="1" customWidth="1"/>
    <col min="35" max="35" width="9.88671875" style="2" bestFit="1" customWidth="1"/>
    <col min="36" max="16384" width="8.88671875" style="2"/>
  </cols>
  <sheetData>
    <row r="1" spans="1:34" x14ac:dyDescent="0.3">
      <c r="A1" s="19" t="s">
        <v>11</v>
      </c>
      <c r="F1" s="24" t="s">
        <v>63</v>
      </c>
      <c r="H1" s="19" t="s">
        <v>11</v>
      </c>
      <c r="M1" s="24" t="s">
        <v>62</v>
      </c>
      <c r="O1" s="19" t="s">
        <v>11</v>
      </c>
      <c r="Q1" s="2"/>
      <c r="R1" s="2"/>
      <c r="S1" s="2"/>
      <c r="T1" s="24" t="s">
        <v>127</v>
      </c>
      <c r="U1" s="2"/>
      <c r="V1" s="19" t="s">
        <v>11</v>
      </c>
      <c r="Z1" s="2"/>
      <c r="AA1" s="24" t="s">
        <v>129</v>
      </c>
      <c r="AB1" s="2"/>
      <c r="AC1" s="19" t="s">
        <v>11</v>
      </c>
      <c r="AD1" s="2"/>
      <c r="AE1" s="2"/>
      <c r="AH1" s="24" t="s">
        <v>130</v>
      </c>
    </row>
    <row r="2" spans="1:34" x14ac:dyDescent="0.3">
      <c r="A2" s="2" t="s">
        <v>12</v>
      </c>
      <c r="B2" s="18" t="s">
        <v>34</v>
      </c>
      <c r="C2" s="18" t="s">
        <v>35</v>
      </c>
      <c r="D2" s="18" t="s">
        <v>36</v>
      </c>
      <c r="E2" s="18" t="s">
        <v>37</v>
      </c>
      <c r="F2" s="18" t="s">
        <v>38</v>
      </c>
      <c r="H2" s="2" t="s">
        <v>12</v>
      </c>
      <c r="I2" s="18" t="s">
        <v>34</v>
      </c>
      <c r="J2" s="18" t="s">
        <v>35</v>
      </c>
      <c r="K2" s="18" t="s">
        <v>36</v>
      </c>
      <c r="L2" s="18" t="s">
        <v>37</v>
      </c>
      <c r="M2" s="18" t="s">
        <v>38</v>
      </c>
      <c r="O2" s="2" t="s">
        <v>12</v>
      </c>
      <c r="P2" s="18" t="s">
        <v>34</v>
      </c>
      <c r="Q2" s="18" t="s">
        <v>35</v>
      </c>
      <c r="R2" s="18" t="s">
        <v>36</v>
      </c>
      <c r="S2" s="18" t="s">
        <v>37</v>
      </c>
      <c r="T2" s="18" t="s">
        <v>38</v>
      </c>
      <c r="U2" s="2"/>
      <c r="V2" s="2" t="s">
        <v>12</v>
      </c>
      <c r="W2" s="18" t="s">
        <v>34</v>
      </c>
      <c r="X2" s="18" t="s">
        <v>35</v>
      </c>
      <c r="Y2" s="18" t="s">
        <v>36</v>
      </c>
      <c r="Z2" s="18" t="s">
        <v>37</v>
      </c>
      <c r="AA2" s="18" t="s">
        <v>38</v>
      </c>
      <c r="AB2" s="2"/>
      <c r="AC2" s="2" t="s">
        <v>12</v>
      </c>
      <c r="AD2" s="18" t="s">
        <v>34</v>
      </c>
      <c r="AE2" s="18" t="s">
        <v>35</v>
      </c>
      <c r="AF2" s="18" t="s">
        <v>36</v>
      </c>
      <c r="AG2" s="18" t="s">
        <v>37</v>
      </c>
      <c r="AH2" s="18" t="s">
        <v>38</v>
      </c>
    </row>
    <row r="3" spans="1:34" x14ac:dyDescent="0.3">
      <c r="A3" s="8" t="s">
        <v>13</v>
      </c>
      <c r="B3" s="25">
        <v>17997</v>
      </c>
      <c r="C3" s="25">
        <v>17069</v>
      </c>
      <c r="D3" s="25">
        <v>20956</v>
      </c>
      <c r="E3" s="25">
        <v>28114</v>
      </c>
      <c r="F3" s="25">
        <v>24753</v>
      </c>
      <c r="H3" s="8" t="s">
        <v>13</v>
      </c>
      <c r="I3" s="25">
        <v>23868</v>
      </c>
      <c r="J3" s="25">
        <v>25097</v>
      </c>
      <c r="K3" s="25">
        <v>28768</v>
      </c>
      <c r="L3" s="25">
        <v>29060</v>
      </c>
      <c r="M3" s="25">
        <v>30357</v>
      </c>
      <c r="O3" s="8" t="s">
        <v>13</v>
      </c>
      <c r="P3" s="25">
        <v>14172</v>
      </c>
      <c r="Q3" s="25">
        <v>13964</v>
      </c>
      <c r="R3" s="25">
        <v>17174</v>
      </c>
      <c r="S3" s="25">
        <v>14393</v>
      </c>
      <c r="T3" s="25">
        <v>14459</v>
      </c>
      <c r="U3" s="2"/>
      <c r="V3" s="8" t="s">
        <v>13</v>
      </c>
      <c r="W3" s="25">
        <v>20375</v>
      </c>
      <c r="X3" s="25">
        <v>23113</v>
      </c>
      <c r="Y3" s="25">
        <v>29279</v>
      </c>
      <c r="Z3" s="25">
        <v>25253</v>
      </c>
      <c r="AA3" s="25">
        <v>26724</v>
      </c>
      <c r="AB3" s="2"/>
      <c r="AC3" s="8" t="s">
        <v>13</v>
      </c>
      <c r="AD3" s="25">
        <v>11526</v>
      </c>
      <c r="AE3" s="25">
        <v>13431</v>
      </c>
      <c r="AF3" s="25">
        <v>15310</v>
      </c>
      <c r="AG3" s="25">
        <v>14206</v>
      </c>
      <c r="AH3" s="25">
        <v>13441</v>
      </c>
    </row>
    <row r="4" spans="1:34" x14ac:dyDescent="0.3">
      <c r="A4" s="8" t="s">
        <v>64</v>
      </c>
      <c r="B4" s="25">
        <f>3539+3934</f>
        <v>7473</v>
      </c>
      <c r="C4" s="25">
        <f>4527+3981</f>
        <v>8508</v>
      </c>
      <c r="D4" s="25">
        <f>6389+4428</f>
        <v>10817</v>
      </c>
      <c r="E4" s="25">
        <f>5457+4681</f>
        <v>10138</v>
      </c>
      <c r="F4" s="25">
        <f>5029+4857</f>
        <v>9886</v>
      </c>
      <c r="H4" s="8" t="s">
        <v>65</v>
      </c>
      <c r="I4" s="25">
        <f>19325-4705</f>
        <v>14620</v>
      </c>
      <c r="J4" s="25">
        <f>19737-4990</f>
        <v>14747</v>
      </c>
      <c r="K4" s="25">
        <f>22778-5086</f>
        <v>17692</v>
      </c>
      <c r="L4" s="25">
        <f>22042-5253</f>
        <v>16789</v>
      </c>
      <c r="M4" s="25">
        <f>22457-5793</f>
        <v>16664</v>
      </c>
      <c r="O4" s="8" t="s">
        <v>64</v>
      </c>
      <c r="P4" s="25">
        <f>12117-733-2332</f>
        <v>9052</v>
      </c>
      <c r="Q4" s="25">
        <f>10945-2478-276-1157</f>
        <v>7034</v>
      </c>
      <c r="R4" s="25">
        <f>15578-2830-299-124</f>
        <v>12325</v>
      </c>
      <c r="S4" s="25">
        <f>10979-2580-984</f>
        <v>7415</v>
      </c>
      <c r="T4" s="25">
        <f>11212-2345-822</f>
        <v>8045</v>
      </c>
      <c r="U4" s="2"/>
      <c r="V4" s="8" t="s">
        <v>65</v>
      </c>
      <c r="W4" s="25">
        <f>15490-3518-149-153+206-336</f>
        <v>11540</v>
      </c>
      <c r="X4" s="25">
        <f>19415-3565-190-76+7-456</f>
        <v>15135</v>
      </c>
      <c r="Y4" s="25">
        <f>23909-3663-224-151-500</f>
        <v>19371</v>
      </c>
      <c r="Z4" s="25">
        <f>19427-4525-268-144-553</f>
        <v>13937</v>
      </c>
      <c r="AA4" s="25">
        <f>19656-235-139-530-4755</f>
        <v>13997</v>
      </c>
      <c r="AB4" s="2"/>
      <c r="AC4" s="8" t="s">
        <v>65</v>
      </c>
      <c r="AD4" s="25">
        <f>9410-1948+6-40-115</f>
        <v>7313</v>
      </c>
      <c r="AE4" s="25">
        <f>11228-2121-5-62-73</f>
        <v>8967</v>
      </c>
      <c r="AF4" s="25">
        <f>12882-2413-36-75</f>
        <v>10358</v>
      </c>
      <c r="AG4" s="25">
        <f>11725-2448-22-35-91</f>
        <v>9129</v>
      </c>
      <c r="AH4" s="25">
        <f>11055-143-19-168-2744</f>
        <v>7981</v>
      </c>
    </row>
    <row r="5" spans="1:34" x14ac:dyDescent="0.3">
      <c r="A5" s="27" t="s">
        <v>14</v>
      </c>
      <c r="B5" s="28">
        <f>B3-B4</f>
        <v>10524</v>
      </c>
      <c r="C5" s="28">
        <f>C3-C4</f>
        <v>8561</v>
      </c>
      <c r="D5" s="28">
        <f>D3-D4</f>
        <v>10139</v>
      </c>
      <c r="E5" s="28">
        <f>E3-E4</f>
        <v>17976</v>
      </c>
      <c r="F5" s="28">
        <f>F3-F4</f>
        <v>14867</v>
      </c>
      <c r="G5" s="19"/>
      <c r="H5" s="27" t="s">
        <v>14</v>
      </c>
      <c r="I5" s="28">
        <f>I3-I4</f>
        <v>9248</v>
      </c>
      <c r="J5" s="28">
        <f>J3-J4</f>
        <v>10350</v>
      </c>
      <c r="K5" s="28">
        <f>K3-K4</f>
        <v>11076</v>
      </c>
      <c r="L5" s="28">
        <f>L3-L4</f>
        <v>12271</v>
      </c>
      <c r="M5" s="28">
        <f>M3-M4</f>
        <v>13693</v>
      </c>
      <c r="N5" s="19"/>
      <c r="O5" s="27" t="s">
        <v>14</v>
      </c>
      <c r="P5" s="28">
        <f>P3-P4</f>
        <v>5120</v>
      </c>
      <c r="Q5" s="28">
        <f>Q3-Q4</f>
        <v>6930</v>
      </c>
      <c r="R5" s="28">
        <f>R3-R4</f>
        <v>4849</v>
      </c>
      <c r="S5" s="28">
        <f>S3-S4</f>
        <v>6978</v>
      </c>
      <c r="T5" s="28">
        <f>T3-T4</f>
        <v>6414</v>
      </c>
      <c r="U5" s="19"/>
      <c r="V5" s="27" t="s">
        <v>14</v>
      </c>
      <c r="W5" s="28">
        <f>W3-W4</f>
        <v>8835</v>
      </c>
      <c r="X5" s="28">
        <f>X3-X4</f>
        <v>7978</v>
      </c>
      <c r="Y5" s="28">
        <f>Y3-Y4</f>
        <v>9908</v>
      </c>
      <c r="Z5" s="28">
        <f>Z3-Z4</f>
        <v>11316</v>
      </c>
      <c r="AA5" s="28">
        <f>AA3-AA4</f>
        <v>12727</v>
      </c>
      <c r="AC5" s="27" t="s">
        <v>14</v>
      </c>
      <c r="AD5" s="28">
        <f>AD3-AD4</f>
        <v>4213</v>
      </c>
      <c r="AE5" s="28">
        <f>AE3-AE4</f>
        <v>4464</v>
      </c>
      <c r="AF5" s="28">
        <f>AF3-AF4</f>
        <v>4952</v>
      </c>
      <c r="AG5" s="28">
        <f>AG3-AG4</f>
        <v>5077</v>
      </c>
      <c r="AH5" s="28">
        <f>AH3-AH4</f>
        <v>5460</v>
      </c>
    </row>
    <row r="6" spans="1:34" x14ac:dyDescent="0.3">
      <c r="A6" s="8" t="s">
        <v>15</v>
      </c>
      <c r="B6" s="25">
        <f>4052</f>
        <v>4052</v>
      </c>
      <c r="C6" s="25">
        <v>3924</v>
      </c>
      <c r="D6" s="25">
        <v>4503</v>
      </c>
      <c r="E6" s="25">
        <v>5879</v>
      </c>
      <c r="F6" s="25">
        <v>5462</v>
      </c>
      <c r="H6" s="8" t="s">
        <v>15</v>
      </c>
      <c r="I6" s="25">
        <v>4705</v>
      </c>
      <c r="J6" s="25">
        <v>4990</v>
      </c>
      <c r="K6" s="25">
        <v>5086</v>
      </c>
      <c r="L6" s="25">
        <v>5253</v>
      </c>
      <c r="M6" s="25">
        <v>5793</v>
      </c>
      <c r="O6" s="8" t="s">
        <v>15</v>
      </c>
      <c r="P6" s="25">
        <v>2332</v>
      </c>
      <c r="Q6" s="25">
        <v>2478</v>
      </c>
      <c r="R6" s="25">
        <v>2830</v>
      </c>
      <c r="S6" s="25">
        <v>2580</v>
      </c>
      <c r="T6" s="25">
        <v>2345</v>
      </c>
      <c r="U6" s="2"/>
      <c r="V6" s="8" t="s">
        <v>15</v>
      </c>
      <c r="W6" s="25">
        <v>3518</v>
      </c>
      <c r="X6" s="25">
        <v>3565</v>
      </c>
      <c r="Y6" s="25">
        <v>3663</v>
      </c>
      <c r="Z6" s="25">
        <v>4525</v>
      </c>
      <c r="AA6" s="25">
        <v>4755</v>
      </c>
      <c r="AC6" s="8" t="s">
        <v>15</v>
      </c>
      <c r="AD6" s="25">
        <v>1948</v>
      </c>
      <c r="AE6" s="25">
        <v>2121</v>
      </c>
      <c r="AF6" s="25">
        <v>2413</v>
      </c>
      <c r="AG6" s="25">
        <v>2448</v>
      </c>
      <c r="AH6" s="25">
        <v>2744</v>
      </c>
    </row>
    <row r="7" spans="1:34" x14ac:dyDescent="0.3">
      <c r="A7" s="8" t="s">
        <v>16</v>
      </c>
      <c r="B7" s="25">
        <v>1950</v>
      </c>
      <c r="C7" s="25">
        <v>1270</v>
      </c>
      <c r="D7" s="25">
        <v>585</v>
      </c>
      <c r="E7" s="25">
        <v>3324</v>
      </c>
      <c r="F7" s="25">
        <v>2235</v>
      </c>
      <c r="H7" s="8" t="s">
        <v>16</v>
      </c>
      <c r="I7" s="25">
        <v>2162</v>
      </c>
      <c r="J7" s="25">
        <v>2280</v>
      </c>
      <c r="K7" s="25">
        <v>2439</v>
      </c>
      <c r="L7" s="25">
        <v>3014</v>
      </c>
      <c r="M7" s="25">
        <v>3384</v>
      </c>
      <c r="O7" s="8" t="s">
        <v>16</v>
      </c>
      <c r="P7" s="25">
        <v>1377</v>
      </c>
      <c r="Q7" s="25">
        <v>1354</v>
      </c>
      <c r="R7" s="25">
        <v>966</v>
      </c>
      <c r="S7" s="25">
        <v>1674</v>
      </c>
      <c r="T7" s="25">
        <v>1887</v>
      </c>
      <c r="U7" s="2"/>
      <c r="V7" s="8" t="s">
        <v>16</v>
      </c>
      <c r="W7" s="25">
        <v>1821</v>
      </c>
      <c r="X7" s="25">
        <v>1837</v>
      </c>
      <c r="Y7" s="25">
        <v>2022</v>
      </c>
      <c r="Z7" s="25">
        <v>2446</v>
      </c>
      <c r="AA7" s="25">
        <v>2743</v>
      </c>
      <c r="AC7" s="8" t="s">
        <v>16</v>
      </c>
      <c r="AD7" s="25">
        <f>840+42</f>
        <v>882</v>
      </c>
      <c r="AE7" s="25">
        <f>842+26</f>
        <v>868</v>
      </c>
      <c r="AF7" s="25">
        <f>953+28</f>
        <v>981</v>
      </c>
      <c r="AG7" s="25">
        <f>1055+51</f>
        <v>1106</v>
      </c>
      <c r="AH7" s="25">
        <f>1255+73</f>
        <v>1328</v>
      </c>
    </row>
    <row r="8" spans="1:34" x14ac:dyDescent="0.3">
      <c r="A8" s="8" t="s">
        <v>17</v>
      </c>
      <c r="B8" s="25">
        <v>44</v>
      </c>
      <c r="C8" s="25">
        <v>348</v>
      </c>
      <c r="D8" s="25">
        <v>586</v>
      </c>
      <c r="E8" s="25">
        <v>1006</v>
      </c>
      <c r="F8" s="25">
        <v>339</v>
      </c>
      <c r="H8" s="8" t="s">
        <v>17</v>
      </c>
      <c r="I8" s="25">
        <v>236</v>
      </c>
      <c r="J8" s="25">
        <v>-192</v>
      </c>
      <c r="K8" s="25">
        <v>300</v>
      </c>
      <c r="L8" s="25">
        <v>438</v>
      </c>
      <c r="M8" s="25">
        <v>590</v>
      </c>
      <c r="O8" s="8" t="s">
        <v>17</v>
      </c>
      <c r="P8" s="25">
        <v>83</v>
      </c>
      <c r="Q8" s="25">
        <v>425</v>
      </c>
      <c r="R8" s="25">
        <v>68</v>
      </c>
      <c r="S8" s="25">
        <v>568</v>
      </c>
      <c r="T8" s="25">
        <v>308</v>
      </c>
      <c r="U8" s="2"/>
      <c r="V8" s="8" t="s">
        <v>17</v>
      </c>
      <c r="W8" s="25">
        <v>393</v>
      </c>
      <c r="X8" s="25">
        <v>267</v>
      </c>
      <c r="Y8" s="25">
        <v>795</v>
      </c>
      <c r="Z8" s="25">
        <v>496</v>
      </c>
      <c r="AA8" s="25">
        <v>969</v>
      </c>
      <c r="AC8" s="8" t="s">
        <v>17</v>
      </c>
      <c r="AD8" s="25">
        <v>-6</v>
      </c>
      <c r="AE8" s="25">
        <v>-70</v>
      </c>
      <c r="AF8" s="25">
        <v>-135</v>
      </c>
      <c r="AG8" s="25">
        <v>-146</v>
      </c>
      <c r="AH8" s="25">
        <v>-402</v>
      </c>
    </row>
    <row r="9" spans="1:34" x14ac:dyDescent="0.3">
      <c r="A9" s="27" t="s">
        <v>18</v>
      </c>
      <c r="B9" s="28">
        <f>B5-B6-B7-B8</f>
        <v>4478</v>
      </c>
      <c r="C9" s="28">
        <f>C5-C6-C7-C8</f>
        <v>3019</v>
      </c>
      <c r="D9" s="28">
        <f>D5-D6-D7-D8</f>
        <v>4465</v>
      </c>
      <c r="E9" s="28">
        <f>E5-E6-E7-E8</f>
        <v>7767</v>
      </c>
      <c r="F9" s="28">
        <f>F5-F6-F7-F8</f>
        <v>6831</v>
      </c>
      <c r="G9" s="19"/>
      <c r="H9" s="27" t="s">
        <v>18</v>
      </c>
      <c r="I9" s="28">
        <f>I5-I6-I7-I8</f>
        <v>2145</v>
      </c>
      <c r="J9" s="28">
        <f>J5-J6-J7-J8</f>
        <v>3272</v>
      </c>
      <c r="K9" s="28">
        <f>K5-K6-K7-K8</f>
        <v>3251</v>
      </c>
      <c r="L9" s="28">
        <f>L5-L6-L7-L8</f>
        <v>3566</v>
      </c>
      <c r="M9" s="28">
        <f>M5-M6-M7-M8</f>
        <v>3926</v>
      </c>
      <c r="N9" s="19"/>
      <c r="O9" s="27" t="s">
        <v>18</v>
      </c>
      <c r="P9" s="28">
        <f>P5-P6-P7-P8</f>
        <v>1328</v>
      </c>
      <c r="Q9" s="28">
        <f>Q5-Q6-Q7-Q8</f>
        <v>2673</v>
      </c>
      <c r="R9" s="28">
        <f>R5-R6-R7-R8</f>
        <v>985</v>
      </c>
      <c r="S9" s="28">
        <f>S5-S6-S7-S8</f>
        <v>2156</v>
      </c>
      <c r="T9" s="28">
        <f>T5-T6-T7-T8</f>
        <v>1874</v>
      </c>
      <c r="U9" s="19"/>
      <c r="V9" s="27" t="s">
        <v>18</v>
      </c>
      <c r="W9" s="28">
        <f>W5-W6-W7-W8</f>
        <v>3103</v>
      </c>
      <c r="X9" s="28">
        <f>X5-X6-X7-X8</f>
        <v>2309</v>
      </c>
      <c r="Y9" s="28">
        <f>Y5-Y6-Y7-Y8</f>
        <v>3428</v>
      </c>
      <c r="Z9" s="28">
        <f>Z5-Z6-Z7-Z8</f>
        <v>3849</v>
      </c>
      <c r="AA9" s="28">
        <f>AA5-AA6-AA7-AA8</f>
        <v>4260</v>
      </c>
      <c r="AC9" s="27" t="s">
        <v>18</v>
      </c>
      <c r="AD9" s="28">
        <f>AD5-AD6-AD7-AD8</f>
        <v>1389</v>
      </c>
      <c r="AE9" s="28">
        <f>AE5-AE6-AE7-AE8</f>
        <v>1545</v>
      </c>
      <c r="AF9" s="28">
        <f>AF5-AF6-AF7-AF8</f>
        <v>1693</v>
      </c>
      <c r="AG9" s="28">
        <f>AG5-AG6-AG7-AG8</f>
        <v>1669</v>
      </c>
      <c r="AH9" s="28">
        <f>AH5-AH6-AH7-AH8</f>
        <v>1790</v>
      </c>
    </row>
    <row r="10" spans="1:34" x14ac:dyDescent="0.3">
      <c r="Q10" s="2"/>
      <c r="R10" s="2"/>
      <c r="S10" s="2"/>
      <c r="T10" s="2"/>
      <c r="U10" s="2"/>
      <c r="Z10" s="2"/>
      <c r="AA10" s="2"/>
      <c r="AC10" s="2"/>
      <c r="AD10" s="2"/>
      <c r="AE10" s="2"/>
    </row>
    <row r="11" spans="1:34" x14ac:dyDescent="0.3">
      <c r="A11" s="19" t="s">
        <v>19</v>
      </c>
      <c r="H11" s="19" t="s">
        <v>19</v>
      </c>
      <c r="O11" s="19" t="s">
        <v>19</v>
      </c>
      <c r="Q11" s="2"/>
      <c r="R11" s="2"/>
      <c r="S11" s="2"/>
      <c r="T11" s="2"/>
      <c r="U11" s="2"/>
      <c r="V11" s="19" t="s">
        <v>19</v>
      </c>
      <c r="Z11" s="2"/>
      <c r="AA11" s="2"/>
      <c r="AC11" s="19" t="s">
        <v>19</v>
      </c>
      <c r="AD11" s="2"/>
      <c r="AE11" s="2"/>
    </row>
    <row r="12" spans="1:34" x14ac:dyDescent="0.3">
      <c r="A12" s="2" t="s">
        <v>12</v>
      </c>
      <c r="B12" s="18" t="s">
        <v>34</v>
      </c>
      <c r="C12" s="18" t="s">
        <v>35</v>
      </c>
      <c r="D12" s="18" t="s">
        <v>36</v>
      </c>
      <c r="E12" s="18" t="s">
        <v>37</v>
      </c>
      <c r="F12" s="18" t="s">
        <v>38</v>
      </c>
      <c r="H12" s="2" t="s">
        <v>12</v>
      </c>
      <c r="I12" s="18" t="s">
        <v>34</v>
      </c>
      <c r="J12" s="18" t="s">
        <v>35</v>
      </c>
      <c r="K12" s="18" t="s">
        <v>36</v>
      </c>
      <c r="L12" s="18" t="s">
        <v>37</v>
      </c>
      <c r="M12" s="18" t="s">
        <v>38</v>
      </c>
      <c r="O12" s="2" t="s">
        <v>12</v>
      </c>
      <c r="P12" s="18" t="s">
        <v>34</v>
      </c>
      <c r="Q12" s="18" t="s">
        <v>35</v>
      </c>
      <c r="R12" s="18" t="s">
        <v>36</v>
      </c>
      <c r="S12" s="18" t="s">
        <v>37</v>
      </c>
      <c r="T12" s="18" t="s">
        <v>38</v>
      </c>
      <c r="U12" s="2"/>
      <c r="V12" s="2" t="s">
        <v>12</v>
      </c>
      <c r="W12" s="18" t="s">
        <v>34</v>
      </c>
      <c r="X12" s="18" t="s">
        <v>35</v>
      </c>
      <c r="Y12" s="18" t="s">
        <v>36</v>
      </c>
      <c r="Z12" s="18" t="s">
        <v>37</v>
      </c>
      <c r="AA12" s="18" t="s">
        <v>38</v>
      </c>
      <c r="AC12" s="2" t="s">
        <v>12</v>
      </c>
      <c r="AD12" s="18" t="s">
        <v>34</v>
      </c>
      <c r="AE12" s="18" t="s">
        <v>35</v>
      </c>
      <c r="AF12" s="18" t="s">
        <v>36</v>
      </c>
      <c r="AG12" s="18" t="s">
        <v>37</v>
      </c>
      <c r="AH12" s="18" t="s">
        <v>38</v>
      </c>
    </row>
    <row r="13" spans="1:34" x14ac:dyDescent="0.3">
      <c r="A13" s="8" t="s">
        <v>20</v>
      </c>
      <c r="B13" s="25">
        <v>1105</v>
      </c>
      <c r="C13" s="25">
        <v>639</v>
      </c>
      <c r="D13" s="25">
        <v>1601</v>
      </c>
      <c r="E13" s="25">
        <v>2690</v>
      </c>
      <c r="F13" s="25">
        <v>1487</v>
      </c>
      <c r="H13" s="8" t="s">
        <v>20</v>
      </c>
      <c r="I13" s="25">
        <v>259</v>
      </c>
      <c r="J13" s="25">
        <v>343</v>
      </c>
      <c r="K13" s="25">
        <v>409</v>
      </c>
      <c r="L13" s="25">
        <v>253</v>
      </c>
      <c r="M13" s="25">
        <v>314</v>
      </c>
      <c r="O13" s="8" t="s">
        <v>20</v>
      </c>
      <c r="P13" s="25">
        <v>172</v>
      </c>
      <c r="Q13" s="25">
        <v>283</v>
      </c>
      <c r="R13" s="25">
        <v>153</v>
      </c>
      <c r="S13" s="25">
        <v>184</v>
      </c>
      <c r="T13" s="25">
        <v>310</v>
      </c>
      <c r="U13" s="2"/>
      <c r="V13" s="8" t="s">
        <v>20</v>
      </c>
      <c r="W13" s="25">
        <v>1065</v>
      </c>
      <c r="X13" s="25">
        <v>1798</v>
      </c>
      <c r="Y13" s="25">
        <v>1917</v>
      </c>
      <c r="Z13" s="25">
        <v>748</v>
      </c>
      <c r="AA13" s="25">
        <v>1070</v>
      </c>
      <c r="AC13" s="8" t="s">
        <v>20</v>
      </c>
      <c r="AD13" s="25">
        <v>129</v>
      </c>
      <c r="AE13" s="25">
        <v>166</v>
      </c>
      <c r="AF13" s="25">
        <v>111</v>
      </c>
      <c r="AG13" s="25">
        <v>129</v>
      </c>
      <c r="AH13" s="25">
        <v>179</v>
      </c>
    </row>
    <row r="14" spans="1:34" s="19" customFormat="1" x14ac:dyDescent="0.3">
      <c r="A14" s="27" t="s">
        <v>21</v>
      </c>
      <c r="B14" s="28">
        <f>2263+711</f>
        <v>2974</v>
      </c>
      <c r="C14" s="28">
        <f>3378+730</f>
        <v>4108</v>
      </c>
      <c r="D14" s="28">
        <f>4349+744</f>
        <v>5093</v>
      </c>
      <c r="E14" s="28">
        <f>3609+944</f>
        <v>4553</v>
      </c>
      <c r="F14" s="28">
        <f>3336+1180</f>
        <v>4516</v>
      </c>
      <c r="H14" s="27" t="s">
        <v>21</v>
      </c>
      <c r="I14" s="28">
        <f>1009+2144</f>
        <v>3153</v>
      </c>
      <c r="J14" s="28">
        <f>1173+2437</f>
        <v>3610</v>
      </c>
      <c r="K14" s="28">
        <f>1309+3106</f>
        <v>4415</v>
      </c>
      <c r="L14" s="28">
        <f>1112+3019</f>
        <v>4131</v>
      </c>
      <c r="M14" s="28">
        <f>2232+1889+551</f>
        <v>4672</v>
      </c>
      <c r="O14" s="27" t="s">
        <v>137</v>
      </c>
      <c r="P14" s="28">
        <v>95905</v>
      </c>
      <c r="Q14" s="28">
        <v>99590</v>
      </c>
      <c r="R14" s="28">
        <v>104243</v>
      </c>
      <c r="S14" s="28">
        <v>109080</v>
      </c>
      <c r="T14" s="28">
        <v>102415</v>
      </c>
      <c r="V14" s="27" t="s">
        <v>138</v>
      </c>
      <c r="W14" s="28">
        <v>122935</v>
      </c>
      <c r="X14" s="28">
        <v>127534</v>
      </c>
      <c r="Y14" s="28">
        <v>134891</v>
      </c>
      <c r="Z14" s="28">
        <v>139331</v>
      </c>
      <c r="AA14" s="28">
        <v>145180</v>
      </c>
      <c r="AB14" s="60"/>
      <c r="AC14" s="27" t="s">
        <v>138</v>
      </c>
      <c r="AD14" s="28">
        <v>53957</v>
      </c>
      <c r="AE14" s="28">
        <v>57851</v>
      </c>
      <c r="AF14" s="28">
        <v>61188</v>
      </c>
      <c r="AG14" s="28">
        <v>64079</v>
      </c>
      <c r="AH14" s="28">
        <v>70035</v>
      </c>
    </row>
    <row r="15" spans="1:34" x14ac:dyDescent="0.3">
      <c r="A15" s="8" t="s">
        <v>22</v>
      </c>
      <c r="B15" s="25">
        <v>1552</v>
      </c>
      <c r="C15" s="25">
        <v>1561</v>
      </c>
      <c r="D15" s="25">
        <v>1934</v>
      </c>
      <c r="E15" s="25">
        <v>2106</v>
      </c>
      <c r="F15" s="25">
        <v>2214</v>
      </c>
      <c r="H15" s="8" t="s">
        <v>22</v>
      </c>
      <c r="I15" s="25">
        <v>3167</v>
      </c>
      <c r="J15" s="25">
        <v>3199</v>
      </c>
      <c r="K15" s="25">
        <v>3584</v>
      </c>
      <c r="L15" s="25">
        <v>4292</v>
      </c>
      <c r="M15" s="25">
        <v>4509</v>
      </c>
      <c r="O15" s="8" t="s">
        <v>22</v>
      </c>
      <c r="P15" s="25">
        <f>1105+349+96</f>
        <v>1550</v>
      </c>
      <c r="Q15" s="25">
        <f>1167+320+144</f>
        <v>1631</v>
      </c>
      <c r="R15" s="25">
        <f>1206+358+165</f>
        <v>1729</v>
      </c>
      <c r="S15" s="25">
        <f>1251+417+30</f>
        <v>1698</v>
      </c>
      <c r="T15" s="25">
        <f>1360+382+22</f>
        <v>1764</v>
      </c>
      <c r="U15" s="2"/>
      <c r="V15" s="8" t="s">
        <v>22</v>
      </c>
      <c r="W15" s="25">
        <f>1478+550+460</f>
        <v>2488</v>
      </c>
      <c r="X15" s="25">
        <f>1543+450+362</f>
        <v>2355</v>
      </c>
      <c r="Y15" s="25">
        <f>1664+575+438</f>
        <v>2677</v>
      </c>
      <c r="Z15" s="25">
        <f>1989+943+420</f>
        <v>3352</v>
      </c>
      <c r="AA15" s="25">
        <f>2178+803+388</f>
        <v>3369</v>
      </c>
      <c r="AC15" s="8" t="s">
        <v>22</v>
      </c>
      <c r="AD15" s="25">
        <v>535</v>
      </c>
      <c r="AE15" s="25">
        <v>631</v>
      </c>
      <c r="AF15" s="25">
        <v>803</v>
      </c>
      <c r="AG15" s="25">
        <v>711</v>
      </c>
      <c r="AH15" s="25">
        <v>666</v>
      </c>
    </row>
    <row r="16" spans="1:34" x14ac:dyDescent="0.3">
      <c r="A16" s="8" t="s">
        <v>23</v>
      </c>
      <c r="B16" s="25">
        <v>4615</v>
      </c>
      <c r="C16" s="25">
        <v>6935</v>
      </c>
      <c r="D16" s="25">
        <v>8312</v>
      </c>
      <c r="E16" s="25">
        <v>8504</v>
      </c>
      <c r="F16" s="25">
        <v>6982</v>
      </c>
      <c r="H16" s="8" t="s">
        <v>23</v>
      </c>
      <c r="I16" s="25">
        <v>3144</v>
      </c>
      <c r="J16" s="25">
        <v>3629</v>
      </c>
      <c r="K16" s="25">
        <v>4754</v>
      </c>
      <c r="L16" s="25">
        <v>4228</v>
      </c>
      <c r="M16" s="25">
        <v>5479</v>
      </c>
      <c r="O16" s="8" t="s">
        <v>23</v>
      </c>
      <c r="P16" s="25">
        <v>944</v>
      </c>
      <c r="Q16" s="25">
        <v>1197</v>
      </c>
      <c r="R16" s="25">
        <v>1825</v>
      </c>
      <c r="S16" s="25">
        <v>921</v>
      </c>
      <c r="T16" s="25">
        <v>1149</v>
      </c>
      <c r="U16" s="2"/>
      <c r="V16" s="8" t="s">
        <v>23</v>
      </c>
      <c r="W16" s="25">
        <v>2312</v>
      </c>
      <c r="X16" s="25">
        <v>2169</v>
      </c>
      <c r="Y16" s="25">
        <v>3525</v>
      </c>
      <c r="Z16" s="25">
        <v>2898</v>
      </c>
      <c r="AA16" s="25">
        <v>3701</v>
      </c>
      <c r="AC16" s="8" t="s">
        <v>23</v>
      </c>
      <c r="AD16" s="25">
        <v>1237</v>
      </c>
      <c r="AE16" s="25">
        <v>1409</v>
      </c>
      <c r="AF16" s="25">
        <v>1804</v>
      </c>
      <c r="AG16" s="25">
        <v>1668</v>
      </c>
      <c r="AH16" s="25">
        <v>1781</v>
      </c>
    </row>
    <row r="17" spans="1:35" s="19" customFormat="1" x14ac:dyDescent="0.3">
      <c r="A17" s="27" t="s">
        <v>24</v>
      </c>
      <c r="B17" s="28">
        <v>7382</v>
      </c>
      <c r="C17" s="28">
        <v>9288</v>
      </c>
      <c r="D17" s="28">
        <v>13490</v>
      </c>
      <c r="E17" s="28">
        <v>15361</v>
      </c>
      <c r="F17" s="28">
        <v>11951</v>
      </c>
      <c r="H17" s="27" t="s">
        <v>24</v>
      </c>
      <c r="I17" s="28">
        <v>8682</v>
      </c>
      <c r="J17" s="28">
        <v>9940</v>
      </c>
      <c r="K17" s="28">
        <v>13222</v>
      </c>
      <c r="L17" s="28">
        <v>12769</v>
      </c>
      <c r="M17" s="28">
        <v>12950</v>
      </c>
      <c r="O17" s="27" t="s">
        <v>24</v>
      </c>
      <c r="P17" s="28">
        <v>6886</v>
      </c>
      <c r="Q17" s="28">
        <v>7269</v>
      </c>
      <c r="R17" s="28">
        <v>9850</v>
      </c>
      <c r="S17" s="28">
        <v>25435</v>
      </c>
      <c r="T17" s="28">
        <v>6613</v>
      </c>
      <c r="V17" s="27" t="s">
        <v>24</v>
      </c>
      <c r="W17" s="28">
        <v>8617</v>
      </c>
      <c r="X17" s="28">
        <v>8965</v>
      </c>
      <c r="Y17" s="28">
        <v>10416</v>
      </c>
      <c r="Z17" s="28">
        <v>10432</v>
      </c>
      <c r="AA17" s="28">
        <v>10694</v>
      </c>
      <c r="AB17" s="60"/>
      <c r="AC17" s="27" t="s">
        <v>24</v>
      </c>
      <c r="AD17" s="28">
        <v>3275</v>
      </c>
      <c r="AE17" s="28">
        <v>4239</v>
      </c>
      <c r="AF17" s="28">
        <v>5144</v>
      </c>
      <c r="AG17" s="28">
        <v>4069</v>
      </c>
      <c r="AH17" s="28">
        <v>4325</v>
      </c>
    </row>
    <row r="18" spans="1:35" s="19" customFormat="1" x14ac:dyDescent="0.3">
      <c r="A18" s="27" t="s">
        <v>25</v>
      </c>
      <c r="B18" s="28">
        <v>15558</v>
      </c>
      <c r="C18" s="28">
        <v>17437</v>
      </c>
      <c r="D18" s="28">
        <v>26695</v>
      </c>
      <c r="E18" s="28">
        <v>27963</v>
      </c>
      <c r="F18" s="28">
        <v>25355</v>
      </c>
      <c r="H18" s="27" t="s">
        <v>25</v>
      </c>
      <c r="I18" s="28">
        <v>16305</v>
      </c>
      <c r="J18" s="28">
        <v>15931</v>
      </c>
      <c r="K18" s="28">
        <v>18873</v>
      </c>
      <c r="L18" s="28">
        <v>17283</v>
      </c>
      <c r="M18" s="28">
        <v>19357</v>
      </c>
      <c r="O18" s="27" t="s">
        <v>25</v>
      </c>
      <c r="P18" s="28">
        <v>10843</v>
      </c>
      <c r="Q18" s="28">
        <v>8673</v>
      </c>
      <c r="R18" s="28">
        <v>13450</v>
      </c>
      <c r="S18" s="28">
        <v>24476</v>
      </c>
      <c r="T18" s="28">
        <v>9289</v>
      </c>
      <c r="V18" s="27" t="s">
        <v>25</v>
      </c>
      <c r="W18" s="28">
        <v>12079</v>
      </c>
      <c r="X18" s="28">
        <v>10921</v>
      </c>
      <c r="Y18" s="28">
        <v>15724</v>
      </c>
      <c r="Z18" s="28">
        <v>13467</v>
      </c>
      <c r="AA18" s="28">
        <v>15993</v>
      </c>
      <c r="AB18" s="60"/>
      <c r="AC18" s="27" t="s">
        <v>25</v>
      </c>
      <c r="AD18" s="28">
        <v>4239</v>
      </c>
      <c r="AE18" s="28">
        <v>5046</v>
      </c>
      <c r="AF18" s="28">
        <v>6078</v>
      </c>
      <c r="AG18" s="28">
        <v>5652</v>
      </c>
      <c r="AH18" s="28">
        <v>6459</v>
      </c>
    </row>
    <row r="19" spans="1:35" x14ac:dyDescent="0.3">
      <c r="A19" s="8" t="s">
        <v>26</v>
      </c>
      <c r="B19" s="25">
        <v>91803</v>
      </c>
      <c r="C19" s="25">
        <v>99348</v>
      </c>
      <c r="D19" s="25">
        <v>111059</v>
      </c>
      <c r="E19" s="25">
        <v>125776</v>
      </c>
      <c r="F19" s="25">
        <v>138852</v>
      </c>
      <c r="H19" s="8" t="s">
        <v>26</v>
      </c>
      <c r="I19" s="25">
        <v>106782</v>
      </c>
      <c r="J19" s="25">
        <v>111408</v>
      </c>
      <c r="K19" s="25">
        <v>111748</v>
      </c>
      <c r="L19" s="25">
        <v>115315</v>
      </c>
      <c r="M19" s="25">
        <v>123303</v>
      </c>
      <c r="O19" s="8" t="s">
        <v>26</v>
      </c>
      <c r="P19" s="25">
        <v>57848</v>
      </c>
      <c r="Q19" s="25">
        <v>59774</v>
      </c>
      <c r="R19" s="25">
        <v>63460</v>
      </c>
      <c r="S19" s="25">
        <v>58780</v>
      </c>
      <c r="T19" s="25">
        <v>68862</v>
      </c>
      <c r="U19" s="2"/>
      <c r="V19" s="8" t="s">
        <v>26</v>
      </c>
      <c r="W19" s="25">
        <v>87634</v>
      </c>
      <c r="X19" s="25">
        <v>91108</v>
      </c>
      <c r="Y19" s="25">
        <v>94570</v>
      </c>
      <c r="Z19" s="25">
        <v>99844</v>
      </c>
      <c r="AA19" s="25">
        <v>104689</v>
      </c>
      <c r="AC19" s="8" t="s">
        <v>26</v>
      </c>
      <c r="AD19" s="25">
        <v>42950</v>
      </c>
      <c r="AE19" s="25">
        <v>45457</v>
      </c>
      <c r="AF19" s="25">
        <v>48253</v>
      </c>
      <c r="AG19" s="25">
        <v>51642</v>
      </c>
      <c r="AH19" s="25">
        <v>57198</v>
      </c>
    </row>
    <row r="20" spans="1:35" s="19" customFormat="1" x14ac:dyDescent="0.3">
      <c r="A20" s="27" t="s">
        <v>27</v>
      </c>
      <c r="B20" s="28">
        <f>1551+458+4138+41944</f>
        <v>48091</v>
      </c>
      <c r="C20" s="28">
        <f>1382+700+1785+50960</f>
        <v>54827</v>
      </c>
      <c r="D20" s="28">
        <f>1709+1368+6633+55256</f>
        <v>64966</v>
      </c>
      <c r="E20" s="28">
        <f>4650+255+6901+61405</f>
        <v>73211</v>
      </c>
      <c r="F20" s="28">
        <f>1670+217+8061+72385</f>
        <v>82333</v>
      </c>
      <c r="H20" s="27" t="s">
        <v>27</v>
      </c>
      <c r="I20" s="28">
        <f>2873+4238+55625</f>
        <v>62736</v>
      </c>
      <c r="J20" s="28">
        <f>3304+3387+60448</f>
        <v>67139</v>
      </c>
      <c r="K20" s="28">
        <f>3952+3878+65873</f>
        <v>73703</v>
      </c>
      <c r="L20" s="28">
        <f>4288+2800+72452</f>
        <v>79540</v>
      </c>
      <c r="M20" s="28">
        <f>3584+4349+76340</f>
        <v>84273</v>
      </c>
      <c r="O20" s="27" t="s">
        <v>27</v>
      </c>
      <c r="P20" s="28">
        <f>895+33957</f>
        <v>34852</v>
      </c>
      <c r="Q20" s="28">
        <f>2314+37426</f>
        <v>39740</v>
      </c>
      <c r="R20" s="28">
        <f>3423+38914</f>
        <v>42337</v>
      </c>
      <c r="S20" s="28">
        <f>3956+33248</f>
        <v>37204</v>
      </c>
      <c r="T20" s="28">
        <f>2500+37525</f>
        <v>40025</v>
      </c>
      <c r="V20" s="27" t="s">
        <v>27</v>
      </c>
      <c r="W20" s="28">
        <f>45073</f>
        <v>45073</v>
      </c>
      <c r="X20" s="28">
        <f>50120</f>
        <v>50120</v>
      </c>
      <c r="Y20" s="28">
        <v>50656</v>
      </c>
      <c r="Z20" s="28">
        <f>57210</f>
        <v>57210</v>
      </c>
      <c r="AA20" s="28">
        <v>58768</v>
      </c>
      <c r="AB20" s="60"/>
      <c r="AC20" s="27" t="s">
        <v>27</v>
      </c>
      <c r="AD20" s="28">
        <f>421+584+19645</f>
        <v>20650</v>
      </c>
      <c r="AE20" s="28">
        <f>601+1005+21779</f>
        <v>23385</v>
      </c>
      <c r="AF20" s="28">
        <f>1151+813+22813</f>
        <v>24777</v>
      </c>
      <c r="AG20" s="28">
        <f>552+785+24913</f>
        <v>26250</v>
      </c>
      <c r="AH20" s="28">
        <f>1103+695+27316</f>
        <v>29114</v>
      </c>
    </row>
    <row r="21" spans="1:35" x14ac:dyDescent="0.3">
      <c r="A21" s="8" t="s">
        <v>28</v>
      </c>
      <c r="B21" s="25">
        <v>44929</v>
      </c>
      <c r="C21" s="25">
        <v>45424</v>
      </c>
      <c r="D21" s="25">
        <v>48326</v>
      </c>
      <c r="E21" s="25">
        <v>57768</v>
      </c>
      <c r="F21" s="25">
        <v>60460</v>
      </c>
      <c r="H21" s="8" t="s">
        <v>28</v>
      </c>
      <c r="I21" s="25">
        <f>49184</f>
        <v>49184</v>
      </c>
      <c r="J21" s="25">
        <v>51136</v>
      </c>
      <c r="K21" s="25">
        <v>51853</v>
      </c>
      <c r="L21" s="25">
        <v>50187</v>
      </c>
      <c r="M21" s="25">
        <f>51256</f>
        <v>51256</v>
      </c>
      <c r="O21" s="8" t="s">
        <v>28</v>
      </c>
      <c r="P21" s="25">
        <v>26461</v>
      </c>
      <c r="Q21" s="25">
        <v>27308</v>
      </c>
      <c r="R21" s="25">
        <v>27881</v>
      </c>
      <c r="S21" s="25">
        <v>27567</v>
      </c>
      <c r="T21" s="25">
        <v>30192</v>
      </c>
      <c r="U21" s="2"/>
      <c r="V21" s="8" t="s">
        <v>28</v>
      </c>
      <c r="W21" s="25">
        <v>32234</v>
      </c>
      <c r="X21" s="25">
        <v>32276</v>
      </c>
      <c r="Y21" s="25">
        <v>34532</v>
      </c>
      <c r="Z21" s="25">
        <v>35225</v>
      </c>
      <c r="AA21" s="25">
        <v>36674</v>
      </c>
      <c r="AC21" s="8" t="s">
        <v>28</v>
      </c>
      <c r="AD21" s="25">
        <v>14575</v>
      </c>
      <c r="AE21" s="25">
        <v>15612</v>
      </c>
      <c r="AF21" s="25">
        <v>16675</v>
      </c>
      <c r="AG21" s="25">
        <v>17616</v>
      </c>
      <c r="AH21" s="25">
        <v>19522</v>
      </c>
    </row>
    <row r="22" spans="1:35" x14ac:dyDescent="0.3">
      <c r="Q22" s="2"/>
      <c r="R22" s="2"/>
      <c r="S22" s="2"/>
      <c r="T22" s="2"/>
      <c r="U22" s="2"/>
      <c r="Z22" s="2"/>
      <c r="AA22" s="2"/>
      <c r="AC22" s="2"/>
      <c r="AD22" s="2"/>
      <c r="AE22" s="2"/>
    </row>
    <row r="23" spans="1:35" x14ac:dyDescent="0.3">
      <c r="A23" s="19" t="s">
        <v>29</v>
      </c>
      <c r="H23" s="19" t="s">
        <v>29</v>
      </c>
      <c r="O23" s="19" t="s">
        <v>29</v>
      </c>
      <c r="Q23" s="2"/>
      <c r="R23" s="2"/>
      <c r="S23" s="2"/>
      <c r="T23" s="2"/>
      <c r="U23" s="2"/>
      <c r="V23" s="19" t="s">
        <v>29</v>
      </c>
      <c r="Z23" s="2"/>
      <c r="AA23" s="2"/>
      <c r="AC23" s="19" t="s">
        <v>29</v>
      </c>
      <c r="AD23" s="2"/>
      <c r="AE23" s="2"/>
    </row>
    <row r="24" spans="1:35" x14ac:dyDescent="0.3">
      <c r="A24" s="2" t="s">
        <v>12</v>
      </c>
      <c r="B24" s="18" t="s">
        <v>34</v>
      </c>
      <c r="C24" s="18" t="s">
        <v>35</v>
      </c>
      <c r="D24" s="18" t="s">
        <v>36</v>
      </c>
      <c r="E24" s="18" t="s">
        <v>37</v>
      </c>
      <c r="F24" s="18" t="s">
        <v>38</v>
      </c>
      <c r="H24" s="2" t="s">
        <v>12</v>
      </c>
      <c r="I24" s="18" t="s">
        <v>34</v>
      </c>
      <c r="J24" s="18" t="s">
        <v>35</v>
      </c>
      <c r="K24" s="18" t="s">
        <v>36</v>
      </c>
      <c r="L24" s="18" t="s">
        <v>37</v>
      </c>
      <c r="M24" s="18" t="s">
        <v>38</v>
      </c>
      <c r="O24" s="2" t="s">
        <v>12</v>
      </c>
      <c r="P24" s="18" t="s">
        <v>34</v>
      </c>
      <c r="Q24" s="18" t="s">
        <v>35</v>
      </c>
      <c r="R24" s="18" t="s">
        <v>36</v>
      </c>
      <c r="S24" s="18" t="s">
        <v>37</v>
      </c>
      <c r="T24" s="18" t="s">
        <v>38</v>
      </c>
      <c r="U24" s="2"/>
      <c r="V24" s="2" t="s">
        <v>12</v>
      </c>
      <c r="W24" s="18" t="s">
        <v>34</v>
      </c>
      <c r="X24" s="18" t="s">
        <v>35</v>
      </c>
      <c r="Y24" s="18" t="s">
        <v>36</v>
      </c>
      <c r="Z24" s="18" t="s">
        <v>37</v>
      </c>
      <c r="AA24" s="18" t="s">
        <v>38</v>
      </c>
      <c r="AC24" s="2" t="s">
        <v>12</v>
      </c>
      <c r="AD24" s="18" t="s">
        <v>34</v>
      </c>
      <c r="AE24" s="18" t="s">
        <v>35</v>
      </c>
      <c r="AF24" s="18" t="s">
        <v>36</v>
      </c>
      <c r="AG24" s="18" t="s">
        <v>37</v>
      </c>
      <c r="AH24" s="18" t="s">
        <v>38</v>
      </c>
    </row>
    <row r="25" spans="1:35" x14ac:dyDescent="0.3">
      <c r="A25" s="8" t="s">
        <v>30</v>
      </c>
      <c r="B25" s="25">
        <v>7983</v>
      </c>
      <c r="C25" s="25">
        <v>7553</v>
      </c>
      <c r="D25" s="25">
        <v>8262</v>
      </c>
      <c r="E25" s="25">
        <v>11301</v>
      </c>
      <c r="F25" s="25">
        <v>13260</v>
      </c>
      <c r="H25" s="8" t="s">
        <v>30</v>
      </c>
      <c r="I25" s="25">
        <v>8856</v>
      </c>
      <c r="J25" s="25">
        <v>8290</v>
      </c>
      <c r="K25" s="25">
        <v>5927</v>
      </c>
      <c r="L25" s="25">
        <v>9878</v>
      </c>
      <c r="M25" s="25">
        <v>12328</v>
      </c>
      <c r="O25" s="8" t="s">
        <v>30</v>
      </c>
      <c r="P25" s="25">
        <v>5227</v>
      </c>
      <c r="Q25" s="25">
        <v>4037</v>
      </c>
      <c r="R25" s="25">
        <v>3700</v>
      </c>
      <c r="S25" s="25">
        <v>6572</v>
      </c>
      <c r="T25" s="25">
        <v>5018</v>
      </c>
      <c r="U25" s="2"/>
      <c r="V25" s="8" t="s">
        <v>30</v>
      </c>
      <c r="W25" s="25">
        <v>6696</v>
      </c>
      <c r="X25" s="25">
        <v>6169</v>
      </c>
      <c r="Y25" s="25">
        <v>6302</v>
      </c>
      <c r="Z25" s="25">
        <v>7553</v>
      </c>
      <c r="AA25" s="25">
        <v>9788</v>
      </c>
      <c r="AC25" s="8" t="s">
        <v>30</v>
      </c>
      <c r="AD25" s="25">
        <v>2848</v>
      </c>
      <c r="AE25" s="25">
        <v>2189</v>
      </c>
      <c r="AF25" s="25">
        <v>3932</v>
      </c>
      <c r="AG25" s="25">
        <v>5327</v>
      </c>
      <c r="AH25" s="25">
        <v>4641</v>
      </c>
    </row>
    <row r="26" spans="1:35" x14ac:dyDescent="0.3">
      <c r="A26" s="8" t="s">
        <v>31</v>
      </c>
      <c r="B26" s="25">
        <v>7489</v>
      </c>
      <c r="C26" s="25">
        <v>7408</v>
      </c>
      <c r="D26" s="25">
        <v>9067</v>
      </c>
      <c r="E26" s="25">
        <v>9302</v>
      </c>
      <c r="F26" s="25">
        <v>7992</v>
      </c>
      <c r="H26" s="8" t="s">
        <v>31</v>
      </c>
      <c r="I26" s="25">
        <v>9907</v>
      </c>
      <c r="J26" s="25">
        <v>9715</v>
      </c>
      <c r="K26" s="25">
        <v>11367</v>
      </c>
      <c r="L26" s="25">
        <v>12604</v>
      </c>
      <c r="M26" s="25">
        <v>12280</v>
      </c>
      <c r="O26" s="8" t="s">
        <v>31</v>
      </c>
      <c r="P26" s="25">
        <v>6020</v>
      </c>
      <c r="Q26" s="25">
        <v>5960</v>
      </c>
      <c r="R26" s="25">
        <v>7591</v>
      </c>
      <c r="S26" s="25">
        <v>10211</v>
      </c>
      <c r="T26" s="25">
        <v>12198</v>
      </c>
      <c r="U26" s="2"/>
      <c r="V26" s="8" t="s">
        <v>31</v>
      </c>
      <c r="W26" s="25">
        <v>7441</v>
      </c>
      <c r="X26" s="25">
        <v>7586</v>
      </c>
      <c r="Y26" s="25">
        <v>7923</v>
      </c>
      <c r="Z26" s="25">
        <v>9095</v>
      </c>
      <c r="AA26" s="25">
        <v>8955</v>
      </c>
      <c r="AC26" s="8" t="s">
        <v>31</v>
      </c>
      <c r="AD26" s="25">
        <v>5369</v>
      </c>
      <c r="AE26" s="25">
        <v>4244</v>
      </c>
      <c r="AF26" s="25">
        <v>4638</v>
      </c>
      <c r="AG26" s="25">
        <v>5854</v>
      </c>
      <c r="AH26" s="25">
        <v>7364</v>
      </c>
    </row>
    <row r="27" spans="1:35" x14ac:dyDescent="0.3">
      <c r="A27" s="8" t="s">
        <v>32</v>
      </c>
      <c r="B27" s="25">
        <v>2743</v>
      </c>
      <c r="C27" s="25">
        <v>3024</v>
      </c>
      <c r="D27" s="25">
        <v>3352</v>
      </c>
      <c r="E27" s="25">
        <v>3782</v>
      </c>
      <c r="F27" s="25">
        <v>4235</v>
      </c>
      <c r="H27" s="8" t="s">
        <v>32</v>
      </c>
      <c r="I27" s="25">
        <v>2812</v>
      </c>
      <c r="J27" s="25">
        <v>3114</v>
      </c>
      <c r="K27" s="25">
        <v>3179</v>
      </c>
      <c r="L27" s="25">
        <v>3244</v>
      </c>
      <c r="M27" s="25">
        <v>3213</v>
      </c>
      <c r="O27" s="8" t="s">
        <v>32</v>
      </c>
      <c r="P27" s="25">
        <v>2873</v>
      </c>
      <c r="Q27" s="25">
        <v>2036</v>
      </c>
      <c r="R27" s="25">
        <v>2209</v>
      </c>
      <c r="S27" s="25">
        <v>2233</v>
      </c>
      <c r="T27" s="25">
        <v>2239</v>
      </c>
      <c r="U27" s="2"/>
      <c r="V27" s="8" t="s">
        <v>32</v>
      </c>
      <c r="W27" s="25">
        <v>2685</v>
      </c>
      <c r="X27" s="25">
        <v>2777</v>
      </c>
      <c r="Y27" s="25">
        <v>2907</v>
      </c>
      <c r="Z27" s="25">
        <v>3035</v>
      </c>
      <c r="AA27" s="25">
        <v>2954</v>
      </c>
      <c r="AC27" s="8" t="s">
        <v>32</v>
      </c>
      <c r="AD27" s="25">
        <v>856</v>
      </c>
      <c r="AE27" s="25">
        <v>935</v>
      </c>
      <c r="AF27" s="25">
        <v>1012</v>
      </c>
      <c r="AG27" s="25">
        <v>1092</v>
      </c>
      <c r="AH27" s="25">
        <v>1175</v>
      </c>
    </row>
    <row r="28" spans="1:35" x14ac:dyDescent="0.3">
      <c r="A28" s="8" t="s">
        <v>33</v>
      </c>
      <c r="B28" s="25">
        <f>6103+2100</f>
        <v>8203</v>
      </c>
      <c r="C28" s="25">
        <f>9594+257</f>
        <v>9851</v>
      </c>
      <c r="D28" s="25">
        <f>4525+1125</f>
        <v>5650</v>
      </c>
      <c r="E28" s="25">
        <f>7978+2613</f>
        <v>10591</v>
      </c>
      <c r="F28" s="25">
        <f>10113+6613</f>
        <v>16726</v>
      </c>
      <c r="H28" s="8" t="s">
        <v>33</v>
      </c>
      <c r="I28" s="25">
        <f>4506+2147</f>
        <v>6653</v>
      </c>
      <c r="J28" s="25">
        <f>5294+997</f>
        <v>6291</v>
      </c>
      <c r="K28" s="25">
        <f>4396+287</f>
        <v>4683</v>
      </c>
      <c r="L28" s="25">
        <f>4737+125</f>
        <v>4862</v>
      </c>
      <c r="M28" s="25">
        <f>3357+1096</f>
        <v>4453</v>
      </c>
      <c r="O28" s="8" t="s">
        <v>33</v>
      </c>
      <c r="P28" s="25">
        <f>16+1125+2879</f>
        <v>4020</v>
      </c>
      <c r="Q28" s="25">
        <f>1265+225+3750+900</f>
        <v>6140</v>
      </c>
      <c r="R28" s="25">
        <f>1338+450</f>
        <v>1788</v>
      </c>
      <c r="S28" s="25">
        <f>975+5673+900</f>
        <v>7548</v>
      </c>
      <c r="T28" s="25">
        <f>1456+7750+2740+65+450</f>
        <v>12461</v>
      </c>
      <c r="U28" s="2"/>
      <c r="V28" s="8" t="s">
        <v>33</v>
      </c>
      <c r="W28" s="25">
        <f>4458+840</f>
        <v>5298</v>
      </c>
      <c r="X28" s="25">
        <f>4327+25</f>
        <v>4352</v>
      </c>
      <c r="Y28" s="25">
        <f>2158+298+1150</f>
        <v>3606</v>
      </c>
      <c r="Z28" s="25">
        <f>4294+1630</f>
        <v>5924</v>
      </c>
      <c r="AA28" s="25">
        <f>2222+1020</f>
        <v>3242</v>
      </c>
      <c r="AC28" s="8" t="s">
        <v>33</v>
      </c>
      <c r="AD28" s="25">
        <f>11+1001</f>
        <v>1012</v>
      </c>
      <c r="AE28" s="25">
        <f>417</f>
        <v>417</v>
      </c>
      <c r="AF28" s="25">
        <f>192+601</f>
        <v>793</v>
      </c>
      <c r="AG28" s="25">
        <f>28+1151</f>
        <v>1179</v>
      </c>
      <c r="AH28" s="25">
        <f>90+656</f>
        <v>746</v>
      </c>
    </row>
    <row r="30" spans="1:35" x14ac:dyDescent="0.3">
      <c r="O30" s="2" t="s">
        <v>141</v>
      </c>
      <c r="P30" s="29">
        <f>P5-P6-P7</f>
        <v>1411</v>
      </c>
      <c r="Q30" s="29">
        <f t="shared" ref="Q30:T30" si="0">Q5-Q6-Q7</f>
        <v>3098</v>
      </c>
      <c r="R30" s="29">
        <f t="shared" si="0"/>
        <v>1053</v>
      </c>
      <c r="S30" s="29">
        <f t="shared" si="0"/>
        <v>2724</v>
      </c>
      <c r="T30" s="29">
        <f t="shared" si="0"/>
        <v>2182</v>
      </c>
      <c r="AC30" s="4" t="s">
        <v>141</v>
      </c>
      <c r="AD30" s="49">
        <f>AD5-AD6-AD7</f>
        <v>1383</v>
      </c>
      <c r="AE30" s="49">
        <f t="shared" ref="AE30:AH30" si="1">AE5-AE6-AE7</f>
        <v>1475</v>
      </c>
      <c r="AF30" s="49">
        <f t="shared" si="1"/>
        <v>1558</v>
      </c>
      <c r="AG30" s="49">
        <f t="shared" si="1"/>
        <v>1523</v>
      </c>
      <c r="AH30" s="49">
        <f t="shared" si="1"/>
        <v>1388</v>
      </c>
    </row>
    <row r="32" spans="1:35" x14ac:dyDescent="0.3">
      <c r="O32" s="2" t="s">
        <v>12</v>
      </c>
      <c r="P32" s="4" t="s">
        <v>34</v>
      </c>
      <c r="Q32" s="4" t="s">
        <v>35</v>
      </c>
      <c r="R32" s="4" t="s">
        <v>36</v>
      </c>
      <c r="S32" s="4" t="s">
        <v>37</v>
      </c>
      <c r="T32" s="4" t="s">
        <v>38</v>
      </c>
      <c r="V32" s="2" t="s">
        <v>12</v>
      </c>
      <c r="W32" s="4" t="s">
        <v>34</v>
      </c>
      <c r="X32" s="4" t="s">
        <v>35</v>
      </c>
      <c r="Y32" s="4" t="s">
        <v>36</v>
      </c>
      <c r="Z32" s="4" t="s">
        <v>37</v>
      </c>
      <c r="AA32" s="4" t="s">
        <v>38</v>
      </c>
      <c r="AC32" s="2" t="s">
        <v>12</v>
      </c>
      <c r="AD32" s="4" t="s">
        <v>34</v>
      </c>
      <c r="AE32" s="4" t="s">
        <v>35</v>
      </c>
      <c r="AF32" s="4" t="s">
        <v>36</v>
      </c>
      <c r="AG32" s="4" t="s">
        <v>37</v>
      </c>
      <c r="AH32" s="4" t="s">
        <v>38</v>
      </c>
      <c r="AI32" s="4"/>
    </row>
    <row r="33" spans="15:35" x14ac:dyDescent="0.3">
      <c r="O33" s="2" t="s">
        <v>13</v>
      </c>
      <c r="P33" s="49">
        <f>P3</f>
        <v>14172</v>
      </c>
      <c r="Q33" s="49">
        <f t="shared" ref="Q33:T33" si="2">Q3</f>
        <v>13964</v>
      </c>
      <c r="R33" s="49">
        <f t="shared" si="2"/>
        <v>17174</v>
      </c>
      <c r="S33" s="49">
        <f t="shared" si="2"/>
        <v>14393</v>
      </c>
      <c r="T33" s="49">
        <f t="shared" si="2"/>
        <v>14459</v>
      </c>
      <c r="V33" s="2" t="s">
        <v>13</v>
      </c>
      <c r="W33" s="49">
        <f>W3</f>
        <v>20375</v>
      </c>
      <c r="X33" s="49">
        <f t="shared" ref="X33:AA33" si="3">X3</f>
        <v>23113</v>
      </c>
      <c r="Y33" s="49">
        <f t="shared" si="3"/>
        <v>29279</v>
      </c>
      <c r="Z33" s="49">
        <f t="shared" si="3"/>
        <v>25253</v>
      </c>
      <c r="AA33" s="49">
        <f t="shared" si="3"/>
        <v>26724</v>
      </c>
      <c r="AC33" s="2" t="s">
        <v>13</v>
      </c>
      <c r="AD33" s="49">
        <f>AD3</f>
        <v>11526</v>
      </c>
      <c r="AE33" s="49">
        <f t="shared" ref="AE33:AH33" si="4">AE3</f>
        <v>13431</v>
      </c>
      <c r="AF33" s="49">
        <f t="shared" si="4"/>
        <v>15310</v>
      </c>
      <c r="AG33" s="49">
        <f t="shared" si="4"/>
        <v>14206</v>
      </c>
      <c r="AH33" s="49">
        <f t="shared" si="4"/>
        <v>13441</v>
      </c>
      <c r="AI33" s="4"/>
    </row>
    <row r="34" spans="15:35" x14ac:dyDescent="0.3">
      <c r="O34" s="2" t="s">
        <v>115</v>
      </c>
      <c r="P34" s="49">
        <f>P5</f>
        <v>5120</v>
      </c>
      <c r="Q34" s="49">
        <f t="shared" ref="Q34:T34" si="5">Q5</f>
        <v>6930</v>
      </c>
      <c r="R34" s="49">
        <f t="shared" si="5"/>
        <v>4849</v>
      </c>
      <c r="S34" s="49">
        <f t="shared" si="5"/>
        <v>6978</v>
      </c>
      <c r="T34" s="49">
        <f t="shared" si="5"/>
        <v>6414</v>
      </c>
      <c r="V34" s="2" t="s">
        <v>115</v>
      </c>
      <c r="W34" s="49">
        <f>W5</f>
        <v>8835</v>
      </c>
      <c r="X34" s="49">
        <f t="shared" ref="X34:AA34" si="6">X5</f>
        <v>7978</v>
      </c>
      <c r="Y34" s="49">
        <f t="shared" si="6"/>
        <v>9908</v>
      </c>
      <c r="Z34" s="49">
        <f t="shared" si="6"/>
        <v>11316</v>
      </c>
      <c r="AA34" s="49">
        <f t="shared" si="6"/>
        <v>12727</v>
      </c>
      <c r="AC34" s="2" t="s">
        <v>115</v>
      </c>
      <c r="AD34" s="49">
        <f>AD5</f>
        <v>4213</v>
      </c>
      <c r="AE34" s="49">
        <f t="shared" ref="AE34:AH34" si="7">AE5</f>
        <v>4464</v>
      </c>
      <c r="AF34" s="49">
        <f t="shared" si="7"/>
        <v>4952</v>
      </c>
      <c r="AG34" s="49">
        <f t="shared" si="7"/>
        <v>5077</v>
      </c>
      <c r="AH34" s="49">
        <f t="shared" si="7"/>
        <v>5460</v>
      </c>
      <c r="AI34" s="4"/>
    </row>
    <row r="35" spans="15:35" x14ac:dyDescent="0.3">
      <c r="O35" s="2" t="s">
        <v>146</v>
      </c>
      <c r="P35" s="49">
        <f>P9</f>
        <v>1328</v>
      </c>
      <c r="Q35" s="49">
        <f t="shared" ref="Q35:T35" si="8">Q9</f>
        <v>2673</v>
      </c>
      <c r="R35" s="49">
        <f t="shared" si="8"/>
        <v>985</v>
      </c>
      <c r="S35" s="49">
        <f t="shared" si="8"/>
        <v>2156</v>
      </c>
      <c r="T35" s="49">
        <f t="shared" si="8"/>
        <v>1874</v>
      </c>
      <c r="V35" s="2" t="s">
        <v>146</v>
      </c>
      <c r="W35" s="49">
        <f>W9</f>
        <v>3103</v>
      </c>
      <c r="X35" s="49">
        <f t="shared" ref="X35:AA35" si="9">X9</f>
        <v>2309</v>
      </c>
      <c r="Y35" s="49">
        <f t="shared" si="9"/>
        <v>3428</v>
      </c>
      <c r="Z35" s="49">
        <f t="shared" si="9"/>
        <v>3849</v>
      </c>
      <c r="AA35" s="49">
        <f t="shared" si="9"/>
        <v>4260</v>
      </c>
      <c r="AC35" s="2" t="s">
        <v>146</v>
      </c>
      <c r="AD35" s="49">
        <f>AD9</f>
        <v>1389</v>
      </c>
      <c r="AE35" s="49">
        <f t="shared" ref="AE35:AH35" si="10">AE9</f>
        <v>1545</v>
      </c>
      <c r="AF35" s="49">
        <f t="shared" si="10"/>
        <v>1693</v>
      </c>
      <c r="AG35" s="49">
        <f t="shared" si="10"/>
        <v>1669</v>
      </c>
      <c r="AH35" s="49">
        <f t="shared" si="10"/>
        <v>1790</v>
      </c>
      <c r="AI35" s="4"/>
    </row>
    <row r="36" spans="15:35" x14ac:dyDescent="0.3">
      <c r="P36" s="4"/>
      <c r="AC36" s="2"/>
      <c r="AF36" s="4"/>
      <c r="AG36" s="4"/>
      <c r="AH36" s="4"/>
      <c r="AI36" s="4"/>
    </row>
    <row r="37" spans="15:35" x14ac:dyDescent="0.3">
      <c r="O37" s="2" t="s">
        <v>12</v>
      </c>
      <c r="P37" s="4" t="s">
        <v>68</v>
      </c>
      <c r="Q37" s="4" t="s">
        <v>69</v>
      </c>
      <c r="R37" s="4" t="s">
        <v>70</v>
      </c>
      <c r="S37" s="4" t="s">
        <v>71</v>
      </c>
      <c r="T37" s="4" t="s">
        <v>72</v>
      </c>
      <c r="U37" s="4" t="s">
        <v>73</v>
      </c>
      <c r="AC37" s="2" t="s">
        <v>12</v>
      </c>
      <c r="AD37" s="4" t="s">
        <v>68</v>
      </c>
      <c r="AE37" s="4" t="s">
        <v>69</v>
      </c>
      <c r="AF37" s="4" t="s">
        <v>70</v>
      </c>
      <c r="AG37" s="4" t="s">
        <v>71</v>
      </c>
      <c r="AH37" s="4" t="s">
        <v>72</v>
      </c>
      <c r="AI37" s="4" t="s">
        <v>73</v>
      </c>
    </row>
    <row r="38" spans="15:35" x14ac:dyDescent="0.3">
      <c r="O38" s="2" t="s">
        <v>13</v>
      </c>
      <c r="P38" s="29">
        <f>DCF!R3</f>
        <v>14516.835999999999</v>
      </c>
      <c r="Q38" s="29">
        <f>DCF!S3</f>
        <v>14574.903344</v>
      </c>
      <c r="R38" s="29">
        <f>DCF!T3</f>
        <v>14633.202957376001</v>
      </c>
      <c r="S38" s="29">
        <f>DCF!U3</f>
        <v>14691.735769205505</v>
      </c>
      <c r="T38" s="29">
        <f>DCF!V3</f>
        <v>14750.502712282327</v>
      </c>
      <c r="U38" s="29">
        <f>DCF!W3</f>
        <v>14809.504723131457</v>
      </c>
      <c r="AC38" s="2" t="s">
        <v>13</v>
      </c>
      <c r="AD38" s="29">
        <f>DCF!AH3</f>
        <v>13860.604588356375</v>
      </c>
      <c r="AE38" s="29">
        <f>DCF!AI3</f>
        <v>14293.30850046617</v>
      </c>
      <c r="AF38" s="29">
        <f>DCF!AJ3</f>
        <v>14739.520674380967</v>
      </c>
      <c r="AG38" s="29">
        <f>DCF!AK3</f>
        <v>15199.662814485417</v>
      </c>
      <c r="AH38" s="29">
        <f>DCF!AL3</f>
        <v>15674.169790039903</v>
      </c>
      <c r="AI38" s="29">
        <f>DCF!AM3</f>
        <v>16163.490046165014</v>
      </c>
    </row>
    <row r="39" spans="15:35" x14ac:dyDescent="0.3">
      <c r="O39" s="2" t="s">
        <v>115</v>
      </c>
      <c r="P39" s="29">
        <f>DCF!R4</f>
        <v>5929.309879399153</v>
      </c>
      <c r="Q39" s="29">
        <f>DCF!S4</f>
        <v>5953.0271189167506</v>
      </c>
      <c r="R39" s="29">
        <f>DCF!T4</f>
        <v>5976.8392273924173</v>
      </c>
      <c r="S39" s="29">
        <f>DCF!U4</f>
        <v>6000.7465843019872</v>
      </c>
      <c r="T39" s="29">
        <f>DCF!V4</f>
        <v>6024.7495706391946</v>
      </c>
      <c r="U39" s="29">
        <f>DCF!W4</f>
        <v>6048.8485689217523</v>
      </c>
      <c r="AC39" s="2" t="s">
        <v>115</v>
      </c>
      <c r="AD39" s="29">
        <f>DCF!AH4</f>
        <v>4932.0518668053746</v>
      </c>
      <c r="AE39" s="29">
        <f>DCF!AI4</f>
        <v>5086.0219280599804</v>
      </c>
      <c r="AF39" s="29">
        <f>DCF!AJ4</f>
        <v>5244.7986662115391</v>
      </c>
      <c r="AG39" s="29">
        <f>DCF!AK4</f>
        <v>5408.5321373333127</v>
      </c>
      <c r="AH39" s="29">
        <f>DCF!AL4</f>
        <v>5577.3770819875772</v>
      </c>
      <c r="AI39" s="29">
        <f>DCF!AM4</f>
        <v>5751.4930714672055</v>
      </c>
    </row>
    <row r="40" spans="15:35" x14ac:dyDescent="0.3">
      <c r="O40" s="2" t="s">
        <v>146</v>
      </c>
      <c r="P40" s="29">
        <f>DCF!R5</f>
        <v>5092.3587140210875</v>
      </c>
      <c r="Q40" s="29">
        <f>DCF!S5</f>
        <v>5112.7281488771723</v>
      </c>
      <c r="R40" s="29">
        <f>DCF!T5</f>
        <v>5133.1790614726806</v>
      </c>
      <c r="S40" s="29">
        <f>DCF!U5</f>
        <v>5153.7117777185722</v>
      </c>
      <c r="T40" s="29">
        <f>DCF!V5</f>
        <v>5174.3266248294458</v>
      </c>
      <c r="U40" s="29">
        <f>DCF!W5</f>
        <v>5195.0239313287639</v>
      </c>
      <c r="AC40" s="2" t="s">
        <v>146</v>
      </c>
      <c r="AD40" s="29">
        <f>DCF!AH5</f>
        <v>6360.4991654046262</v>
      </c>
      <c r="AE40" s="29">
        <f>DCF!AI5</f>
        <v>6559.0628611148168</v>
      </c>
      <c r="AF40" s="29">
        <f>DCF!AJ5</f>
        <v>6763.8253692497519</v>
      </c>
      <c r="AG40" s="29">
        <f>DCF!AK5</f>
        <v>6974.9802059269668</v>
      </c>
      <c r="AH40" s="29">
        <f>DCF!AL5</f>
        <v>7192.7269284998301</v>
      </c>
      <c r="AI40" s="29">
        <f>DCF!AM5</f>
        <v>7417.2713241543934</v>
      </c>
    </row>
    <row r="41" spans="15:35" x14ac:dyDescent="0.3">
      <c r="O41" s="2" t="s">
        <v>79</v>
      </c>
      <c r="P41" s="29">
        <f>DCF!R9</f>
        <v>1159.323879135296</v>
      </c>
      <c r="Q41" s="29">
        <f>DCF!S9</f>
        <v>1760.5007399278552</v>
      </c>
      <c r="R41" s="29">
        <f>DCF!T9</f>
        <v>1767.5427428875669</v>
      </c>
      <c r="S41" s="29">
        <f>DCF!U9</f>
        <v>1774.6129138591168</v>
      </c>
      <c r="T41" s="29">
        <f>DCF!V9</f>
        <v>1781.711365514554</v>
      </c>
      <c r="U41" s="29">
        <f>DCF!W9</f>
        <v>1788.8382109766112</v>
      </c>
      <c r="V41" s="2" t="s">
        <v>12</v>
      </c>
      <c r="W41" s="4" t="s">
        <v>68</v>
      </c>
      <c r="X41" s="4" t="s">
        <v>69</v>
      </c>
      <c r="Y41" s="4" t="s">
        <v>70</v>
      </c>
      <c r="Z41" s="4" t="s">
        <v>71</v>
      </c>
      <c r="AA41" s="4" t="s">
        <v>72</v>
      </c>
      <c r="AB41" s="4" t="s">
        <v>73</v>
      </c>
      <c r="AC41" s="2" t="s">
        <v>79</v>
      </c>
      <c r="AD41" s="29">
        <f>DCF!AH9</f>
        <v>2313.5585816271378</v>
      </c>
      <c r="AE41" s="29">
        <f>DCF!AI9</f>
        <v>3275.7341918964812</v>
      </c>
      <c r="AF41" s="29">
        <f>DCF!AJ9</f>
        <v>3377.9969027926663</v>
      </c>
      <c r="AG41" s="29">
        <f>DCF!AK9</f>
        <v>3483.4520772488386</v>
      </c>
      <c r="AH41" s="29">
        <f>DCF!AL9</f>
        <v>3592.1993784119336</v>
      </c>
      <c r="AI41" s="29">
        <f>DCF!AM9</f>
        <v>3704.3415807385882</v>
      </c>
    </row>
    <row r="42" spans="15:35" x14ac:dyDescent="0.3">
      <c r="V42" s="2" t="s">
        <v>13</v>
      </c>
      <c r="W42" s="29">
        <f>DCF!Z3</f>
        <v>28213.842148703057</v>
      </c>
      <c r="X42" s="29">
        <f>DCF!AA3</f>
        <v>29786.741834752775</v>
      </c>
      <c r="Y42" s="29">
        <f>DCF!AB3</f>
        <v>31447.329451050908</v>
      </c>
      <c r="Z42" s="29">
        <f>DCF!AC3</f>
        <v>33200.493531290638</v>
      </c>
      <c r="AA42" s="29">
        <f>DCF!AD3</f>
        <v>35051.395141104287</v>
      </c>
      <c r="AB42" s="29">
        <f>DCF!AE3</f>
        <v>37005.483071506278</v>
      </c>
    </row>
    <row r="43" spans="15:35" x14ac:dyDescent="0.3">
      <c r="V43" s="2" t="s">
        <v>115</v>
      </c>
      <c r="W43" s="29">
        <f>DCF!Z4</f>
        <v>11481.493962328947</v>
      </c>
      <c r="X43" s="29">
        <f>DCF!AA4</f>
        <v>12121.578292337826</v>
      </c>
      <c r="Y43" s="29">
        <f>DCF!AB4</f>
        <v>12797.346824321397</v>
      </c>
      <c r="Z43" s="29">
        <f>DCF!AC4</f>
        <v>13510.788924697285</v>
      </c>
      <c r="AA43" s="29">
        <f>DCF!AD4</f>
        <v>14264.004865508707</v>
      </c>
      <c r="AB43" s="29">
        <f>DCF!AE4</f>
        <v>15059.212007326563</v>
      </c>
    </row>
    <row r="44" spans="15:35" x14ac:dyDescent="0.3">
      <c r="V44" s="2" t="s">
        <v>146</v>
      </c>
      <c r="W44" s="29">
        <f>DCF!Z5</f>
        <v>8840.7503509932885</v>
      </c>
      <c r="X44" s="29">
        <f>DCF!AA5</f>
        <v>9333.6152851001261</v>
      </c>
      <c r="Y44" s="29">
        <f>DCF!AB5</f>
        <v>9853.9570547274761</v>
      </c>
      <c r="Z44" s="29">
        <f>DCF!AC5</f>
        <v>10403.30747201691</v>
      </c>
      <c r="AA44" s="29">
        <f>DCF!AD5</f>
        <v>10983.283746441704</v>
      </c>
      <c r="AB44" s="29">
        <f>DCF!AE5</f>
        <v>11595.593245641454</v>
      </c>
    </row>
    <row r="45" spans="15:35" x14ac:dyDescent="0.3">
      <c r="V45" s="2" t="s">
        <v>79</v>
      </c>
      <c r="W45" s="29">
        <f>DCF!Z9</f>
        <v>3108.853427112238</v>
      </c>
      <c r="X45" s="29">
        <f>DCF!AA9</f>
        <v>4565.7093719820841</v>
      </c>
      <c r="Y45" s="29">
        <f>DCF!AB9</f>
        <v>4820.2441070931245</v>
      </c>
      <c r="Z45" s="29">
        <f>DCF!AC9</f>
        <v>5088.9689550868725</v>
      </c>
      <c r="AA45" s="29">
        <f>DCF!AD9</f>
        <v>5372.6750036847507</v>
      </c>
      <c r="AB45" s="29">
        <f>DCF!AE9</f>
        <v>5672.1974431314275</v>
      </c>
    </row>
  </sheetData>
  <pageMargins left="0.7" right="0.7" top="0.75" bottom="0.75" header="0.3" footer="0.3"/>
  <tableParts count="21">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9FC81-4640-4023-A213-C933E0C995D8}">
  <dimension ref="A1:N26"/>
  <sheetViews>
    <sheetView workbookViewId="0">
      <selection activeCell="E23" sqref="E23"/>
    </sheetView>
  </sheetViews>
  <sheetFormatPr defaultRowHeight="14.4" x14ac:dyDescent="0.3"/>
  <cols>
    <col min="1" max="1" width="22.44140625" style="2" bestFit="1" customWidth="1"/>
    <col min="2" max="3" width="10.88671875" style="4" bestFit="1" customWidth="1"/>
    <col min="4" max="4" width="9.88671875" style="4" bestFit="1" customWidth="1"/>
    <col min="5" max="5" width="10.88671875" style="4" bestFit="1" customWidth="1"/>
    <col min="6" max="6" width="9.88671875" style="4" bestFit="1" customWidth="1"/>
    <col min="7" max="7" width="8.88671875" style="2"/>
    <col min="8" max="8" width="13.77734375" style="2" bestFit="1" customWidth="1"/>
    <col min="9" max="14" width="10.5546875" style="2" bestFit="1" customWidth="1"/>
    <col min="15" max="16384" width="8.88671875" style="2"/>
  </cols>
  <sheetData>
    <row r="1" spans="1:14" x14ac:dyDescent="0.3">
      <c r="A1" s="19" t="s">
        <v>39</v>
      </c>
    </row>
    <row r="3" spans="1:14" x14ac:dyDescent="0.3">
      <c r="A3" s="22" t="s">
        <v>40</v>
      </c>
      <c r="B3" s="76" t="s">
        <v>61</v>
      </c>
      <c r="C3" s="76" t="s">
        <v>62</v>
      </c>
      <c r="D3" s="76" t="s">
        <v>131</v>
      </c>
      <c r="E3" s="76" t="s">
        <v>132</v>
      </c>
      <c r="F3" s="23" t="s">
        <v>133</v>
      </c>
    </row>
    <row r="4" spans="1:14" x14ac:dyDescent="0.3">
      <c r="A4" s="77" t="s">
        <v>42</v>
      </c>
      <c r="B4" s="78">
        <f>(Financials!F3/Financials!B3)^(1/5)-1</f>
        <v>6.5824121895231125E-2</v>
      </c>
      <c r="C4" s="78">
        <f>(Financials!M3/Financials!I3)^(1/5)-1</f>
        <v>4.9273160896077695E-2</v>
      </c>
      <c r="D4" s="78">
        <v>4.0000000000000001E-3</v>
      </c>
      <c r="E4" s="78">
        <f>(Financials!AA3/Financials!W3)^(1/5)-1</f>
        <v>5.5749219753893797E-2</v>
      </c>
      <c r="F4" s="78">
        <f>(Financials!AH3/Financials!AD3)^(1/5)-1</f>
        <v>3.1218256703844594E-2</v>
      </c>
    </row>
    <row r="5" spans="1:14" x14ac:dyDescent="0.3">
      <c r="A5" s="79" t="s">
        <v>43</v>
      </c>
      <c r="B5" s="80">
        <f>AVERAGE(Table1[[#This Row],[2020]:[2024]])/AVERAGE(Financials!B3:F3)</f>
        <v>0.5700024795893065</v>
      </c>
      <c r="C5" s="80">
        <f>AVERAGE(Table18[[#This Row],[2020]:[2024]])/AVERAGE(Financials!I3:M3)</f>
        <v>0.4129639081297849</v>
      </c>
      <c r="D5" s="80">
        <f>AVERAGE(Table125[[#This Row],[2020]:[2024]])/AVERAGE(Financials!P3:T3)</f>
        <v>0.40844367735497966</v>
      </c>
      <c r="E5" s="80">
        <f>AVERAGE(Table1828[[#This Row],[2020]:[2024]])/AVERAGE(Financials!W3:AA3)</f>
        <v>0.40694542422882063</v>
      </c>
      <c r="F5" s="80">
        <f>AVERAGE(Table182837[[#This Row],[2020]:[2024]])/AVERAGE(Financials!AD3:AH3)</f>
        <v>0.35583237624053954</v>
      </c>
    </row>
    <row r="6" spans="1:14" x14ac:dyDescent="0.3">
      <c r="A6" s="79" t="s">
        <v>44</v>
      </c>
      <c r="B6" s="80">
        <f>AVERAGE(Table1[[#This Row],[2020]:[2024]])/AVERAGE(Financials!B3:F3)</f>
        <v>0.21875487882155223</v>
      </c>
      <c r="C6" s="80">
        <f>AVERAGE(Table18[[#This Row],[2020]:[2024]])/AVERAGE(Financials!I3:M3)</f>
        <v>0.18831206707983958</v>
      </c>
      <c r="D6" s="80">
        <f>AVERAGE(Table125[[#This Row],[2020]:[2024]])/AVERAGE(Financials!P3:T3)</f>
        <v>0.16942639087403252</v>
      </c>
      <c r="E6" s="80">
        <f>AVERAGE(Table1828[[#This Row],[2020]:[2024]])/AVERAGE(Financials!W3:AA3)</f>
        <v>0.16053677932405566</v>
      </c>
      <c r="F6" s="80">
        <f>AVERAGE(Table182837[[#This Row],[2020]:[2024]])/AVERAGE(Financials!AD3:AH3)</f>
        <v>0.17189386577141683</v>
      </c>
      <c r="M6" s="24"/>
    </row>
    <row r="7" spans="1:14" x14ac:dyDescent="0.3">
      <c r="A7" s="79" t="s">
        <v>45</v>
      </c>
      <c r="B7" s="80">
        <f>AVERAGE(Financials!B26:F26)/AVERAGE(Financials!B3:F3)</f>
        <v>0.37889961336774147</v>
      </c>
      <c r="C7" s="80">
        <f>AVERAGE(Financials!I26:M26)/AVERAGE(Financials!I3:M3)</f>
        <v>0.4073860736419978</v>
      </c>
      <c r="D7" s="80">
        <v>0.4</v>
      </c>
      <c r="E7" s="80">
        <f>AVERAGE(Financials!W26:AA26)/AVERAGE(Financials!W3:AA3)</f>
        <v>0.32867312255499265</v>
      </c>
      <c r="F7" s="80">
        <f>AVERAGE(Financials!AD26:AH26)/AVERAGE(Financials!AD3:AH3)</f>
        <v>0.40446741467149633</v>
      </c>
      <c r="H7" s="2" t="s">
        <v>12</v>
      </c>
      <c r="I7" s="18" t="s">
        <v>34</v>
      </c>
      <c r="J7" s="18" t="s">
        <v>35</v>
      </c>
      <c r="K7" s="18" t="s">
        <v>36</v>
      </c>
      <c r="L7" s="18" t="s">
        <v>37</v>
      </c>
      <c r="M7" s="18" t="s">
        <v>38</v>
      </c>
    </row>
    <row r="8" spans="1:14" x14ac:dyDescent="0.3">
      <c r="A8" s="79" t="s">
        <v>46</v>
      </c>
      <c r="B8" s="80">
        <f>AVERAGE(I8:M8)/AVERAGE(Financials!B3:F3)</f>
        <v>-0.51002396936329664</v>
      </c>
      <c r="C8" s="80">
        <f>AVERAGE(I9:M9)/AVERAGE(Financials!I3:M3)</f>
        <v>-0.2200947867298578</v>
      </c>
      <c r="D8" s="80">
        <f>AVERAGE(I10:M10)/AVERAGE(Financials!P3:T3)</f>
        <v>-0.14398209325530595</v>
      </c>
      <c r="E8" s="80">
        <f>AVERAGE(I11:M11)/AVERAGE(Financials!W3:AA3)</f>
        <v>-0.15279291989995511</v>
      </c>
      <c r="F8" s="80">
        <f>AVERAGE(I12:M12)/AVERAGE(Financials!AD3:AH3)</f>
        <v>-9.4560768030155798E-2</v>
      </c>
      <c r="H8" s="2" t="s">
        <v>66</v>
      </c>
      <c r="I8" s="29">
        <f>Financials!B17-Financials!B18</f>
        <v>-8176</v>
      </c>
      <c r="J8" s="29">
        <f>Financials!C17-Financials!C18</f>
        <v>-8149</v>
      </c>
      <c r="K8" s="29">
        <f>Financials!D17-Financials!D18</f>
        <v>-13205</v>
      </c>
      <c r="L8" s="29">
        <f>Financials!E17-Financials!E18</f>
        <v>-12602</v>
      </c>
      <c r="M8" s="29">
        <f>Financials!F17-Financials!F18</f>
        <v>-13404</v>
      </c>
    </row>
    <row r="9" spans="1:14" x14ac:dyDescent="0.3">
      <c r="A9" s="79" t="s">
        <v>47</v>
      </c>
      <c r="B9" s="81" t="s">
        <v>91</v>
      </c>
      <c r="C9" s="81" t="s">
        <v>91</v>
      </c>
      <c r="D9" s="81" t="str">
        <f>$C$9</f>
        <v>6 years</v>
      </c>
      <c r="E9" s="81" t="str">
        <f t="shared" ref="E9:F9" si="0">$C$9</f>
        <v>6 years</v>
      </c>
      <c r="F9" s="81" t="str">
        <f t="shared" si="0"/>
        <v>6 years</v>
      </c>
      <c r="H9" s="2" t="s">
        <v>67</v>
      </c>
      <c r="I9" s="29">
        <f>Financials!I17-Financials!I18</f>
        <v>-7623</v>
      </c>
      <c r="J9" s="29">
        <f>Financials!J17-Financials!J18</f>
        <v>-5991</v>
      </c>
      <c r="K9" s="29">
        <f>Financials!K17-Financials!K18</f>
        <v>-5651</v>
      </c>
      <c r="L9" s="29">
        <f>Financials!L17-Financials!L18</f>
        <v>-4514</v>
      </c>
      <c r="M9" s="29">
        <f>Financials!M17-Financials!M18</f>
        <v>-6407</v>
      </c>
    </row>
    <row r="10" spans="1:14" x14ac:dyDescent="0.3">
      <c r="A10" s="79" t="s">
        <v>48</v>
      </c>
      <c r="B10" s="80">
        <v>4.1799999999999997E-2</v>
      </c>
      <c r="C10" s="80">
        <v>4.1799999999999997E-2</v>
      </c>
      <c r="D10" s="80">
        <v>4.1799999999999997E-2</v>
      </c>
      <c r="E10" s="80">
        <v>4.1799999999999997E-2</v>
      </c>
      <c r="F10" s="80">
        <v>4.1799999999999997E-2</v>
      </c>
      <c r="H10" s="2" t="s">
        <v>134</v>
      </c>
      <c r="I10" s="29">
        <f>Financials!P17-Financials!P18</f>
        <v>-3957</v>
      </c>
      <c r="J10" s="29">
        <f>Financials!Q17-Financials!Q18</f>
        <v>-1404</v>
      </c>
      <c r="K10" s="29">
        <f>Financials!R17-Financials!R18</f>
        <v>-3600</v>
      </c>
      <c r="L10" s="29">
        <f>Financials!S17-Financials!S18</f>
        <v>959</v>
      </c>
      <c r="M10" s="29">
        <f>Financials!T17-Financials!T18</f>
        <v>-2676</v>
      </c>
    </row>
    <row r="11" spans="1:14" x14ac:dyDescent="0.3">
      <c r="A11" s="79" t="s">
        <v>49</v>
      </c>
      <c r="B11" s="80">
        <v>5.0999999999999997E-2</v>
      </c>
      <c r="C11" s="80">
        <v>5.0999999999999997E-2</v>
      </c>
      <c r="D11" s="80">
        <v>5.0999999999999997E-2</v>
      </c>
      <c r="E11" s="80">
        <v>5.0999999999999997E-2</v>
      </c>
      <c r="F11" s="80">
        <v>5.0999999999999997E-2</v>
      </c>
      <c r="H11" s="2" t="s">
        <v>135</v>
      </c>
      <c r="I11" s="29">
        <f>Financials!W17-Financials!W18</f>
        <v>-3462</v>
      </c>
      <c r="J11" s="29">
        <f>Financials!X17-Financials!X18</f>
        <v>-1956</v>
      </c>
      <c r="K11" s="29">
        <f>Financials!Y17-Financials!Y18</f>
        <v>-5308</v>
      </c>
      <c r="L11" s="29">
        <f>Financials!Z17-Financials!Z18</f>
        <v>-3035</v>
      </c>
      <c r="M11" s="29">
        <f>Financials!AA17-Financials!AA18</f>
        <v>-5299</v>
      </c>
    </row>
    <row r="12" spans="1:14" x14ac:dyDescent="0.3">
      <c r="A12" s="79" t="s">
        <v>4</v>
      </c>
      <c r="B12" s="82">
        <f ca="1">'Company Profile'!B5</f>
        <v>0.72150000000000003</v>
      </c>
      <c r="C12" s="82">
        <f ca="1">'Company Profile'!C5</f>
        <v>0.47370000000000001</v>
      </c>
      <c r="D12" s="82">
        <f ca="1">'Company Profile'!D5</f>
        <v>0.67079999999999995</v>
      </c>
      <c r="E12" s="82">
        <f ca="1">'Company Profile'!E5</f>
        <v>0.4486</v>
      </c>
      <c r="F12" s="82">
        <f ca="1">'Company Profile'!F5</f>
        <v>0.45190000000000002</v>
      </c>
      <c r="H12" s="2" t="s">
        <v>136</v>
      </c>
      <c r="I12" s="29">
        <f>Financials!AD17-Financials!AD18</f>
        <v>-964</v>
      </c>
      <c r="J12" s="29">
        <f>Financials!AE17-Financials!AE18</f>
        <v>-807</v>
      </c>
      <c r="K12" s="29">
        <f>Financials!AF17-Financials!AF18</f>
        <v>-934</v>
      </c>
      <c r="L12" s="29">
        <f>Financials!AG17-Financials!AG18</f>
        <v>-1583</v>
      </c>
      <c r="M12" s="29">
        <f>Financials!AH17-Financials!AH18</f>
        <v>-2134</v>
      </c>
    </row>
    <row r="13" spans="1:14" x14ac:dyDescent="0.3">
      <c r="A13" s="83" t="s">
        <v>50</v>
      </c>
      <c r="B13" s="84">
        <f ca="1">B10+(B11*B12)</f>
        <v>7.8596499999999986E-2</v>
      </c>
      <c r="C13" s="84">
        <f ca="1">C10+(C11*C12)</f>
        <v>6.5958699999999995E-2</v>
      </c>
      <c r="D13" s="84">
        <f t="shared" ref="D13:F13" ca="1" si="1">D10+(D11*D12)</f>
        <v>7.6010799999999989E-2</v>
      </c>
      <c r="E13" s="84">
        <f t="shared" ca="1" si="1"/>
        <v>6.4678600000000003E-2</v>
      </c>
      <c r="F13" s="84">
        <f t="shared" ca="1" si="1"/>
        <v>6.4846899999999999E-2</v>
      </c>
    </row>
    <row r="14" spans="1:14" x14ac:dyDescent="0.3">
      <c r="A14" s="79" t="s">
        <v>51</v>
      </c>
      <c r="B14" s="80">
        <f>AVERAGE(Financials!B7:F7)/AVERAGE(Financials!B20:F20)</f>
        <v>2.8952347972346242E-2</v>
      </c>
      <c r="C14" s="80">
        <f>AVERAGE(Financials!I7:M7)/AVERAGE(Financials!I20:M20)</f>
        <v>3.6144053610458617E-2</v>
      </c>
      <c r="D14" s="80">
        <f>AVERAGE(Financials!P7:T7)/AVERAGE(Financials!P20:T20)</f>
        <v>3.7381926060218999E-2</v>
      </c>
      <c r="E14" s="80">
        <f>AVERAGE(Financials!W7:AA7)/AVERAGE(Financials!W20:AA20)</f>
        <v>4.1512143514610793E-2</v>
      </c>
      <c r="F14" s="80">
        <f>AVERAGE(Financials!AD7:AH7)/AVERAGE(Financials!AD20:AH20)</f>
        <v>4.1594188893183864E-2</v>
      </c>
    </row>
    <row r="15" spans="1:14" x14ac:dyDescent="0.3">
      <c r="A15" s="79" t="s">
        <v>52</v>
      </c>
      <c r="B15" s="80">
        <v>0.23</v>
      </c>
      <c r="C15" s="80">
        <v>0.23</v>
      </c>
      <c r="D15" s="80">
        <f>Financials!T8/Financials!T30</f>
        <v>0.14115490375802017</v>
      </c>
      <c r="E15" s="80">
        <v>0.23</v>
      </c>
      <c r="F15" s="80">
        <f>Financials!AH8/Financials!AH30</f>
        <v>-0.28962536023054752</v>
      </c>
      <c r="H15" s="2" t="s">
        <v>12</v>
      </c>
      <c r="I15" s="18" t="s">
        <v>68</v>
      </c>
      <c r="J15" s="18" t="s">
        <v>69</v>
      </c>
      <c r="K15" s="18" t="s">
        <v>70</v>
      </c>
      <c r="L15" s="18" t="s">
        <v>71</v>
      </c>
      <c r="M15" s="18" t="s">
        <v>72</v>
      </c>
      <c r="N15" s="18" t="s">
        <v>73</v>
      </c>
    </row>
    <row r="16" spans="1:14" x14ac:dyDescent="0.3">
      <c r="A16" s="83" t="s">
        <v>53</v>
      </c>
      <c r="B16" s="84">
        <f>B14*(1-B15)</f>
        <v>2.2293307938706607E-2</v>
      </c>
      <c r="C16" s="84">
        <f>C14*(1-C15)</f>
        <v>2.7830921280053135E-2</v>
      </c>
      <c r="D16" s="84">
        <f t="shared" ref="D16:F16" si="2">D14*(1-D15)</f>
        <v>3.210528388489936E-2</v>
      </c>
      <c r="E16" s="84">
        <f t="shared" si="2"/>
        <v>3.1964350506250308E-2</v>
      </c>
      <c r="F16" s="84">
        <f t="shared" si="2"/>
        <v>5.3640920834869682E-2</v>
      </c>
      <c r="H16" s="2" t="str">
        <f>H8</f>
        <v>WC-NE</v>
      </c>
      <c r="I16" s="29">
        <f>DCF!B3*Assumptions!$B$8</f>
        <v>-13455.628057528735</v>
      </c>
      <c r="J16" s="29">
        <f>DCF!C3*Assumptions!$B$8</f>
        <v>-14341.332958964398</v>
      </c>
      <c r="K16" s="29">
        <f>DCF!D3*Assumptions!$B$8</f>
        <v>-15285.338607795366</v>
      </c>
      <c r="L16" s="29">
        <f>DCF!E3*Assumptions!$B$8</f>
        <v>-16291.48259952477</v>
      </c>
      <c r="M16" s="29">
        <f>DCF!F3*Assumptions!$B$8</f>
        <v>-17363.855136009926</v>
      </c>
      <c r="N16" s="29">
        <f>DCF!G3*Assumptions!$B$8</f>
        <v>-18506.815653053778</v>
      </c>
    </row>
    <row r="17" spans="1:14" x14ac:dyDescent="0.3">
      <c r="A17" s="79" t="s">
        <v>54</v>
      </c>
      <c r="B17" s="85">
        <f ca="1">'Company Profile'!B9</f>
        <v>176397.06700000001</v>
      </c>
      <c r="C17" s="85">
        <f ca="1">'Company Profile'!C9</f>
        <v>97347.63</v>
      </c>
      <c r="D17" s="85">
        <f ca="1">'Company Profile'!D9</f>
        <v>52472.972285000003</v>
      </c>
      <c r="E17" s="85">
        <f ca="1">'Company Profile'!E9</f>
        <v>99936.289799999999</v>
      </c>
      <c r="F17" s="85">
        <f ca="1">'Company Profile'!F9</f>
        <v>47914.7238</v>
      </c>
      <c r="H17" s="2" t="str">
        <f>H9</f>
        <v>WC-Duke</v>
      </c>
      <c r="I17" s="29">
        <f>DCF!J3*Assumptions!$C$8</f>
        <v>-7010.6319973306363</v>
      </c>
      <c r="J17" s="29">
        <f>DCF!K3*Assumptions!$C$8</f>
        <v>-7356.0679957182992</v>
      </c>
      <c r="K17" s="29">
        <f>DCF!L3*Assumptions!$C$8</f>
        <v>-7718.5247176338162</v>
      </c>
      <c r="L17" s="29">
        <f>DCF!M3*Assumptions!$C$8</f>
        <v>-8098.8408279261403</v>
      </c>
      <c r="M17" s="29">
        <f>DCF!N3*Assumptions!$C$8</f>
        <v>-8497.896315112268</v>
      </c>
      <c r="N17" s="29">
        <f>DCF!O3*Assumptions!$C$8</f>
        <v>-8916.6145275249801</v>
      </c>
    </row>
    <row r="18" spans="1:14" x14ac:dyDescent="0.3">
      <c r="A18" s="79" t="s">
        <v>55</v>
      </c>
      <c r="B18" s="85">
        <f>Financials!F20</f>
        <v>82333</v>
      </c>
      <c r="C18" s="85">
        <f>Financials!M20</f>
        <v>84273</v>
      </c>
      <c r="D18" s="85">
        <f>Financials!T20</f>
        <v>40025</v>
      </c>
      <c r="E18" s="85">
        <f>Financials!AA20</f>
        <v>58768</v>
      </c>
      <c r="F18" s="85">
        <f>Financials!AH20</f>
        <v>29114</v>
      </c>
      <c r="H18" s="2" t="str">
        <f t="shared" ref="H18:H20" si="3">H10</f>
        <v>WC-Dominion</v>
      </c>
      <c r="I18" s="29">
        <f>DCF!R3*Assumptions!$D$8</f>
        <v>-2090.1644347239826</v>
      </c>
      <c r="J18" s="29">
        <f>DCF!S3*Assumptions!$D$8</f>
        <v>-2098.5250924628785</v>
      </c>
      <c r="K18" s="29">
        <f>DCF!T3*Assumptions!$D$8</f>
        <v>-2106.91919283273</v>
      </c>
      <c r="L18" s="29">
        <f>DCF!U3*Assumptions!$D$8</f>
        <v>-2115.3468696040609</v>
      </c>
      <c r="M18" s="29">
        <f>DCF!V3*Assumptions!$D$8</f>
        <v>-2123.8082570824772</v>
      </c>
      <c r="N18" s="29">
        <f>DCF!W3*Assumptions!$D$8</f>
        <v>-2132.3034901108072</v>
      </c>
    </row>
    <row r="19" spans="1:14" x14ac:dyDescent="0.3">
      <c r="A19" s="79" t="s">
        <v>56</v>
      </c>
      <c r="B19" s="85">
        <f ca="1">B17+B18</f>
        <v>258730.06700000001</v>
      </c>
      <c r="C19" s="85">
        <f ca="1">C17+C18</f>
        <v>181620.63</v>
      </c>
      <c r="D19" s="85">
        <f t="shared" ref="D19:F19" ca="1" si="4">D17+D18</f>
        <v>92497.972284999996</v>
      </c>
      <c r="E19" s="85">
        <f t="shared" ca="1" si="4"/>
        <v>158704.2898</v>
      </c>
      <c r="F19" s="85">
        <f t="shared" ca="1" si="4"/>
        <v>77028.723800000007</v>
      </c>
      <c r="H19" s="2" t="str">
        <f t="shared" si="3"/>
        <v>WC-Southern</v>
      </c>
      <c r="I19" s="29">
        <f>DCF!Z3*Assumptions!$E$8</f>
        <v>-4310.8753234967635</v>
      </c>
      <c r="J19" s="29">
        <f>DCF!AA3*Assumptions!$E$8</f>
        <v>-4551.2032592380228</v>
      </c>
      <c r="K19" s="29">
        <f>DCF!AB3*Assumptions!$E$8</f>
        <v>-4804.9292898819203</v>
      </c>
      <c r="L19" s="29">
        <f>DCF!AC3*Assumptions!$E$8</f>
        <v>-5072.8003487654687</v>
      </c>
      <c r="M19" s="29">
        <f>DCF!AD3*Assumptions!$E$8</f>
        <v>-5355.6050101764231</v>
      </c>
      <c r="N19" s="29">
        <f>DCF!AE3*Assumptions!$E$8</f>
        <v>-5654.1758108038039</v>
      </c>
    </row>
    <row r="20" spans="1:14" x14ac:dyDescent="0.3">
      <c r="A20" s="79" t="s">
        <v>57</v>
      </c>
      <c r="B20" s="80">
        <f ca="1">B18/B19</f>
        <v>0.3182196833737147</v>
      </c>
      <c r="C20" s="80">
        <f ca="1">C18/C19</f>
        <v>0.46400565838803665</v>
      </c>
      <c r="D20" s="80">
        <f t="shared" ref="D20:F20" ca="1" si="5">D18/D19</f>
        <v>0.43271218829183661</v>
      </c>
      <c r="E20" s="80">
        <f t="shared" ca="1" si="5"/>
        <v>0.37029874916462402</v>
      </c>
      <c r="F20" s="80">
        <f t="shared" ca="1" si="5"/>
        <v>0.37796290219727097</v>
      </c>
      <c r="H20" s="2" t="str">
        <f t="shared" si="3"/>
        <v>WC-Xcel</v>
      </c>
      <c r="I20" s="29">
        <f>DCF!AH3*Assumptions!$F$8</f>
        <v>-1310.6694152372802</v>
      </c>
      <c r="J20" s="29">
        <f>DCF!AI3*Assumptions!$F$8</f>
        <v>-1351.5862294960355</v>
      </c>
      <c r="K20" s="29">
        <f>DCF!AJ3*Assumptions!$F$8</f>
        <v>-1393.7803953658242</v>
      </c>
      <c r="L20" s="29">
        <f>DCF!AK3*Assumptions!$F$8</f>
        <v>-1437.2917895371404</v>
      </c>
      <c r="M20" s="29">
        <f>DCF!AL3*Assumptions!$F$8</f>
        <v>-1482.1615335812392</v>
      </c>
      <c r="N20" s="29">
        <f>DCF!AM3*Assumptions!$F$8</f>
        <v>-1528.4320328131421</v>
      </c>
    </row>
    <row r="21" spans="1:14" x14ac:dyDescent="0.3">
      <c r="A21" s="79" t="s">
        <v>58</v>
      </c>
      <c r="B21" s="80">
        <f ca="1">B17/B19</f>
        <v>0.68178031662628524</v>
      </c>
      <c r="C21" s="80">
        <f ca="1">C17/C19</f>
        <v>0.53599434161196335</v>
      </c>
      <c r="D21" s="80">
        <f t="shared" ref="D21:F21" ca="1" si="6">D17/D19</f>
        <v>0.56728781170816345</v>
      </c>
      <c r="E21" s="80">
        <f t="shared" ca="1" si="6"/>
        <v>0.62970125083537598</v>
      </c>
      <c r="F21" s="80">
        <f t="shared" ca="1" si="6"/>
        <v>0.62203709780272898</v>
      </c>
    </row>
    <row r="22" spans="1:14" x14ac:dyDescent="0.3">
      <c r="A22" s="83" t="s">
        <v>59</v>
      </c>
      <c r="B22" s="84">
        <f ca="1">(B13*B21)+(B16*B20)</f>
        <v>6.0679716049325753E-2</v>
      </c>
      <c r="C22" s="84">
        <f ca="1">(C13*C21)+(C16*C20)</f>
        <v>4.8267194932177682E-2</v>
      </c>
      <c r="D22" s="84">
        <f t="shared" ref="D22:F22" ca="1" si="7">(D13*D21)+(D16*D20)</f>
        <v>5.7012348043752305E-2</v>
      </c>
      <c r="E22" s="84">
        <f t="shared" ca="1" si="7"/>
        <v>5.2564554332605061E-2</v>
      </c>
      <c r="F22" s="84">
        <f t="shared" ca="1" si="7"/>
        <v>6.0611455592785191E-2</v>
      </c>
    </row>
    <row r="23" spans="1:14" x14ac:dyDescent="0.3">
      <c r="A23" s="79" t="s">
        <v>60</v>
      </c>
      <c r="B23" s="80">
        <v>0.02</v>
      </c>
      <c r="C23" s="80">
        <v>0.02</v>
      </c>
      <c r="D23" s="80">
        <v>2.75E-2</v>
      </c>
      <c r="E23" s="80">
        <v>1.7999999999999999E-2</v>
      </c>
      <c r="F23" s="80">
        <v>1.7999999999999999E-2</v>
      </c>
    </row>
    <row r="24" spans="1:14" x14ac:dyDescent="0.3">
      <c r="A24" s="79" t="s">
        <v>87</v>
      </c>
      <c r="B24" s="85">
        <f ca="1">'Company Profile'!B7</f>
        <v>2082.61</v>
      </c>
      <c r="C24" s="85">
        <f ca="1">'Company Profile'!C7</f>
        <v>777.66120000000001</v>
      </c>
      <c r="D24" s="85">
        <f ca="1">'Company Profile'!D7</f>
        <v>853.91330000000005</v>
      </c>
      <c r="E24" s="85">
        <f ca="1">'Company Profile'!E7</f>
        <v>1101.105</v>
      </c>
      <c r="F24" s="85">
        <f ca="1">'Company Profile'!F7</f>
        <v>591.53980000000001</v>
      </c>
    </row>
    <row r="25" spans="1:14" x14ac:dyDescent="0.3">
      <c r="A25" s="79" t="s">
        <v>139</v>
      </c>
      <c r="B25" s="82">
        <f>Financials!F13</f>
        <v>1487</v>
      </c>
      <c r="C25" s="82">
        <f>Financials!M13</f>
        <v>314</v>
      </c>
      <c r="D25" s="82">
        <f>Financials!T13</f>
        <v>310</v>
      </c>
      <c r="E25" s="82">
        <f>Financials!AA13</f>
        <v>1070</v>
      </c>
      <c r="F25" s="82">
        <f>Financials!AH13</f>
        <v>179</v>
      </c>
    </row>
    <row r="26" spans="1:14" x14ac:dyDescent="0.3">
      <c r="A26" s="79" t="s">
        <v>140</v>
      </c>
      <c r="B26" s="80">
        <f ca="1">1/(1+B22)^6</f>
        <v>0.7022543174204503</v>
      </c>
      <c r="C26" s="80">
        <f t="shared" ref="C26:F26" ca="1" si="8">1/(1+C22)^6</f>
        <v>0.75364709644118755</v>
      </c>
      <c r="D26" s="80">
        <f t="shared" ca="1" si="8"/>
        <v>0.71700079192675037</v>
      </c>
      <c r="E26" s="80">
        <f t="shared" ca="1" si="8"/>
        <v>0.73537278795104355</v>
      </c>
      <c r="F26" s="80">
        <f t="shared" ca="1" si="8"/>
        <v>0.70252554161062264</v>
      </c>
    </row>
  </sheetData>
  <phoneticPr fontId="4" type="noConversion"/>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54FF6-602A-47A6-AABC-110709CC657F}">
  <dimension ref="A1:AM22"/>
  <sheetViews>
    <sheetView tabSelected="1" topLeftCell="G1" workbookViewId="0">
      <selection activeCell="R13" sqref="R13"/>
    </sheetView>
  </sheetViews>
  <sheetFormatPr defaultRowHeight="14.4" x14ac:dyDescent="0.3"/>
  <cols>
    <col min="1" max="1" width="22.77734375" bestFit="1" customWidth="1"/>
    <col min="2" max="2" width="12.33203125" bestFit="1" customWidth="1"/>
    <col min="3" max="7" width="10.88671875" bestFit="1" customWidth="1"/>
    <col min="9" max="9" width="22.77734375" bestFit="1" customWidth="1"/>
    <col min="10" max="10" width="12.33203125" bestFit="1" customWidth="1"/>
    <col min="11" max="15" width="10.88671875" bestFit="1" customWidth="1"/>
    <col min="17" max="17" width="22.77734375" bestFit="1" customWidth="1"/>
    <col min="18" max="18" width="12.33203125" bestFit="1" customWidth="1"/>
    <col min="19" max="23" width="10.88671875" bestFit="1" customWidth="1"/>
    <col min="25" max="25" width="22.77734375" bestFit="1" customWidth="1"/>
    <col min="26" max="26" width="12.33203125" bestFit="1" customWidth="1"/>
    <col min="27" max="31" width="10.88671875" bestFit="1" customWidth="1"/>
    <col min="33" max="33" width="22.77734375" bestFit="1" customWidth="1"/>
    <col min="34" max="34" width="12.33203125" bestFit="1" customWidth="1"/>
    <col min="35" max="39" width="10.88671875" bestFit="1" customWidth="1"/>
  </cols>
  <sheetData>
    <row r="1" spans="1:39" x14ac:dyDescent="0.3">
      <c r="A1" s="75"/>
      <c r="B1" s="75"/>
      <c r="C1" s="75"/>
      <c r="D1" s="75"/>
      <c r="E1" s="75"/>
      <c r="F1" s="75"/>
      <c r="G1" s="75" t="s">
        <v>126</v>
      </c>
      <c r="H1" s="75"/>
      <c r="I1" s="75"/>
      <c r="J1" s="75"/>
      <c r="K1" s="75"/>
      <c r="L1" s="75"/>
      <c r="M1" s="75"/>
      <c r="N1" s="75"/>
      <c r="O1" s="75" t="s">
        <v>127</v>
      </c>
      <c r="Q1" s="75"/>
      <c r="R1" s="75"/>
      <c r="S1" s="75"/>
      <c r="T1" s="75"/>
      <c r="U1" s="75"/>
      <c r="V1" s="75"/>
      <c r="W1" s="75" t="s">
        <v>128</v>
      </c>
      <c r="X1" s="75"/>
      <c r="Y1" s="75"/>
      <c r="Z1" s="75"/>
      <c r="AA1" s="75"/>
      <c r="AB1" s="75"/>
      <c r="AC1" s="75"/>
      <c r="AD1" s="75"/>
      <c r="AE1" s="75" t="s">
        <v>129</v>
      </c>
      <c r="AG1" s="75"/>
      <c r="AH1" s="75"/>
      <c r="AI1" s="75"/>
      <c r="AJ1" s="75"/>
      <c r="AK1" s="75"/>
      <c r="AL1" s="75"/>
      <c r="AM1" s="75" t="s">
        <v>130</v>
      </c>
    </row>
    <row r="2" spans="1:39" x14ac:dyDescent="0.3">
      <c r="A2" s="2" t="s">
        <v>12</v>
      </c>
      <c r="B2" s="30" t="s">
        <v>68</v>
      </c>
      <c r="C2" s="30" t="s">
        <v>69</v>
      </c>
      <c r="D2" s="30" t="s">
        <v>70</v>
      </c>
      <c r="E2" s="30" t="s">
        <v>71</v>
      </c>
      <c r="F2" s="30" t="s">
        <v>72</v>
      </c>
      <c r="G2" s="30" t="s">
        <v>73</v>
      </c>
      <c r="H2" s="2"/>
      <c r="I2" s="2" t="s">
        <v>12</v>
      </c>
      <c r="J2" s="31" t="s">
        <v>68</v>
      </c>
      <c r="K2" s="31" t="s">
        <v>69</v>
      </c>
      <c r="L2" s="31" t="s">
        <v>70</v>
      </c>
      <c r="M2" s="31" t="s">
        <v>71</v>
      </c>
      <c r="N2" s="31" t="s">
        <v>72</v>
      </c>
      <c r="O2" s="31" t="s">
        <v>73</v>
      </c>
      <c r="Q2" s="2" t="s">
        <v>12</v>
      </c>
      <c r="R2" s="30" t="s">
        <v>68</v>
      </c>
      <c r="S2" s="30" t="s">
        <v>69</v>
      </c>
      <c r="T2" s="30" t="s">
        <v>70</v>
      </c>
      <c r="U2" s="30" t="s">
        <v>71</v>
      </c>
      <c r="V2" s="30" t="s">
        <v>72</v>
      </c>
      <c r="W2" s="30" t="s">
        <v>73</v>
      </c>
      <c r="X2" s="2"/>
      <c r="Y2" s="2" t="s">
        <v>12</v>
      </c>
      <c r="Z2" s="31" t="s">
        <v>68</v>
      </c>
      <c r="AA2" s="31" t="s">
        <v>69</v>
      </c>
      <c r="AB2" s="31" t="s">
        <v>70</v>
      </c>
      <c r="AC2" s="31" t="s">
        <v>71</v>
      </c>
      <c r="AD2" s="31" t="s">
        <v>72</v>
      </c>
      <c r="AE2" s="31" t="s">
        <v>73</v>
      </c>
      <c r="AG2" s="2" t="s">
        <v>12</v>
      </c>
      <c r="AH2" s="30" t="s">
        <v>68</v>
      </c>
      <c r="AI2" s="30" t="s">
        <v>69</v>
      </c>
      <c r="AJ2" s="30" t="s">
        <v>70</v>
      </c>
      <c r="AK2" s="30" t="s">
        <v>71</v>
      </c>
      <c r="AL2" s="30" t="s">
        <v>72</v>
      </c>
      <c r="AM2" s="30" t="s">
        <v>73</v>
      </c>
    </row>
    <row r="3" spans="1:39" x14ac:dyDescent="0.3">
      <c r="A3" s="2" t="s">
        <v>13</v>
      </c>
      <c r="B3" s="29">
        <f>Table1[[#This Row],[2024]]*(1+Assumptions!B4)</f>
        <v>26382.344489272655</v>
      </c>
      <c r="C3" s="29">
        <f>Table9[[#This Row],[2025]]*(1+Assumptions!$B$4)</f>
        <v>28118.939148816517</v>
      </c>
      <c r="D3" s="29">
        <f>Table9[[#This Row],[2026]]*(1+Assumptions!$B$4)</f>
        <v>29969.8436269128</v>
      </c>
      <c r="E3" s="29">
        <f>Table9[[#This Row],[2027]]*(1+Assumptions!$B$4)</f>
        <v>31942.582266991725</v>
      </c>
      <c r="F3" s="29">
        <f>Table9[[#This Row],[2028]]*(1+Assumptions!$B$4)</f>
        <v>34045.17469578264</v>
      </c>
      <c r="G3" s="29">
        <f>Table9[[#This Row],[2029]]*(1+Assumptions!$B$4)</f>
        <v>36286.168424902273</v>
      </c>
      <c r="H3" s="2"/>
      <c r="I3" s="8" t="s">
        <v>13</v>
      </c>
      <c r="J3" s="12">
        <f>Table18[[#This Row],[2024]]*(1+Assumptions!C4)</f>
        <v>31852.785345322231</v>
      </c>
      <c r="K3" s="12">
        <f>Table10[[#This Row],[2025]]*(1+Assumptions!$C$4)</f>
        <v>33422.27276263052</v>
      </c>
      <c r="L3" s="12">
        <f>Table10[[#This Row],[2026]]*(1+Assumptions!$C$4)</f>
        <v>35069.093785976213</v>
      </c>
      <c r="M3" s="12">
        <f>Table10[[#This Row],[2027]]*(1+Assumptions!$C$4)</f>
        <v>36797.05888657226</v>
      </c>
      <c r="N3" s="12">
        <f>Table10[[#This Row],[2028]]*(1+Assumptions!$C$4)</f>
        <v>38610.16628959278</v>
      </c>
      <c r="O3" s="12">
        <f>Table10[[#This Row],[2029]]*(1+Assumptions!$C$4)</f>
        <v>40512.611225404202</v>
      </c>
      <c r="Q3" s="2" t="s">
        <v>13</v>
      </c>
      <c r="R3" s="61">
        <f>Table125[[#This Row],[2024]]*(1+Assumptions!D4)</f>
        <v>14516.835999999999</v>
      </c>
      <c r="S3" s="61">
        <f>Table96[[#This Row],[2025]]*(1+Assumptions!$D$4)</f>
        <v>14574.903344</v>
      </c>
      <c r="T3" s="61">
        <f>Table96[[#This Row],[2026]]*(1+Assumptions!$D$4)</f>
        <v>14633.202957376001</v>
      </c>
      <c r="U3" s="61">
        <f>Table96[[#This Row],[2027]]*(1+Assumptions!$D$4)</f>
        <v>14691.735769205505</v>
      </c>
      <c r="V3" s="61">
        <f>Table96[[#This Row],[2028]]*(1+Assumptions!$D$4)</f>
        <v>14750.502712282327</v>
      </c>
      <c r="W3" s="61">
        <f>Table96[[#This Row],[2029]]*(1+Assumptions!$D$4)</f>
        <v>14809.504723131457</v>
      </c>
      <c r="X3" s="2"/>
      <c r="Y3" s="8" t="s">
        <v>13</v>
      </c>
      <c r="Z3" s="12">
        <f>Table1828[[#This Row],[2024]]*(1+Assumptions!E4)</f>
        <v>28213.842148703057</v>
      </c>
      <c r="AA3" s="12">
        <f>Table107[[#This Row],[2025]]*(1+Assumptions!$E$4)</f>
        <v>29786.741834752775</v>
      </c>
      <c r="AB3" s="12">
        <f>Table107[[#This Row],[2026]]*(1+Assumptions!$E$4)</f>
        <v>31447.329451050908</v>
      </c>
      <c r="AC3" s="12">
        <f>Table107[[#This Row],[2027]]*(1+Assumptions!$E$4)</f>
        <v>33200.493531290638</v>
      </c>
      <c r="AD3" s="12">
        <f>Table107[[#This Row],[2028]]*(1+Assumptions!$E$4)</f>
        <v>35051.395141104287</v>
      </c>
      <c r="AE3" s="12">
        <f>Table107[[#This Row],[2029]]*(1+Assumptions!$E$4)</f>
        <v>37005.483071506278</v>
      </c>
      <c r="AG3" s="2" t="s">
        <v>13</v>
      </c>
      <c r="AH3" s="61">
        <f>Table182837[[#This Row],[2024]]*(1+Assumptions!F4)</f>
        <v>13860.604588356375</v>
      </c>
      <c r="AI3" s="61">
        <f>Table9619[[#This Row],[2025]]*(1+Assumptions!$F$4)</f>
        <v>14293.30850046617</v>
      </c>
      <c r="AJ3" s="61">
        <f>Table9619[[#This Row],[2026]]*(1+Assumptions!$F$4)</f>
        <v>14739.520674380967</v>
      </c>
      <c r="AK3" s="61">
        <f>Table9619[[#This Row],[2027]]*(1+Assumptions!$F$4)</f>
        <v>15199.662814485417</v>
      </c>
      <c r="AL3" s="61">
        <f>Table9619[[#This Row],[2028]]*(1+Assumptions!$F$4)</f>
        <v>15674.169790039903</v>
      </c>
      <c r="AM3" s="61">
        <f>Table9619[[#This Row],[2029]]*(1+Assumptions!$F$4)</f>
        <v>16163.490046165014</v>
      </c>
    </row>
    <row r="4" spans="1:39" x14ac:dyDescent="0.3">
      <c r="A4" s="2" t="s">
        <v>74</v>
      </c>
      <c r="B4" s="29">
        <f>B3*Assumptions!$B$5</f>
        <v>15038.001776264689</v>
      </c>
      <c r="C4" s="29">
        <f>C3*Assumptions!$B$5</f>
        <v>16027.865038246238</v>
      </c>
      <c r="D4" s="29">
        <f>D3*Assumptions!$B$5</f>
        <v>17082.885180244069</v>
      </c>
      <c r="E4" s="29">
        <f>E3*Assumptions!$B$5</f>
        <v>18207.351096670696</v>
      </c>
      <c r="F4" s="29">
        <f>F3*Assumptions!$B$5</f>
        <v>19405.833994647219</v>
      </c>
      <c r="G4" s="29">
        <f>G3*Assumptions!$B$5</f>
        <v>20683.205976989495</v>
      </c>
      <c r="H4" s="2"/>
      <c r="I4" s="8" t="s">
        <v>74</v>
      </c>
      <c r="J4" s="12">
        <f>J3*Assumptions!$C$5</f>
        <v>13154.050721023408</v>
      </c>
      <c r="K4" s="12">
        <f>K3*Assumptions!$C$5</f>
        <v>13802.192378635562</v>
      </c>
      <c r="L4" s="12">
        <f>L3*Assumptions!$C$5</f>
        <v>14482.270024426691</v>
      </c>
      <c r="M4" s="12">
        <f>M3*Assumptions!$C$5</f>
        <v>15195.857245480713</v>
      </c>
      <c r="N4" s="12">
        <f>N3*Assumptions!$C$5</f>
        <v>15944.605164491111</v>
      </c>
      <c r="O4" s="12">
        <f>O3*Assumptions!$C$5</f>
        <v>16730.246260185511</v>
      </c>
      <c r="Q4" s="2" t="s">
        <v>74</v>
      </c>
      <c r="R4" s="61">
        <f>R3*Assumptions!$D$5</f>
        <v>5929.309879399153</v>
      </c>
      <c r="S4" s="61">
        <f>S3*Assumptions!$D$5</f>
        <v>5953.0271189167506</v>
      </c>
      <c r="T4" s="61">
        <f>T3*Assumptions!$D$5</f>
        <v>5976.8392273924173</v>
      </c>
      <c r="U4" s="61">
        <f>U3*Assumptions!$D$5</f>
        <v>6000.7465843019872</v>
      </c>
      <c r="V4" s="61">
        <f>V3*Assumptions!$D$5</f>
        <v>6024.7495706391946</v>
      </c>
      <c r="W4" s="61">
        <f>W3*Assumptions!$D$5</f>
        <v>6048.8485689217523</v>
      </c>
      <c r="X4" s="2"/>
      <c r="Y4" s="8" t="s">
        <v>74</v>
      </c>
      <c r="Z4" s="12">
        <f>Z3*Assumptions!$E$5</f>
        <v>11481.493962328947</v>
      </c>
      <c r="AA4" s="12">
        <f>AA3*Assumptions!$E$5</f>
        <v>12121.578292337826</v>
      </c>
      <c r="AB4" s="12">
        <f>AB3*Assumptions!$E$5</f>
        <v>12797.346824321397</v>
      </c>
      <c r="AC4" s="12">
        <f>AC3*Assumptions!$E$5</f>
        <v>13510.788924697285</v>
      </c>
      <c r="AD4" s="12">
        <f>AD3*Assumptions!$E$5</f>
        <v>14264.004865508707</v>
      </c>
      <c r="AE4" s="12">
        <f>AE3*Assumptions!$E$5</f>
        <v>15059.212007326563</v>
      </c>
      <c r="AG4" s="2" t="s">
        <v>74</v>
      </c>
      <c r="AH4" s="61">
        <f>AH3*Assumptions!$F$5</f>
        <v>4932.0518668053746</v>
      </c>
      <c r="AI4" s="61">
        <f>AI3*Assumptions!$F$5</f>
        <v>5086.0219280599804</v>
      </c>
      <c r="AJ4" s="61">
        <f>AJ3*Assumptions!$F$5</f>
        <v>5244.7986662115391</v>
      </c>
      <c r="AK4" s="61">
        <f>AK3*Assumptions!$F$5</f>
        <v>5408.5321373333127</v>
      </c>
      <c r="AL4" s="61">
        <f>AL3*Assumptions!$F$5</f>
        <v>5577.3770819875772</v>
      </c>
      <c r="AM4" s="61">
        <f>AM3*Assumptions!$F$5</f>
        <v>5751.4930714672055</v>
      </c>
    </row>
    <row r="5" spans="1:39" s="75" customFormat="1" x14ac:dyDescent="0.3">
      <c r="A5" s="19" t="s">
        <v>75</v>
      </c>
      <c r="B5" s="33">
        <f>B4*(1-Assumptions!$B$15)</f>
        <v>11579.261367723811</v>
      </c>
      <c r="C5" s="33">
        <f>C4*(1-Assumptions!$B$15)</f>
        <v>12341.456079449605</v>
      </c>
      <c r="D5" s="33">
        <f>D4*(1-Assumptions!$B$15)</f>
        <v>13153.821588787934</v>
      </c>
      <c r="E5" s="33">
        <f>E4*(1-Assumptions!$B$15)</f>
        <v>14019.660344436437</v>
      </c>
      <c r="F5" s="33">
        <f>F4*(1-Assumptions!$B$15)</f>
        <v>14942.492175878358</v>
      </c>
      <c r="G5" s="33">
        <f>G4*(1-Assumptions!$B$15)</f>
        <v>15926.068602281912</v>
      </c>
      <c r="H5" s="19"/>
      <c r="I5" s="27" t="s">
        <v>75</v>
      </c>
      <c r="J5" s="112">
        <f>J4*(1-Assumptions!$C$15)</f>
        <v>10128.619055188025</v>
      </c>
      <c r="K5" s="112">
        <f>K4*(1-Assumptions!$C$15)</f>
        <v>10627.688131549383</v>
      </c>
      <c r="L5" s="112">
        <f>L4*(1-Assumptions!$C$15)</f>
        <v>11151.347918808553</v>
      </c>
      <c r="M5" s="112">
        <f>M4*(1-Assumptions!$C$15)</f>
        <v>11700.81007902015</v>
      </c>
      <c r="N5" s="112">
        <f>N4*(1-Assumptions!$C$15)</f>
        <v>12277.345976658156</v>
      </c>
      <c r="O5" s="112">
        <f>O4*(1-Assumptions!$C$15)</f>
        <v>12882.289620342845</v>
      </c>
      <c r="Q5" s="19" t="s">
        <v>75</v>
      </c>
      <c r="R5" s="110">
        <f>R4*(1-Assumptions!$D$15)</f>
        <v>5092.3587140210875</v>
      </c>
      <c r="S5" s="110">
        <f>S4*(1-Assumptions!$D$15)</f>
        <v>5112.7281488771723</v>
      </c>
      <c r="T5" s="110">
        <f>T4*(1-Assumptions!$D$15)</f>
        <v>5133.1790614726806</v>
      </c>
      <c r="U5" s="110">
        <f>U4*(1-Assumptions!$D$15)</f>
        <v>5153.7117777185722</v>
      </c>
      <c r="V5" s="110">
        <f>V4*(1-Assumptions!$D$15)</f>
        <v>5174.3266248294458</v>
      </c>
      <c r="W5" s="110">
        <f>W4*(1-Assumptions!$D$15)</f>
        <v>5195.0239313287639</v>
      </c>
      <c r="X5" s="19"/>
      <c r="Y5" s="27" t="s">
        <v>75</v>
      </c>
      <c r="Z5" s="112">
        <f>Z4*(1-Assumptions!$C$15)</f>
        <v>8840.7503509932885</v>
      </c>
      <c r="AA5" s="112">
        <f>AA4*(1-Assumptions!$C$15)</f>
        <v>9333.6152851001261</v>
      </c>
      <c r="AB5" s="112">
        <f>AB4*(1-Assumptions!$C$15)</f>
        <v>9853.9570547274761</v>
      </c>
      <c r="AC5" s="112">
        <f>AC4*(1-Assumptions!$C$15)</f>
        <v>10403.30747201691</v>
      </c>
      <c r="AD5" s="112">
        <f>AD4*(1-Assumptions!$C$15)</f>
        <v>10983.283746441704</v>
      </c>
      <c r="AE5" s="112">
        <f>AE4*(1-Assumptions!$C$15)</f>
        <v>11595.593245641454</v>
      </c>
      <c r="AG5" s="19" t="s">
        <v>75</v>
      </c>
      <c r="AH5" s="110">
        <f>AH4*(1-Assumptions!$F$15)</f>
        <v>6360.4991654046262</v>
      </c>
      <c r="AI5" s="110">
        <f>AI4*(1-Assumptions!$F$15)</f>
        <v>6559.0628611148168</v>
      </c>
      <c r="AJ5" s="110">
        <f>AJ4*(1-Assumptions!$F$15)</f>
        <v>6763.8253692497519</v>
      </c>
      <c r="AK5" s="110">
        <f>AK4*(1-Assumptions!$F$15)</f>
        <v>6974.9802059269668</v>
      </c>
      <c r="AL5" s="110">
        <f>AL4*(1-Assumptions!$F$15)</f>
        <v>7192.7269284998301</v>
      </c>
      <c r="AM5" s="110">
        <f>AM4*(1-Assumptions!$F$15)</f>
        <v>7417.2713241543934</v>
      </c>
    </row>
    <row r="6" spans="1:39" x14ac:dyDescent="0.3">
      <c r="A6" s="2" t="s">
        <v>76</v>
      </c>
      <c r="B6" s="29">
        <f>B3*Assumptions!$B$6</f>
        <v>5771.2665717792861</v>
      </c>
      <c r="C6" s="29">
        <f>C3*Assumptions!$B$6</f>
        <v>6151.1551260899578</v>
      </c>
      <c r="D6" s="29">
        <f>D3*Assumptions!$B$6</f>
        <v>6556.0495109061785</v>
      </c>
      <c r="E6" s="29">
        <f>E3*Assumptions!$B$6</f>
        <v>6987.5957130632378</v>
      </c>
      <c r="F6" s="29">
        <f>F3*Assumptions!$B$6</f>
        <v>7447.548065034508</v>
      </c>
      <c r="G6" s="29">
        <f>G3*Assumptions!$B$6</f>
        <v>7937.7763766879316</v>
      </c>
      <c r="H6" s="2"/>
      <c r="I6" s="8" t="s">
        <v>76</v>
      </c>
      <c r="J6" s="12">
        <f>J3*Assumptions!$C$6</f>
        <v>5998.2638506280509</v>
      </c>
      <c r="K6" s="12">
        <f>K3*Assumptions!$C$6</f>
        <v>6293.8172704371736</v>
      </c>
      <c r="L6" s="12">
        <f>L3*Assumptions!$C$6</f>
        <v>6603.9335414539382</v>
      </c>
      <c r="M6" s="12">
        <f>M3*Assumptions!$C$6</f>
        <v>6929.3302213890029</v>
      </c>
      <c r="N6" s="12">
        <f>N3*Assumptions!$C$6</f>
        <v>7270.7602242895564</v>
      </c>
      <c r="O6" s="12">
        <f>O3*Assumptions!$C$6</f>
        <v>7629.0135626577776</v>
      </c>
      <c r="Q6" s="2" t="s">
        <v>76</v>
      </c>
      <c r="R6" s="61">
        <f>R3*Assumptions!$D$6</f>
        <v>2459.5351303902266</v>
      </c>
      <c r="S6" s="61">
        <f>S3*Assumptions!$D$6</f>
        <v>2469.3732709117876</v>
      </c>
      <c r="T6" s="61">
        <f>T3*Assumptions!$D$6</f>
        <v>2479.2507639954351</v>
      </c>
      <c r="U6" s="61">
        <f>U3*Assumptions!$D$6</f>
        <v>2489.1677670514168</v>
      </c>
      <c r="V6" s="61">
        <f>V3*Assumptions!$D$6</f>
        <v>2499.1244381196225</v>
      </c>
      <c r="W6" s="61">
        <f>W3*Assumptions!$D$6</f>
        <v>2509.1209358721007</v>
      </c>
      <c r="X6" s="2"/>
      <c r="Y6" s="8" t="s">
        <v>76</v>
      </c>
      <c r="Z6" s="12">
        <f>Z3*Assumptions!$E$6</f>
        <v>4529.3593509100829</v>
      </c>
      <c r="AA6" s="12">
        <f>AA3*Assumptions!$E$6</f>
        <v>4781.8676007083232</v>
      </c>
      <c r="AB6" s="12">
        <f>AB3*Assumptions!$E$6</f>
        <v>5048.4529884142357</v>
      </c>
      <c r="AC6" s="12">
        <f>AC3*Assumptions!$E$6</f>
        <v>5329.9003034825428</v>
      </c>
      <c r="AD6" s="12">
        <f>AD3*Assumptions!$E$6</f>
        <v>5627.0380867677359</v>
      </c>
      <c r="AE6" s="12">
        <f>AE3*Assumptions!$E$6</f>
        <v>5940.7410696304805</v>
      </c>
      <c r="AG6" s="2" t="s">
        <v>76</v>
      </c>
      <c r="AH6" s="61">
        <f>AH3*Assumptions!$F$6</f>
        <v>2382.5529046216147</v>
      </c>
      <c r="AI6" s="61">
        <f>AI3*Assumptions!$F$6</f>
        <v>2456.9320528085827</v>
      </c>
      <c r="AJ6" s="61">
        <f>AJ3*Assumptions!$F$6</f>
        <v>2533.6331883370649</v>
      </c>
      <c r="AK6" s="61">
        <f>AK3*Assumptions!$F$6</f>
        <v>2612.7287996039518</v>
      </c>
      <c r="AL6" s="61">
        <f>AL3*Assumptions!$F$6</f>
        <v>2694.2936379675157</v>
      </c>
      <c r="AM6" s="61">
        <f>AM3*Assumptions!$F$6</f>
        <v>2778.4047883931207</v>
      </c>
    </row>
    <row r="7" spans="1:39" x14ac:dyDescent="0.3">
      <c r="A7" s="2" t="s">
        <v>77</v>
      </c>
      <c r="B7" s="29">
        <f>B3*Assumptions!$B$7</f>
        <v>9996.2601267199734</v>
      </c>
      <c r="C7" s="29">
        <f>C3*Assumptions!$B$7</f>
        <v>10654.255171797628</v>
      </c>
      <c r="D7" s="29">
        <f>D3*Assumptions!$B$7</f>
        <v>11355.562162928931</v>
      </c>
      <c r="E7" s="29">
        <f>E3*Assumptions!$B$7</f>
        <v>12103.03207093044</v>
      </c>
      <c r="F7" s="29">
        <f>F3*Assumptions!$B$7</f>
        <v>12899.703529269258</v>
      </c>
      <c r="G7" s="29">
        <f>G3*Assumptions!$B$7</f>
        <v>13748.815186792221</v>
      </c>
      <c r="H7" s="2"/>
      <c r="I7" s="8" t="s">
        <v>77</v>
      </c>
      <c r="J7" s="12">
        <f>J3*Assumptions!$C$7</f>
        <v>12976.38115639219</v>
      </c>
      <c r="K7" s="12">
        <f>K3*Assumptions!$C$7</f>
        <v>13615.768472959935</v>
      </c>
      <c r="L7" s="12">
        <f>L3*Assumptions!$C$7</f>
        <v>14286.660423651832</v>
      </c>
      <c r="M7" s="12">
        <f>M3*Assumptions!$C$7</f>
        <v>14990.609341374056</v>
      </c>
      <c r="N7" s="12">
        <f>N3*Assumptions!$C$7</f>
        <v>15729.244047381826</v>
      </c>
      <c r="O7" s="12">
        <f>O3*Assumptions!$C$7</f>
        <v>16504.273620102143</v>
      </c>
      <c r="Q7" s="2" t="s">
        <v>77</v>
      </c>
      <c r="R7" s="61">
        <f>R3*Assumptions!$D$7</f>
        <v>5806.7344000000003</v>
      </c>
      <c r="S7" s="61">
        <f>S3*Assumptions!$D$7</f>
        <v>5829.9613376000007</v>
      </c>
      <c r="T7" s="61">
        <f>T3*Assumptions!$D$7</f>
        <v>5853.2811829504008</v>
      </c>
      <c r="U7" s="61">
        <f>U3*Assumptions!$D$7</f>
        <v>5876.6943076822026</v>
      </c>
      <c r="V7" s="61">
        <f>V3*Assumptions!$D$7</f>
        <v>5900.201084912931</v>
      </c>
      <c r="W7" s="61">
        <f>W3*Assumptions!$D$7</f>
        <v>5923.8018892525834</v>
      </c>
      <c r="X7" s="2"/>
      <c r="Y7" s="8" t="s">
        <v>77</v>
      </c>
      <c r="Z7" s="12">
        <f>Z3*Assumptions!$E$7</f>
        <v>9273.1315982878968</v>
      </c>
      <c r="AA7" s="12">
        <f>AA3*Assumptions!$E$7</f>
        <v>9790.1014495676245</v>
      </c>
      <c r="AB7" s="12">
        <f>AB3*Assumptions!$E$7</f>
        <v>10335.891966692485</v>
      </c>
      <c r="AC7" s="12">
        <f>AC3*Assumptions!$E$7</f>
        <v>10912.109879296129</v>
      </c>
      <c r="AD7" s="12">
        <f>AD3*Assumptions!$E$7</f>
        <v>11520.451490935644</v>
      </c>
      <c r="AE7" s="12">
        <f>AE3*Assumptions!$E$7</f>
        <v>12162.707672767889</v>
      </c>
      <c r="AG7" s="2" t="s">
        <v>77</v>
      </c>
      <c r="AH7" s="61">
        <f>AH3*Assumptions!$F$7</f>
        <v>5606.1629036363829</v>
      </c>
      <c r="AI7" s="61">
        <f>AI3*Assumptions!$F$7</f>
        <v>5781.1775362856733</v>
      </c>
      <c r="AJ7" s="61">
        <f>AJ3*Assumptions!$F$7</f>
        <v>5961.6558206639393</v>
      </c>
      <c r="AK7" s="61">
        <f>AK3*Assumptions!$F$7</f>
        <v>6147.7683224533957</v>
      </c>
      <c r="AL7" s="61">
        <f>AL3*Assumptions!$F$7</f>
        <v>6339.6909320995101</v>
      </c>
      <c r="AM7" s="61">
        <f>AM3*Assumptions!$F$7</f>
        <v>6537.6050310408282</v>
      </c>
    </row>
    <row r="8" spans="1:39" x14ac:dyDescent="0.3">
      <c r="A8" s="32" t="s">
        <v>78</v>
      </c>
      <c r="B8" s="29">
        <f>Assumptions!I16-Assumptions!M8</f>
        <v>-51.628057528734644</v>
      </c>
      <c r="C8" s="29">
        <f>Assumptions!J16-Assumptions!I16</f>
        <v>-885.70490143566349</v>
      </c>
      <c r="D8" s="29">
        <f>Assumptions!K16-Assumptions!J16</f>
        <v>-944.0056488309674</v>
      </c>
      <c r="E8" s="29">
        <f>Assumptions!L16-Assumptions!K16</f>
        <v>-1006.1439917294047</v>
      </c>
      <c r="F8" s="29">
        <f>Assumptions!M16-Assumptions!L16</f>
        <v>-1072.3725364851562</v>
      </c>
      <c r="G8" s="29">
        <f>Assumptions!N16-Assumptions!M16</f>
        <v>-1142.9605170438517</v>
      </c>
      <c r="H8" s="2"/>
      <c r="I8" s="8" t="s">
        <v>78</v>
      </c>
      <c r="J8" s="12">
        <f>Assumptions!I17-Assumptions!M9</f>
        <v>-603.6319973306363</v>
      </c>
      <c r="K8" s="12">
        <f>Assumptions!J17-Assumptions!I17</f>
        <v>-345.43599838766295</v>
      </c>
      <c r="L8" s="12">
        <f>Assumptions!K17-Assumptions!J17</f>
        <v>-362.45672191551694</v>
      </c>
      <c r="M8" s="12">
        <f>Assumptions!L17-Assumptions!K17</f>
        <v>-380.31611029232408</v>
      </c>
      <c r="N8" s="12">
        <f>Assumptions!M17-Assumptions!L17</f>
        <v>-399.05548718612772</v>
      </c>
      <c r="O8" s="12">
        <f>Assumptions!N17-Assumptions!M17</f>
        <v>-418.71821241271209</v>
      </c>
      <c r="Q8" s="32" t="s">
        <v>78</v>
      </c>
      <c r="R8" s="61">
        <f>Assumptions!I18-Assumptions!M10</f>
        <v>585.83556527601741</v>
      </c>
      <c r="S8" s="61">
        <f>Assumptions!J18-Assumptions!I18</f>
        <v>-8.3606577388959522</v>
      </c>
      <c r="T8" s="61">
        <f>Assumptions!K18-Assumptions!J18</f>
        <v>-8.3941003698514578</v>
      </c>
      <c r="U8" s="61">
        <f>Assumptions!L18-Assumptions!K18</f>
        <v>-8.42767677133088</v>
      </c>
      <c r="V8" s="61">
        <f>Assumptions!M18-Assumptions!L18</f>
        <v>-8.4613874784163272</v>
      </c>
      <c r="W8" s="61">
        <f>Assumptions!N18-Assumptions!M18</f>
        <v>-8.4952330283299489</v>
      </c>
      <c r="X8" s="2"/>
      <c r="Y8" s="8" t="s">
        <v>78</v>
      </c>
      <c r="Z8" s="12">
        <f>Assumptions!I19-Assumptions!M11</f>
        <v>988.12467650323651</v>
      </c>
      <c r="AA8" s="12">
        <f>Assumptions!J19-Assumptions!I19</f>
        <v>-240.32793574125935</v>
      </c>
      <c r="AB8" s="12">
        <f>Assumptions!K19-Assumptions!J19</f>
        <v>-253.7260306438975</v>
      </c>
      <c r="AC8" s="12">
        <f>Assumptions!L19-Assumptions!K19</f>
        <v>-267.87105888354836</v>
      </c>
      <c r="AD8" s="12">
        <f>Assumptions!M19-Assumptions!L19</f>
        <v>-282.8046614109544</v>
      </c>
      <c r="AE8" s="12">
        <f>Assumptions!N19-Assumptions!M19</f>
        <v>-298.57080062738078</v>
      </c>
      <c r="AG8" s="32" t="s">
        <v>78</v>
      </c>
      <c r="AH8" s="61">
        <f>Assumptions!I20-Assumptions!M12</f>
        <v>823.33058476271981</v>
      </c>
      <c r="AI8" s="61">
        <f>Assumptions!J20-Assumptions!I20</f>
        <v>-40.916814258755267</v>
      </c>
      <c r="AJ8" s="61">
        <f>Assumptions!K20-Assumptions!J20</f>
        <v>-42.194165869788776</v>
      </c>
      <c r="AK8" s="61">
        <f>Assumptions!L20-Assumptions!K20</f>
        <v>-43.511394171316169</v>
      </c>
      <c r="AL8" s="61">
        <f>Assumptions!M20-Assumptions!L20</f>
        <v>-44.869744044098752</v>
      </c>
      <c r="AM8" s="61">
        <f>Assumptions!N20-Assumptions!M20</f>
        <v>-46.270499231902932</v>
      </c>
    </row>
    <row r="9" spans="1:39" x14ac:dyDescent="0.3">
      <c r="A9" s="19" t="s">
        <v>79</v>
      </c>
      <c r="B9" s="33">
        <f>B5+B6-B7-B8</f>
        <v>7405.8958703118569</v>
      </c>
      <c r="C9" s="33">
        <f t="shared" ref="C9:G9" si="0">C5+C6-C7-C8</f>
        <v>8724.0609351776002</v>
      </c>
      <c r="D9" s="33">
        <f t="shared" si="0"/>
        <v>9298.3145855961484</v>
      </c>
      <c r="E9" s="33">
        <f t="shared" si="0"/>
        <v>9910.3679782986401</v>
      </c>
      <c r="F9" s="33">
        <f t="shared" si="0"/>
        <v>10562.709248128764</v>
      </c>
      <c r="G9" s="33">
        <f t="shared" si="0"/>
        <v>11257.990309221474</v>
      </c>
      <c r="H9" s="2"/>
      <c r="I9" s="34" t="s">
        <v>79</v>
      </c>
      <c r="J9" s="35">
        <f>J5+J6-J7-J8</f>
        <v>3754.1337467545218</v>
      </c>
      <c r="K9" s="35">
        <f t="shared" ref="K9:O9" si="1">K5+K6-K7-K8</f>
        <v>3651.1729274142845</v>
      </c>
      <c r="L9" s="35">
        <f t="shared" si="1"/>
        <v>3831.0777585261776</v>
      </c>
      <c r="M9" s="35">
        <f t="shared" si="1"/>
        <v>4019.8470693274194</v>
      </c>
      <c r="N9" s="35">
        <f t="shared" si="1"/>
        <v>4217.9176407520154</v>
      </c>
      <c r="O9" s="35">
        <f t="shared" si="1"/>
        <v>4425.7477753111907</v>
      </c>
      <c r="Q9" s="19" t="s">
        <v>79</v>
      </c>
      <c r="R9" s="33">
        <f>R5+R6-R7-R8</f>
        <v>1159.323879135296</v>
      </c>
      <c r="S9" s="33">
        <f t="shared" ref="S9:W9" si="2">S5+S6-S7-S8</f>
        <v>1760.5007399278552</v>
      </c>
      <c r="T9" s="33">
        <f t="shared" si="2"/>
        <v>1767.5427428875669</v>
      </c>
      <c r="U9" s="33">
        <f t="shared" si="2"/>
        <v>1774.6129138591168</v>
      </c>
      <c r="V9" s="33">
        <f t="shared" si="2"/>
        <v>1781.711365514554</v>
      </c>
      <c r="W9" s="33">
        <f t="shared" si="2"/>
        <v>1788.8382109766112</v>
      </c>
      <c r="X9" s="2"/>
      <c r="Y9" s="34" t="s">
        <v>79</v>
      </c>
      <c r="Z9" s="35">
        <f>Z5+Z6-Z7-Z8</f>
        <v>3108.853427112238</v>
      </c>
      <c r="AA9" s="35">
        <f t="shared" ref="AA9:AE9" si="3">AA5+AA6-AA7-AA8</f>
        <v>4565.7093719820841</v>
      </c>
      <c r="AB9" s="35">
        <f t="shared" si="3"/>
        <v>4820.2441070931245</v>
      </c>
      <c r="AC9" s="35">
        <f t="shared" si="3"/>
        <v>5088.9689550868725</v>
      </c>
      <c r="AD9" s="35">
        <f t="shared" si="3"/>
        <v>5372.6750036847507</v>
      </c>
      <c r="AE9" s="35">
        <f t="shared" si="3"/>
        <v>5672.1974431314275</v>
      </c>
      <c r="AG9" s="19" t="s">
        <v>79</v>
      </c>
      <c r="AH9" s="110">
        <f>AH5+AH6-AH7-AH8</f>
        <v>2313.5585816271378</v>
      </c>
      <c r="AI9" s="110">
        <f t="shared" ref="AI9:AM9" si="4">AI5+AI6-AI7-AI8</f>
        <v>3275.7341918964812</v>
      </c>
      <c r="AJ9" s="110">
        <f t="shared" si="4"/>
        <v>3377.9969027926663</v>
      </c>
      <c r="AK9" s="110">
        <f t="shared" si="4"/>
        <v>3483.4520772488386</v>
      </c>
      <c r="AL9" s="110">
        <f t="shared" si="4"/>
        <v>3592.1993784119336</v>
      </c>
      <c r="AM9" s="110">
        <f t="shared" si="4"/>
        <v>3704.3415807385882</v>
      </c>
    </row>
    <row r="10" spans="1:39" x14ac:dyDescent="0.3">
      <c r="A10" s="24"/>
      <c r="B10" s="36"/>
      <c r="C10" s="36"/>
      <c r="D10" s="36"/>
      <c r="E10" s="36"/>
      <c r="F10" s="36"/>
      <c r="G10" s="36"/>
      <c r="H10" s="19"/>
      <c r="I10" s="19"/>
      <c r="J10" s="37"/>
      <c r="K10" s="37"/>
      <c r="L10" s="37"/>
      <c r="M10" s="37"/>
      <c r="N10" s="37"/>
      <c r="O10" s="37"/>
      <c r="Q10" s="24"/>
      <c r="R10" s="36"/>
      <c r="S10" s="36"/>
      <c r="T10" s="36"/>
      <c r="U10" s="36"/>
      <c r="V10" s="36"/>
      <c r="W10" s="36"/>
      <c r="X10" s="19"/>
      <c r="Y10" s="19"/>
      <c r="Z10" s="37"/>
      <c r="AA10" s="37"/>
      <c r="AB10" s="37"/>
      <c r="AC10" s="37"/>
      <c r="AD10" s="37"/>
      <c r="AE10" s="37"/>
      <c r="AG10" s="24"/>
      <c r="AH10" s="36"/>
      <c r="AI10" s="36"/>
      <c r="AJ10" s="36"/>
      <c r="AK10" s="36"/>
      <c r="AL10" s="36"/>
      <c r="AM10" s="36"/>
    </row>
    <row r="11" spans="1:39" x14ac:dyDescent="0.3">
      <c r="A11" s="2"/>
      <c r="B11" s="2"/>
      <c r="C11" s="2"/>
      <c r="D11" s="2"/>
      <c r="E11" s="2"/>
      <c r="F11" s="2"/>
      <c r="G11" s="2"/>
      <c r="H11" s="2"/>
      <c r="I11" s="2"/>
      <c r="J11" s="18"/>
      <c r="K11" s="18"/>
      <c r="L11" s="18"/>
      <c r="M11" s="18"/>
      <c r="N11" s="18"/>
      <c r="O11" s="18"/>
      <c r="Q11" s="2"/>
      <c r="R11" s="2"/>
      <c r="S11" s="2"/>
      <c r="T11" s="2"/>
      <c r="U11" s="2"/>
      <c r="V11" s="2"/>
      <c r="W11" s="2"/>
      <c r="X11" s="2"/>
      <c r="Y11" s="2"/>
      <c r="Z11" s="18"/>
      <c r="AA11" s="18"/>
      <c r="AB11" s="18"/>
      <c r="AC11" s="18"/>
      <c r="AD11" s="18"/>
      <c r="AE11" s="18"/>
      <c r="AG11" s="2"/>
      <c r="AH11" s="2"/>
      <c r="AI11" s="2"/>
      <c r="AJ11" s="2"/>
      <c r="AK11" s="2"/>
      <c r="AL11" s="2"/>
      <c r="AM11" s="2"/>
    </row>
    <row r="12" spans="1:39" x14ac:dyDescent="0.3">
      <c r="A12" s="2" t="s">
        <v>80</v>
      </c>
      <c r="B12" s="18" t="s">
        <v>41</v>
      </c>
      <c r="C12" s="2"/>
      <c r="D12" s="2"/>
      <c r="E12" s="2"/>
      <c r="F12" s="2"/>
      <c r="G12" s="2"/>
      <c r="H12" s="2"/>
      <c r="I12" s="2" t="s">
        <v>80</v>
      </c>
      <c r="J12" s="18" t="s">
        <v>41</v>
      </c>
      <c r="K12" s="18"/>
      <c r="L12" s="18"/>
      <c r="M12" s="18"/>
      <c r="N12" s="18"/>
      <c r="O12" s="18"/>
      <c r="Q12" s="2" t="s">
        <v>80</v>
      </c>
      <c r="R12" s="18" t="s">
        <v>41</v>
      </c>
      <c r="S12" s="2"/>
      <c r="T12" s="2"/>
      <c r="U12" s="2"/>
      <c r="V12" s="2"/>
      <c r="W12" s="2"/>
      <c r="X12" s="2"/>
      <c r="Y12" s="2" t="s">
        <v>80</v>
      </c>
      <c r="Z12" s="18" t="s">
        <v>41</v>
      </c>
      <c r="AA12" s="18"/>
      <c r="AB12" s="18"/>
      <c r="AC12" s="18"/>
      <c r="AD12" s="18"/>
      <c r="AE12" s="18"/>
      <c r="AG12" s="2" t="s">
        <v>80</v>
      </c>
      <c r="AH12" s="18" t="s">
        <v>41</v>
      </c>
      <c r="AI12" s="2"/>
      <c r="AJ12" s="2"/>
      <c r="AK12" s="2"/>
      <c r="AL12" s="2"/>
      <c r="AM12" s="2"/>
    </row>
    <row r="13" spans="1:39" x14ac:dyDescent="0.3">
      <c r="A13" s="2" t="s">
        <v>81</v>
      </c>
      <c r="B13" s="38">
        <f ca="1">G9*(1+Assumptions!B23)/(Assumptions!B22-Assumptions!B23)</f>
        <v>282281.96336184186</v>
      </c>
      <c r="C13" s="2"/>
      <c r="D13" s="2"/>
      <c r="E13" s="2"/>
      <c r="F13" s="2"/>
      <c r="G13" s="2"/>
      <c r="H13" s="2"/>
      <c r="I13" s="8" t="s">
        <v>81</v>
      </c>
      <c r="J13" s="39">
        <f ca="1">O9*(1+Assumptions!C23)/(Assumptions!C22-Assumptions!C23)</f>
        <v>159699.70637867035</v>
      </c>
      <c r="K13" s="18"/>
      <c r="L13" s="18"/>
      <c r="M13" s="18"/>
      <c r="N13" s="18"/>
      <c r="O13" s="18"/>
      <c r="Q13" s="2" t="s">
        <v>81</v>
      </c>
      <c r="R13" s="40">
        <f ca="1">W9*(1+Assumptions!D23)/(Assumptions!D22-Assumptions!D23)</f>
        <v>62280.075412961764</v>
      </c>
      <c r="S13" s="2"/>
      <c r="T13" s="2"/>
      <c r="U13" s="2"/>
      <c r="V13" s="2"/>
      <c r="W13" s="2"/>
      <c r="X13" s="2"/>
      <c r="Y13" s="8" t="s">
        <v>81</v>
      </c>
      <c r="Z13" s="41">
        <f ca="1">AE9*(1+Assumptions!E23)/(Assumptions!E22-Assumptions!E23)</f>
        <v>167058.33790140453</v>
      </c>
      <c r="AA13" s="18"/>
      <c r="AB13" s="18"/>
      <c r="AC13" s="18"/>
      <c r="AD13" s="18"/>
      <c r="AE13" s="18"/>
      <c r="AG13" s="2" t="s">
        <v>81</v>
      </c>
      <c r="AH13" s="5">
        <f ca="1">AM9*(1+Assumptions!F23)/(Assumptions!F22-Assumptions!F23)</f>
        <v>88497.791890272289</v>
      </c>
      <c r="AI13" s="2"/>
      <c r="AJ13" s="2"/>
      <c r="AK13" s="2"/>
      <c r="AL13" s="2"/>
      <c r="AM13" s="2"/>
    </row>
    <row r="14" spans="1:39" x14ac:dyDescent="0.3">
      <c r="A14" s="2" t="s">
        <v>82</v>
      </c>
      <c r="B14" s="38">
        <f ca="1">B13/(1+Assumptions!B22)^6</f>
        <v>198233.72750077481</v>
      </c>
      <c r="C14" s="2"/>
      <c r="D14" s="2"/>
      <c r="E14" s="2"/>
      <c r="F14" s="2"/>
      <c r="G14" s="2"/>
      <c r="H14" s="2"/>
      <c r="I14" s="8" t="s">
        <v>82</v>
      </c>
      <c r="J14" s="39">
        <f ca="1">J13/(1+Assumptions!C22)^6</f>
        <v>120357.22001479511</v>
      </c>
      <c r="K14" s="18"/>
      <c r="L14" s="18"/>
      <c r="M14" s="18"/>
      <c r="N14" s="18"/>
      <c r="O14" s="18"/>
      <c r="Q14" s="2" t="s">
        <v>82</v>
      </c>
      <c r="R14" s="40">
        <f ca="1">R13*Assumptions!D26</f>
        <v>44654.863392351319</v>
      </c>
      <c r="S14" s="2"/>
      <c r="T14" s="2"/>
      <c r="U14" s="2"/>
      <c r="V14" s="2"/>
      <c r="W14" s="2"/>
      <c r="X14" s="2"/>
      <c r="Y14" s="8" t="s">
        <v>82</v>
      </c>
      <c r="Z14" s="41">
        <f ca="1">Z13*Assumptions!E26</f>
        <v>122850.15569302333</v>
      </c>
      <c r="AA14" s="18"/>
      <c r="AB14" s="18"/>
      <c r="AC14" s="18"/>
      <c r="AD14" s="18"/>
      <c r="AE14" s="18"/>
      <c r="AG14" s="2" t="s">
        <v>82</v>
      </c>
      <c r="AH14" s="5">
        <f ca="1">AH13*Assumptions!F26</f>
        <v>62171.959179057711</v>
      </c>
      <c r="AI14" s="2"/>
      <c r="AJ14" s="2"/>
      <c r="AK14" s="2"/>
      <c r="AL14" s="2"/>
      <c r="AM14" s="2"/>
    </row>
    <row r="15" spans="1:39" x14ac:dyDescent="0.3">
      <c r="A15" s="2" t="s">
        <v>83</v>
      </c>
      <c r="B15" s="40">
        <f ca="1">NPV(Assumptions!B22,DCF!B9:G9)</f>
        <v>46132.318828279102</v>
      </c>
      <c r="C15" s="2"/>
      <c r="D15" s="2"/>
      <c r="E15" s="2"/>
      <c r="F15" s="2"/>
      <c r="G15" s="2"/>
      <c r="H15" s="2"/>
      <c r="I15" s="8" t="s">
        <v>83</v>
      </c>
      <c r="J15" s="41">
        <f ca="1">NPV(Assumptions!C22,DCF!J9:O9)</f>
        <v>20226.588202760911</v>
      </c>
      <c r="K15" s="18"/>
      <c r="L15" s="18"/>
      <c r="M15" s="18"/>
      <c r="N15" s="18"/>
      <c r="O15" s="18"/>
      <c r="Q15" s="2" t="s">
        <v>83</v>
      </c>
      <c r="R15" s="40">
        <f ca="1">NPV(Assumptions!D22,DCF!R9:W9)</f>
        <v>8223.7241760694487</v>
      </c>
      <c r="S15" s="2"/>
      <c r="T15" s="2"/>
      <c r="U15" s="2"/>
      <c r="V15" s="2"/>
      <c r="W15" s="2"/>
      <c r="X15" s="2"/>
      <c r="Y15" s="8" t="s">
        <v>83</v>
      </c>
      <c r="Z15" s="41">
        <f ca="1">NPV(Assumptions!E22,DCF!Z9:AE9)</f>
        <v>23684.05248250108</v>
      </c>
      <c r="AA15" s="18"/>
      <c r="AB15" s="18"/>
      <c r="AC15" s="18"/>
      <c r="AD15" s="18"/>
      <c r="AE15" s="18"/>
      <c r="AG15" s="2" t="s">
        <v>83</v>
      </c>
      <c r="AH15" s="5">
        <f ca="1">NPV(Assumptions!F22,DCF!AH9:AM9)</f>
        <v>15956.533249012107</v>
      </c>
      <c r="AI15" s="2"/>
      <c r="AJ15" s="2"/>
      <c r="AK15" s="2"/>
      <c r="AL15" s="2"/>
      <c r="AM15" s="2"/>
    </row>
    <row r="16" spans="1:39" x14ac:dyDescent="0.3">
      <c r="A16" s="2" t="s">
        <v>84</v>
      </c>
      <c r="B16" s="38">
        <f ca="1">B14+B15</f>
        <v>244366.0463290539</v>
      </c>
      <c r="C16" s="2"/>
      <c r="D16" s="2"/>
      <c r="E16" s="2"/>
      <c r="F16" s="2"/>
      <c r="G16" s="2"/>
      <c r="H16" s="2"/>
      <c r="I16" s="8" t="s">
        <v>84</v>
      </c>
      <c r="J16" s="39">
        <f ca="1">J14+J15</f>
        <v>140583.80821755601</v>
      </c>
      <c r="K16" s="18"/>
      <c r="L16" s="18"/>
      <c r="M16" s="18"/>
      <c r="N16" s="18"/>
      <c r="O16" s="18"/>
      <c r="Q16" s="2" t="s">
        <v>84</v>
      </c>
      <c r="R16" s="40">
        <f ca="1">R14+R15</f>
        <v>52878.587568420771</v>
      </c>
      <c r="S16" s="2"/>
      <c r="T16" s="2"/>
      <c r="U16" s="2"/>
      <c r="V16" s="2"/>
      <c r="W16" s="2"/>
      <c r="X16" s="2"/>
      <c r="Y16" s="8" t="s">
        <v>84</v>
      </c>
      <c r="Z16" s="41">
        <f ca="1">Z14+Z15</f>
        <v>146534.20817552443</v>
      </c>
      <c r="AA16" s="18"/>
      <c r="AB16" s="18"/>
      <c r="AC16" s="18"/>
      <c r="AD16" s="18"/>
      <c r="AE16" s="18"/>
      <c r="AG16" s="2" t="s">
        <v>84</v>
      </c>
      <c r="AH16" s="5">
        <f ca="1">AH14+AH15</f>
        <v>78128.492428069818</v>
      </c>
      <c r="AI16" s="2"/>
      <c r="AJ16" s="2"/>
      <c r="AK16" s="2"/>
      <c r="AL16" s="2"/>
      <c r="AM16" s="2"/>
    </row>
    <row r="17" spans="1:39" x14ac:dyDescent="0.3">
      <c r="A17" s="2" t="s">
        <v>85</v>
      </c>
      <c r="B17" s="38">
        <f>Financials!F20-Financials!F13</f>
        <v>80846</v>
      </c>
      <c r="C17" s="2"/>
      <c r="D17" s="2"/>
      <c r="E17" s="2"/>
      <c r="F17" s="2"/>
      <c r="G17" s="2"/>
      <c r="H17" s="2"/>
      <c r="I17" s="8" t="s">
        <v>85</v>
      </c>
      <c r="J17" s="39">
        <f>Financials!M20-Financials!M13</f>
        <v>83959</v>
      </c>
      <c r="K17" s="18"/>
      <c r="L17" s="18"/>
      <c r="M17" s="18"/>
      <c r="N17" s="18"/>
      <c r="O17" s="18"/>
      <c r="Q17" s="2" t="s">
        <v>85</v>
      </c>
      <c r="R17" s="40">
        <f>Assumptions!D18-Assumptions!D25</f>
        <v>39715</v>
      </c>
      <c r="S17" s="2"/>
      <c r="T17" s="2"/>
      <c r="U17" s="2"/>
      <c r="V17" s="2"/>
      <c r="W17" s="2"/>
      <c r="X17" s="2"/>
      <c r="Y17" s="8" t="s">
        <v>85</v>
      </c>
      <c r="Z17" s="41">
        <f>Assumptions!E18-Assumptions!E25</f>
        <v>57698</v>
      </c>
      <c r="AA17" s="18"/>
      <c r="AB17" s="18"/>
      <c r="AC17" s="18"/>
      <c r="AD17" s="18"/>
      <c r="AE17" s="18"/>
      <c r="AG17" s="2" t="s">
        <v>85</v>
      </c>
      <c r="AH17" s="5">
        <f>Assumptions!F18-Assumptions!F25</f>
        <v>28935</v>
      </c>
      <c r="AI17" s="2"/>
      <c r="AJ17" s="2"/>
      <c r="AK17" s="2"/>
      <c r="AL17" s="2"/>
      <c r="AM17" s="2"/>
    </row>
    <row r="18" spans="1:39" x14ac:dyDescent="0.3">
      <c r="A18" s="2" t="s">
        <v>86</v>
      </c>
      <c r="B18" s="38">
        <f ca="1">B16-B17</f>
        <v>163520.0463290539</v>
      </c>
      <c r="C18" s="2"/>
      <c r="D18" s="2"/>
      <c r="E18" s="2"/>
      <c r="F18" s="2"/>
      <c r="G18" s="2"/>
      <c r="H18" s="2"/>
      <c r="I18" s="8" t="s">
        <v>86</v>
      </c>
      <c r="J18" s="39">
        <f ca="1">J16-J17</f>
        <v>56624.808217556012</v>
      </c>
      <c r="K18" s="18"/>
      <c r="L18" s="18"/>
      <c r="M18" s="18"/>
      <c r="N18" s="18"/>
      <c r="O18" s="18"/>
      <c r="Q18" s="2" t="s">
        <v>86</v>
      </c>
      <c r="R18" s="40">
        <f ca="1">R16-R17</f>
        <v>13163.587568420771</v>
      </c>
      <c r="S18" s="2"/>
      <c r="T18" s="2"/>
      <c r="U18" s="2"/>
      <c r="V18" s="2"/>
      <c r="W18" s="2"/>
      <c r="X18" s="2"/>
      <c r="Y18" s="8" t="s">
        <v>86</v>
      </c>
      <c r="Z18" s="41">
        <f ca="1">Z16-Z17</f>
        <v>88836.208175524429</v>
      </c>
      <c r="AA18" s="18"/>
      <c r="AB18" s="18"/>
      <c r="AC18" s="18"/>
      <c r="AD18" s="18"/>
      <c r="AE18" s="18"/>
      <c r="AG18" s="2" t="s">
        <v>86</v>
      </c>
      <c r="AH18" s="5">
        <f ca="1">AH16-AH17</f>
        <v>49193.492428069818</v>
      </c>
      <c r="AI18" s="2"/>
      <c r="AJ18" s="2"/>
      <c r="AK18" s="2"/>
      <c r="AL18" s="2"/>
      <c r="AM18" s="2"/>
    </row>
    <row r="19" spans="1:39" x14ac:dyDescent="0.3">
      <c r="A19" s="2" t="s">
        <v>87</v>
      </c>
      <c r="B19" s="38">
        <f ca="1">Assumptions!B24</f>
        <v>2082.61</v>
      </c>
      <c r="C19" s="2"/>
      <c r="D19" s="2"/>
      <c r="E19" s="2"/>
      <c r="F19" s="2"/>
      <c r="G19" s="2"/>
      <c r="H19" s="2"/>
      <c r="I19" s="8" t="s">
        <v>87</v>
      </c>
      <c r="J19" s="39">
        <f ca="1">Assumptions!C24</f>
        <v>777.66120000000001</v>
      </c>
      <c r="K19" s="18"/>
      <c r="L19" s="18"/>
      <c r="M19" s="18"/>
      <c r="N19" s="18"/>
      <c r="O19" s="18"/>
      <c r="Q19" s="2" t="s">
        <v>87</v>
      </c>
      <c r="R19" s="40">
        <f ca="1">Assumptions!D24</f>
        <v>853.91330000000005</v>
      </c>
      <c r="S19" s="2"/>
      <c r="T19" s="2"/>
      <c r="U19" s="2"/>
      <c r="V19" s="2"/>
      <c r="W19" s="2"/>
      <c r="X19" s="2"/>
      <c r="Y19" s="8" t="s">
        <v>87</v>
      </c>
      <c r="Z19" s="41">
        <f ca="1">Assumptions!E24</f>
        <v>1101.105</v>
      </c>
      <c r="AA19" s="18"/>
      <c r="AB19" s="18"/>
      <c r="AC19" s="18"/>
      <c r="AD19" s="18"/>
      <c r="AE19" s="18"/>
      <c r="AG19" s="2" t="s">
        <v>87</v>
      </c>
      <c r="AH19" s="5">
        <f ca="1">Assumptions!F24</f>
        <v>591.53980000000001</v>
      </c>
      <c r="AI19" s="2"/>
      <c r="AJ19" s="2"/>
      <c r="AK19" s="2"/>
      <c r="AL19" s="2"/>
      <c r="AM19" s="2"/>
    </row>
    <row r="20" spans="1:39" x14ac:dyDescent="0.3">
      <c r="A20" s="2" t="s">
        <v>88</v>
      </c>
      <c r="B20" s="5">
        <f ca="1">B18/B19</f>
        <v>78.516883299827569</v>
      </c>
      <c r="C20" s="2"/>
      <c r="D20" s="2"/>
      <c r="E20" s="2"/>
      <c r="F20" s="2"/>
      <c r="G20" s="2"/>
      <c r="H20" s="2"/>
      <c r="I20" s="8" t="s">
        <v>88</v>
      </c>
      <c r="J20" s="12">
        <f ca="1">J18/J19</f>
        <v>72.814238665315969</v>
      </c>
      <c r="K20" s="18"/>
      <c r="L20" s="18"/>
      <c r="M20" s="18"/>
      <c r="N20" s="18"/>
      <c r="O20" s="18"/>
      <c r="Q20" s="2" t="s">
        <v>88</v>
      </c>
      <c r="R20" s="5">
        <f ca="1">R18/R19</f>
        <v>15.41560199193615</v>
      </c>
      <c r="S20" s="2"/>
      <c r="T20" s="2"/>
      <c r="U20" s="2"/>
      <c r="V20" s="2"/>
      <c r="W20" s="2"/>
      <c r="X20" s="2"/>
      <c r="Y20" s="8" t="s">
        <v>88</v>
      </c>
      <c r="Z20" s="12">
        <f ca="1">Z18/Z19</f>
        <v>80.67914338371402</v>
      </c>
      <c r="AA20" s="18"/>
      <c r="AB20" s="18"/>
      <c r="AC20" s="18"/>
      <c r="AD20" s="18"/>
      <c r="AE20" s="18"/>
      <c r="AG20" s="2" t="s">
        <v>88</v>
      </c>
      <c r="AH20" s="5">
        <f ca="1">AH18/AH19</f>
        <v>83.161762620317035</v>
      </c>
      <c r="AI20" s="2"/>
      <c r="AJ20" s="2"/>
      <c r="AK20" s="2"/>
      <c r="AL20" s="2"/>
      <c r="AM20" s="2"/>
    </row>
    <row r="21" spans="1:39" x14ac:dyDescent="0.3">
      <c r="A21" s="2" t="s">
        <v>89</v>
      </c>
      <c r="B21" s="40">
        <f ca="1">'Company Profile'!B3</f>
        <v>84.7</v>
      </c>
      <c r="C21" s="2"/>
      <c r="D21" s="2"/>
      <c r="E21" s="2"/>
      <c r="F21" s="2"/>
      <c r="G21" s="2"/>
      <c r="H21" s="2"/>
      <c r="I21" s="8" t="s">
        <v>89</v>
      </c>
      <c r="J21" s="41">
        <f ca="1">'Company Profile'!C3</f>
        <v>24.89</v>
      </c>
      <c r="K21" s="18"/>
      <c r="L21" s="18"/>
      <c r="M21" s="18"/>
      <c r="N21" s="18"/>
      <c r="O21" s="18"/>
      <c r="Q21" s="2" t="s">
        <v>89</v>
      </c>
      <c r="R21" s="40">
        <f ca="1">'Company Profile'!D3</f>
        <v>61.45</v>
      </c>
      <c r="S21" s="2"/>
      <c r="T21" s="2"/>
      <c r="U21" s="2"/>
      <c r="V21" s="2"/>
      <c r="W21" s="2"/>
      <c r="X21" s="2"/>
      <c r="Y21" s="8" t="s">
        <v>89</v>
      </c>
      <c r="Z21" s="41">
        <f ca="1">'Company Profile'!E3</f>
        <v>90.76</v>
      </c>
      <c r="AA21" s="18"/>
      <c r="AB21" s="18"/>
      <c r="AC21" s="18"/>
      <c r="AD21" s="18"/>
      <c r="AE21" s="18"/>
      <c r="AG21" s="2" t="s">
        <v>89</v>
      </c>
      <c r="AH21" s="5">
        <f ca="1">'Company Profile'!F3</f>
        <v>81</v>
      </c>
      <c r="AI21" s="2"/>
      <c r="AJ21" s="2"/>
      <c r="AK21" s="2"/>
      <c r="AL21" s="2"/>
      <c r="AM21" s="2"/>
    </row>
    <row r="22" spans="1:39" x14ac:dyDescent="0.3">
      <c r="A22" s="2" t="s">
        <v>90</v>
      </c>
      <c r="B22" s="42">
        <f ca="1">(B20-B21)/B21</f>
        <v>-7.3000197168505712E-2</v>
      </c>
      <c r="C22" s="2"/>
      <c r="D22" s="2"/>
      <c r="E22" s="2"/>
      <c r="F22" s="2"/>
      <c r="G22" s="2"/>
      <c r="H22" s="2"/>
      <c r="I22" s="8" t="s">
        <v>90</v>
      </c>
      <c r="J22" s="26">
        <f ca="1">(J20-J21)/J21</f>
        <v>1.9254414891649645</v>
      </c>
      <c r="K22" s="18"/>
      <c r="L22" s="18"/>
      <c r="M22" s="18"/>
      <c r="N22" s="18"/>
      <c r="O22" s="18"/>
      <c r="Q22" s="2" t="s">
        <v>90</v>
      </c>
      <c r="R22" s="42">
        <f ca="1">(R20-R21)/R21</f>
        <v>-0.74913585041601061</v>
      </c>
      <c r="S22" s="2"/>
      <c r="T22" s="2"/>
      <c r="U22" s="2"/>
      <c r="V22" s="2"/>
      <c r="W22" s="2"/>
      <c r="X22" s="2"/>
      <c r="Y22" s="8" t="s">
        <v>90</v>
      </c>
      <c r="Z22" s="26">
        <f ca="1">(Z20-Z21)/Z21</f>
        <v>-0.11107158017062566</v>
      </c>
      <c r="AA22" s="18"/>
      <c r="AB22" s="18"/>
      <c r="AC22" s="18"/>
      <c r="AD22" s="18"/>
      <c r="AE22" s="18"/>
      <c r="AG22" s="2" t="s">
        <v>90</v>
      </c>
      <c r="AH22" s="42">
        <f ca="1">(AH20-AH21)/AH21</f>
        <v>2.6688427411321415E-2</v>
      </c>
      <c r="AI22" s="2"/>
      <c r="AJ22" s="2"/>
      <c r="AK22" s="2"/>
      <c r="AL22" s="2"/>
      <c r="AM22" s="2"/>
    </row>
  </sheetData>
  <conditionalFormatting sqref="B22">
    <cfRule type="cellIs" dxfId="25" priority="11" operator="lessThan">
      <formula>0</formula>
    </cfRule>
    <cfRule type="cellIs" dxfId="24" priority="12" operator="greaterThan">
      <formula>0</formula>
    </cfRule>
  </conditionalFormatting>
  <conditionalFormatting sqref="J22">
    <cfRule type="cellIs" dxfId="23" priority="9" operator="lessThan">
      <formula>0</formula>
    </cfRule>
    <cfRule type="cellIs" dxfId="22" priority="10" operator="greaterThan">
      <formula>0</formula>
    </cfRule>
  </conditionalFormatting>
  <conditionalFormatting sqref="R22">
    <cfRule type="cellIs" dxfId="21" priority="7" operator="lessThan">
      <formula>0</formula>
    </cfRule>
    <cfRule type="cellIs" dxfId="20" priority="8" operator="greaterThan">
      <formula>0</formula>
    </cfRule>
  </conditionalFormatting>
  <conditionalFormatting sqref="Z22">
    <cfRule type="cellIs" dxfId="19" priority="5" operator="lessThan">
      <formula>0</formula>
    </cfRule>
    <cfRule type="cellIs" dxfId="18" priority="6" operator="greaterThan">
      <formula>0</formula>
    </cfRule>
  </conditionalFormatting>
  <conditionalFormatting sqref="AH22">
    <cfRule type="cellIs" dxfId="17" priority="1" operator="lessThan">
      <formula>0</formula>
    </cfRule>
    <cfRule type="cellIs" dxfId="16" priority="2" operator="greaterThan">
      <formula>0</formula>
    </cfRule>
  </conditionalFormatting>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BDED3-14DA-4D5B-B869-FDC1FC2CAE83}">
  <dimension ref="A2:L24"/>
  <sheetViews>
    <sheetView workbookViewId="0">
      <selection activeCell="L15" sqref="L15"/>
    </sheetView>
  </sheetViews>
  <sheetFormatPr defaultRowHeight="14.4" x14ac:dyDescent="0.3"/>
  <cols>
    <col min="1" max="1" width="48.21875" bestFit="1" customWidth="1"/>
    <col min="2" max="2" width="9.88671875" bestFit="1" customWidth="1"/>
    <col min="3" max="3" width="12.6640625" customWidth="1"/>
    <col min="4" max="4" width="10.88671875" bestFit="1" customWidth="1"/>
    <col min="5" max="5" width="12.44140625" customWidth="1"/>
    <col min="7" max="7" width="16.5546875" bestFit="1" customWidth="1"/>
    <col min="8" max="8" width="13.6640625" customWidth="1"/>
    <col min="9" max="9" width="11" bestFit="1" customWidth="1"/>
    <col min="10" max="11" width="10.88671875" bestFit="1" customWidth="1"/>
  </cols>
  <sheetData>
    <row r="2" spans="1:12" ht="15" thickBot="1" x14ac:dyDescent="0.35">
      <c r="A2" s="20" t="s">
        <v>0</v>
      </c>
      <c r="B2" s="55" t="s">
        <v>92</v>
      </c>
      <c r="C2" s="55" t="s">
        <v>8</v>
      </c>
      <c r="D2" s="55" t="s">
        <v>93</v>
      </c>
      <c r="E2" s="21" t="s">
        <v>94</v>
      </c>
      <c r="F2" s="2"/>
      <c r="G2" s="20" t="s">
        <v>0</v>
      </c>
      <c r="H2" s="92" t="s">
        <v>92</v>
      </c>
      <c r="I2" s="92" t="s">
        <v>8</v>
      </c>
      <c r="J2" s="92" t="s">
        <v>93</v>
      </c>
      <c r="K2" s="92" t="s">
        <v>94</v>
      </c>
      <c r="L2" s="93" t="s">
        <v>142</v>
      </c>
    </row>
    <row r="3" spans="1:12" ht="15" thickTop="1" x14ac:dyDescent="0.3">
      <c r="A3" s="8" t="e" vm="6">
        <v>#VALUE!</v>
      </c>
      <c r="B3" s="12">
        <v>9.6999999999999993</v>
      </c>
      <c r="C3" s="12" cm="1">
        <f t="array" aca="1" ref="C3" ca="1">_FV(A3,"P/E",TRUE)</f>
        <v>13.328099999999999</v>
      </c>
      <c r="D3" s="12">
        <v>1.78</v>
      </c>
      <c r="E3" s="12">
        <v>1.92</v>
      </c>
      <c r="F3" s="2"/>
      <c r="G3" s="94" t="str">
        <f>A20</f>
        <v>NextEra Energy</v>
      </c>
      <c r="H3" s="95">
        <f ca="1">(B20*B17)/Relative!$L$3</f>
        <v>101.08961905419714</v>
      </c>
      <c r="I3" s="95">
        <f ca="1">(C20*C17)/Relative!$L$3</f>
        <v>70.757550045375751</v>
      </c>
      <c r="J3" s="95">
        <f ca="1">(D20*D17)/Relative!$L$3</f>
        <v>28.699072133229272</v>
      </c>
      <c r="K3" s="95">
        <f ca="1">(E20*E17)/Relative!$L$3</f>
        <v>81.956406033405571</v>
      </c>
      <c r="L3" s="96">
        <f ca="1">Assumptions!B24</f>
        <v>2082.61</v>
      </c>
    </row>
    <row r="4" spans="1:12" x14ac:dyDescent="0.3">
      <c r="A4" s="8" t="e" vm="1">
        <v>#VALUE!</v>
      </c>
      <c r="B4" s="12">
        <v>13.51</v>
      </c>
      <c r="C4" s="12" cm="1">
        <f t="array" aca="1" ref="C4" ca="1">_FV(A4,"P/E",TRUE)</f>
        <v>26.881399999999999</v>
      </c>
      <c r="D4" s="12">
        <v>5.62</v>
      </c>
      <c r="E4" s="12">
        <v>2.95</v>
      </c>
      <c r="F4" s="2"/>
      <c r="G4" s="97" t="str">
        <f t="shared" ref="G4:G7" si="0">A21</f>
        <v>Duke Energy</v>
      </c>
      <c r="H4" s="98">
        <f ca="1">(B21*B17)/Relative!$L$4</f>
        <v>259.49605541096025</v>
      </c>
      <c r="I4" s="98">
        <f ca="1">(C21*C17)/Relative!$L$4</f>
        <v>108.90713050876141</v>
      </c>
      <c r="J4" s="98">
        <f ca="1">(D21*D17)/Relative!$L$4</f>
        <v>94.25760116458072</v>
      </c>
      <c r="K4" s="98">
        <f ca="1">(E21*E17)/Relative!$L$4</f>
        <v>186.07027169316248</v>
      </c>
      <c r="L4" s="99">
        <f ca="1">Assumptions!C24</f>
        <v>777.66120000000001</v>
      </c>
    </row>
    <row r="5" spans="1:12" x14ac:dyDescent="0.3">
      <c r="A5" s="8" t="e" vm="4">
        <v>#VALUE!</v>
      </c>
      <c r="B5" s="12">
        <v>11.56</v>
      </c>
      <c r="C5" s="12" cm="1">
        <f t="array" aca="1" ref="C5" ca="1">_FV(A5,"P/E",TRUE)</f>
        <v>22.517900000000001</v>
      </c>
      <c r="D5" s="12">
        <v>3.43</v>
      </c>
      <c r="E5" s="12">
        <v>2.72</v>
      </c>
      <c r="F5" s="2"/>
      <c r="G5" s="100" t="str">
        <f t="shared" si="0"/>
        <v>Dominion Energy</v>
      </c>
      <c r="H5" s="101">
        <f ca="1">(B22*B17)/Relative!$L$5</f>
        <v>106.2280579755129</v>
      </c>
      <c r="I5" s="101">
        <f ca="1">(C22*C17)/Relative!$L$5</f>
        <v>47.342616867543811</v>
      </c>
      <c r="J5" s="101">
        <f ca="1">(D22*D17)/Relative!$L$5</f>
        <v>40.885794665751014</v>
      </c>
      <c r="K5" s="101">
        <f ca="1">(E22*E17)/Relative!$L$5</f>
        <v>99.816150493894952</v>
      </c>
      <c r="L5" s="102">
        <f ca="1">Assumptions!D24</f>
        <v>853.91330000000005</v>
      </c>
    </row>
    <row r="6" spans="1:12" x14ac:dyDescent="0.3">
      <c r="A6" s="8" t="e" vm="7">
        <v>#VALUE!</v>
      </c>
      <c r="B6" s="12">
        <v>11.47</v>
      </c>
      <c r="C6" s="12" cm="1">
        <f t="array" aca="1" ref="C6" ca="1">_FV(A6,"P/E",TRUE)</f>
        <v>19.450800000000001</v>
      </c>
      <c r="D6" s="12">
        <v>2.75</v>
      </c>
      <c r="E6" s="12">
        <v>1.74</v>
      </c>
      <c r="F6" s="2"/>
      <c r="G6" s="97" t="str">
        <f t="shared" si="0"/>
        <v>Southern Company</v>
      </c>
      <c r="H6" s="98">
        <f ca="1">(B23*B17)/Relative!$L$6</f>
        <v>164.42235893803183</v>
      </c>
      <c r="I6" s="98">
        <f ca="1">(C23*C17)/Relative!$L$6</f>
        <v>83.459795387360884</v>
      </c>
      <c r="J6" s="98">
        <f ca="1">(D23*D17)/Relative!$L$6</f>
        <v>58.603113725268294</v>
      </c>
      <c r="K6" s="98">
        <f ca="1">(E23*E17)/Relative!$L$6</f>
        <v>94.026930289956979</v>
      </c>
      <c r="L6" s="99">
        <f ca="1">Assumptions!E24</f>
        <v>1101.105</v>
      </c>
    </row>
    <row r="7" spans="1:12" x14ac:dyDescent="0.3">
      <c r="A7" s="8" t="e" vm="8">
        <v>#VALUE!</v>
      </c>
      <c r="B7" s="12">
        <v>7.75</v>
      </c>
      <c r="C7" s="12" cm="1">
        <f t="array" aca="1" ref="C7" ca="1">_FV(A7,"P/E",TRUE)</f>
        <v>21.774000000000001</v>
      </c>
      <c r="D7" s="12">
        <v>1.87</v>
      </c>
      <c r="E7" s="12">
        <v>1.56</v>
      </c>
      <c r="F7" s="2"/>
      <c r="G7" s="105" t="str">
        <f t="shared" si="0"/>
        <v>Xcel Energy</v>
      </c>
      <c r="H7" s="106">
        <f ca="1">(B24*B17)/Relative!$L$7</f>
        <v>143.62835121803494</v>
      </c>
      <c r="I7" s="106">
        <f ca="1">(C24*C17)/Relative!$L$7</f>
        <v>65.277800411738994</v>
      </c>
      <c r="J7" s="106">
        <f ca="1">(D24*D17)/Relative!$L$7</f>
        <v>54.865024102546244</v>
      </c>
      <c r="K7" s="106">
        <f ca="1">(E24*E17)/Relative!$L$7</f>
        <v>93.167201416215264</v>
      </c>
      <c r="L7" s="107">
        <f ca="1">Assumptions!F24</f>
        <v>591.53980000000001</v>
      </c>
    </row>
    <row r="8" spans="1:12" x14ac:dyDescent="0.3">
      <c r="A8" s="8" t="e" vm="9">
        <v>#VALUE!</v>
      </c>
      <c r="B8" s="12">
        <v>6.14</v>
      </c>
      <c r="C8" s="12" cm="1">
        <f t="array" aca="1" ref="C8" ca="1">_FV(A8,"P/E",TRUE)</f>
        <v>14.620200000000001</v>
      </c>
      <c r="D8" s="12">
        <v>0.94</v>
      </c>
      <c r="E8" s="12">
        <v>2</v>
      </c>
      <c r="F8" s="2"/>
      <c r="G8" s="2"/>
      <c r="H8" s="103"/>
      <c r="I8" s="103"/>
      <c r="J8" s="103"/>
      <c r="K8" s="103"/>
      <c r="L8" s="104"/>
    </row>
    <row r="9" spans="1:12" x14ac:dyDescent="0.3">
      <c r="A9" s="8" t="e" vm="10">
        <v>#VALUE!</v>
      </c>
      <c r="B9" s="12">
        <v>10.54</v>
      </c>
      <c r="C9" s="12" cm="1">
        <f t="array" aca="1" ref="C9" ca="1">_FV(A9,"P/E",TRUE)</f>
        <v>63.252499999999998</v>
      </c>
      <c r="D9" s="12">
        <v>3.02</v>
      </c>
      <c r="E9" s="12">
        <v>15.8</v>
      </c>
      <c r="F9" s="2"/>
      <c r="G9" s="108" t="s">
        <v>0</v>
      </c>
      <c r="H9" s="109" t="s">
        <v>143</v>
      </c>
      <c r="I9" s="109" t="s">
        <v>144</v>
      </c>
      <c r="J9" s="109" t="s">
        <v>145</v>
      </c>
      <c r="K9" s="103"/>
      <c r="L9" s="104"/>
    </row>
    <row r="10" spans="1:12" x14ac:dyDescent="0.3">
      <c r="A10" s="8" t="e" vm="11">
        <v>#VALUE!</v>
      </c>
      <c r="B10" s="12">
        <v>12.27</v>
      </c>
      <c r="C10" s="12" cm="1">
        <f t="array" aca="1" ref="C10" ca="1">_FV(A10,"P/E",TRUE)</f>
        <v>19.8263</v>
      </c>
      <c r="D10" s="12">
        <v>2.78</v>
      </c>
      <c r="E10" s="12">
        <v>1.42</v>
      </c>
      <c r="F10" s="2"/>
      <c r="G10" s="2" t="str">
        <f>G3</f>
        <v>NextEra Energy</v>
      </c>
      <c r="H10" s="104">
        <f ca="1">AVERAGE(H3:K3)</f>
        <v>70.62566181655194</v>
      </c>
      <c r="I10" s="104">
        <f ca="1">'Company Profile'!B3</f>
        <v>84.7</v>
      </c>
      <c r="J10" s="103">
        <f ca="1">(Table39[[#This Row],[Target price]]-I10)/I10</f>
        <v>-0.16616692070186614</v>
      </c>
      <c r="K10" s="103"/>
      <c r="L10" s="104"/>
    </row>
    <row r="11" spans="1:12" x14ac:dyDescent="0.3">
      <c r="A11" s="8" t="e" vm="12">
        <v>#VALUE!</v>
      </c>
      <c r="B11" s="12">
        <v>6</v>
      </c>
      <c r="C11" s="12" cm="1">
        <f t="array" aca="1" ref="C11" ca="1">_FV(A11,"P/E",TRUE)</f>
        <v>3.74</v>
      </c>
      <c r="D11" s="12">
        <v>0.14000000000000001</v>
      </c>
      <c r="E11" s="12">
        <v>0.34</v>
      </c>
      <c r="F11" s="2"/>
      <c r="G11" s="2" t="str">
        <f t="shared" ref="G11:G14" si="1">G4</f>
        <v>Duke Energy</v>
      </c>
      <c r="H11" s="104">
        <f t="shared" ref="H11:H14" ca="1" si="2">AVERAGE(H4:K4)</f>
        <v>162.1827646943662</v>
      </c>
      <c r="I11" s="44">
        <f ca="1">'Company Profile'!C3</f>
        <v>24.89</v>
      </c>
      <c r="J11" s="103">
        <f ca="1">(Table39[[#This Row],[Target price]]-I11)/I11</f>
        <v>5.5159809037511538</v>
      </c>
      <c r="K11" s="4"/>
    </row>
    <row r="12" spans="1:12" x14ac:dyDescent="0.3">
      <c r="A12" s="8" t="e" vm="13">
        <v>#VALUE!</v>
      </c>
      <c r="B12" s="12">
        <v>10.82</v>
      </c>
      <c r="C12" s="12" cm="1">
        <f t="array" aca="1" ref="C12" ca="1">_FV(A12,"P/E",TRUE)</f>
        <v>13.7742</v>
      </c>
      <c r="D12" s="12">
        <v>1.74</v>
      </c>
      <c r="E12" s="12">
        <v>1.65</v>
      </c>
      <c r="F12" s="2"/>
      <c r="G12" s="2" t="str">
        <f t="shared" si="1"/>
        <v>Dominion Energy</v>
      </c>
      <c r="H12" s="104">
        <f t="shared" ca="1" si="2"/>
        <v>73.568155000675659</v>
      </c>
      <c r="I12" s="44">
        <f ca="1">'Company Profile'!D3</f>
        <v>61.45</v>
      </c>
      <c r="J12" s="103">
        <f ca="1">(Table39[[#This Row],[Target price]]-I12)/I12</f>
        <v>0.19720349879049073</v>
      </c>
      <c r="K12" s="4"/>
    </row>
    <row r="13" spans="1:12" x14ac:dyDescent="0.3">
      <c r="A13" s="8" t="e" vm="14">
        <v>#VALUE!</v>
      </c>
      <c r="B13" s="12">
        <v>10.210000000000001</v>
      </c>
      <c r="C13" s="12" cm="1">
        <f t="array" aca="1" ref="C13" ca="1">_FV(A13,"P/E",TRUE)</f>
        <v>16.604800000000001</v>
      </c>
      <c r="D13" s="12">
        <v>1.65</v>
      </c>
      <c r="E13" s="12">
        <v>1.42</v>
      </c>
      <c r="F13" s="2"/>
      <c r="G13" s="2" t="str">
        <f t="shared" si="1"/>
        <v>Southern Company</v>
      </c>
      <c r="H13" s="104">
        <f t="shared" ca="1" si="2"/>
        <v>100.1280495851545</v>
      </c>
      <c r="I13" s="44">
        <f ca="1">'Company Profile'!E3</f>
        <v>90.76</v>
      </c>
      <c r="J13" s="103">
        <f ca="1">(Table39[[#This Row],[Target price]]-I13)/I13</f>
        <v>0.10321782266587147</v>
      </c>
      <c r="K13" s="4"/>
    </row>
    <row r="14" spans="1:12" x14ac:dyDescent="0.3">
      <c r="A14" s="8" t="e" vm="3">
        <v>#VALUE!</v>
      </c>
      <c r="B14" s="12">
        <v>13.16</v>
      </c>
      <c r="C14" s="12" cm="1">
        <f t="array" aca="1" ref="C14" ca="1">_FV(A14,"P/E",TRUE)</f>
        <v>23.0669</v>
      </c>
      <c r="D14" s="12">
        <v>3.1</v>
      </c>
      <c r="E14" s="12">
        <v>1.75</v>
      </c>
      <c r="F14" s="2"/>
      <c r="G14" s="2" t="str">
        <f t="shared" si="1"/>
        <v>Xcel Energy</v>
      </c>
      <c r="H14" s="104">
        <f t="shared" ca="1" si="2"/>
        <v>89.234594287133874</v>
      </c>
      <c r="I14" s="44">
        <f ca="1">'Company Profile'!F3</f>
        <v>81</v>
      </c>
      <c r="J14" s="103">
        <f ca="1">(Table39[[#This Row],[Target price]]-I14)/I14</f>
        <v>0.1016616578658503</v>
      </c>
      <c r="K14" s="4"/>
    </row>
    <row r="15" spans="1:12" x14ac:dyDescent="0.3">
      <c r="A15" s="8" t="e" vm="15">
        <v>#VALUE!</v>
      </c>
      <c r="B15" s="12">
        <v>11.5</v>
      </c>
      <c r="C15" s="12" cm="1">
        <f t="array" aca="1" ref="C15" ca="1">_FV(A15,"P/E",TRUE)</f>
        <v>21.602799999999998</v>
      </c>
      <c r="D15" s="12">
        <v>2.57</v>
      </c>
      <c r="E15" s="12">
        <v>1.43</v>
      </c>
      <c r="F15" s="2"/>
      <c r="G15" s="2"/>
      <c r="H15" s="4"/>
      <c r="I15" s="4"/>
      <c r="J15" s="4"/>
      <c r="K15" s="4"/>
    </row>
    <row r="16" spans="1:12" x14ac:dyDescent="0.3">
      <c r="A16" s="45"/>
      <c r="B16" s="46"/>
      <c r="C16" s="46"/>
      <c r="D16" s="46"/>
      <c r="E16" s="47"/>
      <c r="F16" s="2"/>
      <c r="G16" s="2"/>
      <c r="H16" s="4"/>
      <c r="I16" s="4"/>
      <c r="J16" s="4"/>
      <c r="K16" s="4"/>
    </row>
    <row r="17" spans="1:11" x14ac:dyDescent="0.3">
      <c r="A17" s="27" t="s">
        <v>95</v>
      </c>
      <c r="B17" s="48">
        <f>AVERAGE(B3:B15)</f>
        <v>10.356153846153846</v>
      </c>
      <c r="C17" s="48">
        <f t="shared" ref="C17:E17" ca="1" si="3">AVERAGE(C3:C15)</f>
        <v>21.572300000000002</v>
      </c>
      <c r="D17" s="48">
        <f t="shared" si="3"/>
        <v>2.4146153846153848</v>
      </c>
      <c r="E17" s="48">
        <f t="shared" si="3"/>
        <v>2.8230769230769233</v>
      </c>
      <c r="F17" s="49"/>
      <c r="G17" s="2"/>
      <c r="H17" s="4"/>
      <c r="I17" s="4"/>
      <c r="J17" s="4"/>
      <c r="K17" s="4"/>
    </row>
    <row r="18" spans="1:11" x14ac:dyDescent="0.3">
      <c r="A18" s="2"/>
      <c r="B18" s="4"/>
      <c r="C18" s="4"/>
      <c r="D18" s="4"/>
      <c r="E18" s="4"/>
      <c r="F18" s="2"/>
      <c r="G18" s="2"/>
      <c r="H18" s="4"/>
      <c r="I18" s="4"/>
      <c r="J18" s="4"/>
      <c r="K18" s="4"/>
    </row>
    <row r="19" spans="1:11" x14ac:dyDescent="0.3">
      <c r="A19" s="56" t="s">
        <v>0</v>
      </c>
      <c r="B19" s="57" t="s">
        <v>96</v>
      </c>
      <c r="C19" s="57" t="s">
        <v>18</v>
      </c>
      <c r="D19" s="57" t="s">
        <v>13</v>
      </c>
      <c r="E19" s="57" t="s">
        <v>97</v>
      </c>
      <c r="F19" s="1"/>
      <c r="G19" s="1"/>
      <c r="H19" s="3"/>
      <c r="I19" s="3"/>
      <c r="J19" s="3"/>
      <c r="K19" s="3"/>
    </row>
    <row r="20" spans="1:11" x14ac:dyDescent="0.3">
      <c r="A20" s="50" t="s">
        <v>98</v>
      </c>
      <c r="B20" s="43">
        <f>Financials!F5+Financials!F6</f>
        <v>20329</v>
      </c>
      <c r="C20" s="43">
        <f>Financials!F9</f>
        <v>6831</v>
      </c>
      <c r="D20" s="43">
        <f>Financials!F3</f>
        <v>24753</v>
      </c>
      <c r="E20" s="51">
        <f>Financials!F21</f>
        <v>60460</v>
      </c>
      <c r="F20" s="2"/>
      <c r="G20" s="2"/>
      <c r="H20" s="4"/>
      <c r="I20" s="4"/>
      <c r="J20" s="4"/>
      <c r="K20" s="4"/>
    </row>
    <row r="21" spans="1:11" x14ac:dyDescent="0.3">
      <c r="A21" s="52" t="s">
        <v>10</v>
      </c>
      <c r="B21" s="53">
        <f>Financials!M5+Financials!M6</f>
        <v>19486</v>
      </c>
      <c r="C21" s="53">
        <f>Financials!M9</f>
        <v>3926</v>
      </c>
      <c r="D21" s="53">
        <f>Financials!M3</f>
        <v>30357</v>
      </c>
      <c r="E21" s="54">
        <f>Table29[[#This Row],[2024]]</f>
        <v>51256</v>
      </c>
      <c r="F21" s="2"/>
      <c r="G21" s="2"/>
      <c r="H21" s="4"/>
      <c r="I21" s="4"/>
      <c r="J21" s="4"/>
      <c r="K21" s="4"/>
    </row>
    <row r="22" spans="1:11" x14ac:dyDescent="0.3">
      <c r="A22" s="52" t="s">
        <v>119</v>
      </c>
      <c r="B22" s="53">
        <f>Financials!T5+Financials!T6</f>
        <v>8759</v>
      </c>
      <c r="C22" s="53">
        <f>Financials!T9</f>
        <v>1874</v>
      </c>
      <c r="D22" s="53">
        <f>Financials!T3</f>
        <v>14459</v>
      </c>
      <c r="E22" s="54">
        <f>Financials!T21</f>
        <v>30192</v>
      </c>
    </row>
    <row r="23" spans="1:11" x14ac:dyDescent="0.3">
      <c r="A23" s="52" t="s">
        <v>120</v>
      </c>
      <c r="B23" s="53">
        <f>Financials!AA5+Financials!AA6</f>
        <v>17482</v>
      </c>
      <c r="C23" s="53">
        <f>Financials!AA9</f>
        <v>4260</v>
      </c>
      <c r="D23" s="53">
        <f>Financials!AA3</f>
        <v>26724</v>
      </c>
      <c r="E23" s="54">
        <f>Financials!AA21</f>
        <v>36674</v>
      </c>
    </row>
    <row r="24" spans="1:11" x14ac:dyDescent="0.3">
      <c r="A24" s="52" t="s">
        <v>121</v>
      </c>
      <c r="B24" s="53">
        <f>Financials!AH5+Financials!AH6</f>
        <v>8204</v>
      </c>
      <c r="C24" s="53">
        <f>Financials!AH9</f>
        <v>1790</v>
      </c>
      <c r="D24" s="53">
        <f>Financials!AH3</f>
        <v>13441</v>
      </c>
      <c r="E24" s="54">
        <f>Financials!AH21</f>
        <v>19522</v>
      </c>
    </row>
  </sheetData>
  <conditionalFormatting sqref="H8:K8">
    <cfRule type="cellIs" dxfId="15" priority="6" operator="lessThan">
      <formula>0</formula>
    </cfRule>
    <cfRule type="cellIs" dxfId="14" priority="7" operator="greaterThan">
      <formula>0</formula>
    </cfRule>
  </conditionalFormatting>
  <conditionalFormatting sqref="J10:J14">
    <cfRule type="cellIs" dxfId="13" priority="1" operator="greaterThan">
      <formula>0</formula>
    </cfRule>
    <cfRule type="cellIs" dxfId="12" priority="2" operator="lessThan">
      <formula>0</formula>
    </cfRule>
  </conditionalFormatting>
  <conditionalFormatting sqref="K9:K10">
    <cfRule type="cellIs" dxfId="11" priority="3" operator="lessThan">
      <formula>0</formula>
    </cfRule>
    <cfRule type="cellIs" dxfId="10" priority="4" operator="greaterThan">
      <formula>0</formula>
    </cfRule>
    <cfRule type="cellIs" dxfId="9" priority="5" operator="lessThan">
      <formula>0</formula>
    </cfRule>
  </conditionalFormatting>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7EA92-6712-4C15-BAEA-FB52DC856ACA}">
  <dimension ref="A1:AE85"/>
  <sheetViews>
    <sheetView workbookViewId="0">
      <selection activeCell="A80" sqref="A80:C85"/>
    </sheetView>
  </sheetViews>
  <sheetFormatPr defaultRowHeight="14.4" x14ac:dyDescent="0.3"/>
  <cols>
    <col min="1" max="1" width="7.6640625" style="2" bestFit="1" customWidth="1"/>
    <col min="2" max="2" width="16.88671875" style="4" bestFit="1" customWidth="1"/>
    <col min="3" max="3" width="16.5546875" style="4" bestFit="1" customWidth="1"/>
    <col min="4" max="4" width="10.88671875" style="4" bestFit="1" customWidth="1"/>
    <col min="5" max="5" width="8.88671875" style="2"/>
    <col min="6" max="6" width="16.5546875" style="2" bestFit="1" customWidth="1"/>
    <col min="7" max="9" width="15.5546875" style="4" customWidth="1"/>
    <col min="10" max="15" width="15.5546875" style="2" customWidth="1"/>
    <col min="17" max="17" width="15.5546875" bestFit="1" customWidth="1"/>
    <col min="18" max="23" width="9.88671875" bestFit="1" customWidth="1"/>
    <col min="25" max="25" width="9.109375" bestFit="1" customWidth="1"/>
    <col min="26" max="26" width="6.21875" bestFit="1" customWidth="1"/>
    <col min="27" max="27" width="15.109375" bestFit="1" customWidth="1"/>
    <col min="28" max="28" width="12.6640625" bestFit="1" customWidth="1"/>
    <col min="29" max="29" width="13.77734375" bestFit="1" customWidth="1"/>
    <col min="30" max="30" width="10.33203125" bestFit="1" customWidth="1"/>
    <col min="31" max="31" width="16" bestFit="1" customWidth="1"/>
  </cols>
  <sheetData>
    <row r="1" spans="1:31" ht="28.8" x14ac:dyDescent="0.3">
      <c r="A1" s="58" t="s">
        <v>9</v>
      </c>
      <c r="B1" s="59" t="s">
        <v>12</v>
      </c>
      <c r="C1" s="19" t="s">
        <v>0</v>
      </c>
      <c r="D1" s="60" t="s">
        <v>41</v>
      </c>
      <c r="F1" s="1" t="s">
        <v>0</v>
      </c>
      <c r="G1" s="3" t="s">
        <v>99</v>
      </c>
      <c r="H1" s="3" t="s">
        <v>100</v>
      </c>
      <c r="I1" s="3" t="s">
        <v>101</v>
      </c>
      <c r="J1" s="3" t="s">
        <v>102</v>
      </c>
      <c r="K1" s="3" t="s">
        <v>77</v>
      </c>
      <c r="L1" s="3" t="s">
        <v>76</v>
      </c>
      <c r="M1" s="3" t="s">
        <v>103</v>
      </c>
      <c r="N1" s="3" t="s">
        <v>104</v>
      </c>
      <c r="O1" s="3"/>
      <c r="Q1" s="67" t="s">
        <v>12</v>
      </c>
      <c r="R1" s="68" t="s">
        <v>34</v>
      </c>
      <c r="S1" s="68" t="s">
        <v>35</v>
      </c>
      <c r="T1" s="68" t="s">
        <v>36</v>
      </c>
      <c r="U1" s="68" t="s">
        <v>37</v>
      </c>
      <c r="V1" s="68" t="s">
        <v>38</v>
      </c>
      <c r="W1" s="2"/>
      <c r="Y1" s="87" t="s">
        <v>0</v>
      </c>
      <c r="Z1" s="88" t="s">
        <v>59</v>
      </c>
      <c r="AA1" s="88" t="s">
        <v>117</v>
      </c>
      <c r="AB1" s="88" t="s">
        <v>50</v>
      </c>
      <c r="AC1" s="88" t="s">
        <v>118</v>
      </c>
      <c r="AD1" s="88" t="s">
        <v>2</v>
      </c>
      <c r="AE1" s="89" t="s">
        <v>90</v>
      </c>
    </row>
    <row r="2" spans="1:31" x14ac:dyDescent="0.3">
      <c r="A2" s="2" t="s">
        <v>105</v>
      </c>
      <c r="B2" s="4" t="s">
        <v>106</v>
      </c>
      <c r="C2" s="4" t="str">
        <f>Relative!A20</f>
        <v>NextEra Energy</v>
      </c>
      <c r="D2" s="49">
        <f>AVERAGE(Financials!B26:F26)</f>
        <v>8251.6</v>
      </c>
      <c r="F2" s="2" t="str">
        <f>C2</f>
        <v>NextEra Energy</v>
      </c>
      <c r="G2" s="49">
        <f>Financials!F5-Financials!B5</f>
        <v>4343</v>
      </c>
      <c r="H2" s="5">
        <f>(190144-25355)-(127684-15558)</f>
        <v>52663</v>
      </c>
      <c r="I2" s="42">
        <f>G2/H2</f>
        <v>8.2467766743254275E-2</v>
      </c>
      <c r="J2" s="29">
        <f>DCF!G4-DCF!B4</f>
        <v>5645.2042007248056</v>
      </c>
      <c r="K2" s="29">
        <f>D8</f>
        <v>11792.938041406407</v>
      </c>
      <c r="L2" s="29">
        <f>AVERAGE(DCF!B6:G6)</f>
        <v>6808.5652272601828</v>
      </c>
      <c r="M2" s="61">
        <f>IF(K2-L2&lt;=0,K2,MAX(K2-L2,0.1*K2))</f>
        <v>4984.3728141462243</v>
      </c>
      <c r="N2" s="62">
        <f>J2/M2</f>
        <v>1.1325806498067452</v>
      </c>
      <c r="O2" s="63"/>
      <c r="Q2" s="8" t="s">
        <v>13</v>
      </c>
      <c r="R2" s="12" cm="1">
        <f t="array" ref="R2:V2">Financials!B3:F3</f>
        <v>17997</v>
      </c>
      <c r="S2" s="12">
        <v>17069</v>
      </c>
      <c r="T2" s="12">
        <v>20956</v>
      </c>
      <c r="U2" s="12">
        <v>28114</v>
      </c>
      <c r="V2" s="12">
        <v>24753</v>
      </c>
      <c r="W2" s="2"/>
      <c r="Y2" s="50" t="s">
        <v>61</v>
      </c>
      <c r="Z2" s="11">
        <f ca="1">Assumptions!B22</f>
        <v>6.0679716049325753E-2</v>
      </c>
      <c r="AA2" s="11">
        <f>Assumptions!B23</f>
        <v>0.02</v>
      </c>
      <c r="AB2" s="11">
        <f ca="1">Assumptions!B13</f>
        <v>7.8596499999999986E-2</v>
      </c>
      <c r="AC2" s="43">
        <f ca="1">DCF!B20</f>
        <v>78.516883299827569</v>
      </c>
      <c r="AD2" s="43">
        <f ca="1">DCF!B21</f>
        <v>84.7</v>
      </c>
      <c r="AE2" s="86">
        <f ca="1">(AC2-AD2)/AD2</f>
        <v>-7.3000197168505712E-2</v>
      </c>
    </row>
    <row r="3" spans="1:31" x14ac:dyDescent="0.3">
      <c r="A3" s="2" t="s">
        <v>105</v>
      </c>
      <c r="B3" s="4" t="s">
        <v>106</v>
      </c>
      <c r="C3" s="4" t="str">
        <f>Relative!A21</f>
        <v>Duke Energy</v>
      </c>
      <c r="D3" s="49">
        <f>AVERAGE(Financials!I26:M26)</f>
        <v>11174.6</v>
      </c>
      <c r="F3" s="2" t="str">
        <f>C3</f>
        <v>Duke Energy</v>
      </c>
      <c r="G3" s="49">
        <f>Financials!M5-Financials!I5</f>
        <v>4445</v>
      </c>
      <c r="H3" s="5">
        <f>(186343-17283)-(162388-16305)</f>
        <v>22977</v>
      </c>
      <c r="I3" s="42">
        <f t="shared" ref="I3:I6" si="0">G3/H3</f>
        <v>0.19345432388910649</v>
      </c>
      <c r="J3" s="29">
        <f>DCF!O4-DCF!J4</f>
        <v>3576.1955391621032</v>
      </c>
      <c r="K3" s="29">
        <f t="shared" ref="K3:K6" si="1">D9</f>
        <v>14683.822843643664</v>
      </c>
      <c r="L3" s="29">
        <f>AVERAGE(DCF!J6:O6)</f>
        <v>6787.5197784759157</v>
      </c>
      <c r="M3" s="61">
        <f>IF(K3-L3&lt;=0,K3,MAX(K3-L3,0.1*K3))</f>
        <v>7896.3030651677482</v>
      </c>
      <c r="N3" s="62">
        <f>J3/M3</f>
        <v>0.45289491926132536</v>
      </c>
      <c r="O3" s="63"/>
      <c r="Q3" s="8" t="s">
        <v>115</v>
      </c>
      <c r="R3" s="12" cm="1">
        <f t="array" ref="R3:V3">Financials!B5:F5</f>
        <v>10524</v>
      </c>
      <c r="S3" s="12">
        <v>8561</v>
      </c>
      <c r="T3" s="12">
        <v>10139</v>
      </c>
      <c r="U3" s="12">
        <v>17976</v>
      </c>
      <c r="V3" s="12">
        <v>14867</v>
      </c>
      <c r="W3" s="2"/>
      <c r="Y3" s="52" t="s">
        <v>62</v>
      </c>
      <c r="Z3" s="90">
        <f ca="1">Assumptions!C22</f>
        <v>4.8267194932177682E-2</v>
      </c>
      <c r="AA3" s="90">
        <f>Assumptions!C23</f>
        <v>0.02</v>
      </c>
      <c r="AB3" s="90">
        <f ca="1">Assumptions!C13</f>
        <v>6.5958699999999995E-2</v>
      </c>
      <c r="AC3" s="53">
        <f ca="1">DCF!J20</f>
        <v>72.814238665315969</v>
      </c>
      <c r="AD3" s="53">
        <f ca="1">DCF!J21</f>
        <v>24.89</v>
      </c>
      <c r="AE3" s="91">
        <f ca="1">(AC3-AD3)/AD3</f>
        <v>1.9254414891649645</v>
      </c>
    </row>
    <row r="4" spans="1:31" x14ac:dyDescent="0.3">
      <c r="A4" s="2" t="s">
        <v>105</v>
      </c>
      <c r="B4" s="4" t="s">
        <v>106</v>
      </c>
      <c r="C4" s="4" t="str">
        <f>Relative!A22</f>
        <v>Dominion Energy</v>
      </c>
      <c r="D4" s="49">
        <f>AVERAGE(Financials!P26:T26)</f>
        <v>8396</v>
      </c>
      <c r="F4" s="2" t="str">
        <f t="shared" ref="F4:F7" si="2">C4</f>
        <v>Dominion Energy</v>
      </c>
      <c r="G4" s="49">
        <f>Financials!T5-Financials!P5</f>
        <v>1294</v>
      </c>
      <c r="H4" s="49">
        <f>((Financials!T14-Financials!T18)-(Financials!P14-Financials!P18))</f>
        <v>8064</v>
      </c>
      <c r="I4" s="42">
        <f t="shared" si="0"/>
        <v>0.16046626984126985</v>
      </c>
      <c r="J4" s="29">
        <f>Table96[[#This Row],[2030]]-Table96[[#This Row],[2025]]</f>
        <v>119.53868952259927</v>
      </c>
      <c r="K4" s="29">
        <f t="shared" si="1"/>
        <v>5865.1123670663537</v>
      </c>
      <c r="L4" s="29">
        <f>AVERAGE(DCF!R6:W6)</f>
        <v>2484.2620510567649</v>
      </c>
      <c r="M4" s="61">
        <f t="shared" ref="M4:M6" si="3">IF(K4-L4&lt;=0,K4,MAX(K4-L4,0.1*K4))</f>
        <v>3380.8503160095888</v>
      </c>
      <c r="N4" s="62">
        <f t="shared" ref="N4:N6" si="4">J4/M4</f>
        <v>3.5357581184987379E-2</v>
      </c>
      <c r="O4" s="63"/>
      <c r="Q4" s="8" t="s">
        <v>18</v>
      </c>
      <c r="R4" s="12" cm="1">
        <f t="array" ref="R4:V4">Financials!B9:F9</f>
        <v>4478</v>
      </c>
      <c r="S4" s="12">
        <v>3019</v>
      </c>
      <c r="T4" s="12">
        <v>4465</v>
      </c>
      <c r="U4" s="12">
        <v>7767</v>
      </c>
      <c r="V4" s="12">
        <v>6831</v>
      </c>
      <c r="W4" s="2"/>
    </row>
    <row r="5" spans="1:31" x14ac:dyDescent="0.3">
      <c r="A5" s="2" t="s">
        <v>105</v>
      </c>
      <c r="B5" s="4" t="s">
        <v>106</v>
      </c>
      <c r="C5" s="4" t="str">
        <f>Relative!A23</f>
        <v>Southern Company</v>
      </c>
      <c r="D5" s="49">
        <f>AVERAGE(Financials!W26:AA26)</f>
        <v>8200</v>
      </c>
      <c r="F5" s="2" t="str">
        <f t="shared" si="2"/>
        <v>Southern Company</v>
      </c>
      <c r="G5" s="49">
        <f>Table1828[[#This Row],[2024]]-Table1828[[#This Row],[2020]]</f>
        <v>3892</v>
      </c>
      <c r="H5" s="49">
        <f>((Financials!AA14-Financials!AA18)-(Financials!W14-Financials!W18))</f>
        <v>18331</v>
      </c>
      <c r="I5" s="42">
        <f t="shared" si="0"/>
        <v>0.21231793137308386</v>
      </c>
      <c r="J5" s="29">
        <f>DCF!AE4-DCF!Z4</f>
        <v>3577.7180449976167</v>
      </c>
      <c r="K5" s="29">
        <f t="shared" si="1"/>
        <v>10665.732342924612</v>
      </c>
      <c r="L5" s="29">
        <f>AVERAGE(DCF!Z6:AE6)</f>
        <v>5209.5598999855674</v>
      </c>
      <c r="M5" s="61">
        <f t="shared" si="3"/>
        <v>5456.1724429390442</v>
      </c>
      <c r="N5" s="62">
        <f t="shared" si="4"/>
        <v>0.65571938614726566</v>
      </c>
      <c r="O5" s="63"/>
      <c r="Q5" s="2"/>
      <c r="R5" s="4"/>
      <c r="S5" s="4"/>
      <c r="T5" s="4"/>
      <c r="U5" s="4"/>
      <c r="V5" s="4"/>
      <c r="W5" s="2"/>
    </row>
    <row r="6" spans="1:31" x14ac:dyDescent="0.3">
      <c r="A6" s="2" t="s">
        <v>105</v>
      </c>
      <c r="B6" s="4" t="s">
        <v>106</v>
      </c>
      <c r="C6" s="4" t="str">
        <f>Relative!A24</f>
        <v>Xcel Energy</v>
      </c>
      <c r="D6" s="49">
        <f>AVERAGE(Financials!AD26:AH26)</f>
        <v>5493.8</v>
      </c>
      <c r="F6" s="2" t="str">
        <f t="shared" si="2"/>
        <v>Xcel Energy</v>
      </c>
      <c r="G6" s="49">
        <f>Financials!AH5-Financials!AD5</f>
        <v>1247</v>
      </c>
      <c r="H6" s="49">
        <f>((Financials!AH14-Financials!AH18)-(Financials!AD14-Financials!AD18))</f>
        <v>13858</v>
      </c>
      <c r="I6" s="42">
        <f t="shared" si="0"/>
        <v>8.9984124693317943E-2</v>
      </c>
      <c r="J6" s="29">
        <f>DCF!AM4-DCF!AH4</f>
        <v>819.44120466183085</v>
      </c>
      <c r="K6" s="29">
        <f t="shared" si="1"/>
        <v>6062.3434243632873</v>
      </c>
      <c r="L6" s="61">
        <f>AVERAGE(Table9619[[#This Row],[2025]:[2030]])</f>
        <v>2576.4242286219746</v>
      </c>
      <c r="M6" s="61">
        <f t="shared" si="3"/>
        <v>3485.9191957413127</v>
      </c>
      <c r="N6" s="62">
        <f t="shared" si="4"/>
        <v>0.23507177265122153</v>
      </c>
      <c r="O6" s="63"/>
      <c r="Q6" s="67" t="s">
        <v>12</v>
      </c>
      <c r="R6" s="68" t="s">
        <v>34</v>
      </c>
      <c r="S6" s="68" t="s">
        <v>35</v>
      </c>
      <c r="T6" s="68" t="s">
        <v>36</v>
      </c>
      <c r="U6" s="68" t="s">
        <v>37</v>
      </c>
      <c r="V6" s="68" t="s">
        <v>38</v>
      </c>
      <c r="W6" s="2"/>
    </row>
    <row r="7" spans="1:31" x14ac:dyDescent="0.3">
      <c r="A7" s="19"/>
      <c r="B7" s="60" t="s">
        <v>106</v>
      </c>
      <c r="C7" s="60" t="s">
        <v>95</v>
      </c>
      <c r="D7" s="64">
        <f>AVERAGE(D2:D6)</f>
        <v>8303.2000000000007</v>
      </c>
      <c r="F7" s="19" t="str">
        <f t="shared" si="2"/>
        <v>Average</v>
      </c>
      <c r="G7" s="60"/>
      <c r="H7" s="60"/>
      <c r="I7" s="66">
        <f>AVERAGE(I2:I6)</f>
        <v>0.14773808330800647</v>
      </c>
      <c r="J7" s="66"/>
      <c r="K7" s="66"/>
      <c r="L7" s="66"/>
      <c r="M7" s="66"/>
      <c r="N7" s="66">
        <f t="shared" ref="N7" si="5">AVERAGE(N2:N6)</f>
        <v>0.50232486181030911</v>
      </c>
      <c r="O7" s="66"/>
      <c r="Q7" s="8" t="s">
        <v>13</v>
      </c>
      <c r="R7" s="12" cm="1">
        <f t="array" ref="R7:V7">Financials!I3:M3</f>
        <v>23868</v>
      </c>
      <c r="S7" s="12">
        <v>25097</v>
      </c>
      <c r="T7" s="12">
        <v>28768</v>
      </c>
      <c r="U7" s="12">
        <v>29060</v>
      </c>
      <c r="V7" s="12">
        <v>30357</v>
      </c>
      <c r="W7" s="2"/>
    </row>
    <row r="8" spans="1:31" x14ac:dyDescent="0.3">
      <c r="A8" s="2" t="s">
        <v>107</v>
      </c>
      <c r="B8" s="4" t="s">
        <v>106</v>
      </c>
      <c r="C8" s="4" t="str">
        <f t="shared" ref="C8:C23" si="6">C2</f>
        <v>NextEra Energy</v>
      </c>
      <c r="D8" s="70">
        <f>AVERAGE(DCF!B7:G7)</f>
        <v>11792.938041406407</v>
      </c>
      <c r="Q8" s="8" t="s">
        <v>115</v>
      </c>
      <c r="R8" s="12" cm="1">
        <f t="array" ref="R8:V8">Financials!I5:M5</f>
        <v>9248</v>
      </c>
      <c r="S8" s="12">
        <v>10350</v>
      </c>
      <c r="T8" s="12">
        <v>11076</v>
      </c>
      <c r="U8" s="12">
        <v>12271</v>
      </c>
      <c r="V8" s="12">
        <v>13693</v>
      </c>
      <c r="W8" s="2"/>
    </row>
    <row r="9" spans="1:31" x14ac:dyDescent="0.3">
      <c r="A9" s="2" t="s">
        <v>107</v>
      </c>
      <c r="B9" s="4" t="s">
        <v>106</v>
      </c>
      <c r="C9" s="4" t="str">
        <f t="shared" si="6"/>
        <v>Duke Energy</v>
      </c>
      <c r="D9" s="70">
        <f>AVERAGE(DCF!J7:O7)</f>
        <v>14683.822843643664</v>
      </c>
      <c r="Q9" s="8" t="s">
        <v>18</v>
      </c>
      <c r="R9" s="12" cm="1">
        <f t="array" ref="R9:V9">Financials!I9:M9</f>
        <v>2145</v>
      </c>
      <c r="S9" s="12">
        <v>3272</v>
      </c>
      <c r="T9" s="12">
        <v>3251</v>
      </c>
      <c r="U9" s="12">
        <v>3566</v>
      </c>
      <c r="V9" s="12">
        <v>3926</v>
      </c>
      <c r="W9" s="2"/>
    </row>
    <row r="10" spans="1:31" x14ac:dyDescent="0.3">
      <c r="A10" s="2" t="s">
        <v>107</v>
      </c>
      <c r="B10" s="4" t="s">
        <v>106</v>
      </c>
      <c r="C10" s="4" t="str">
        <f t="shared" si="6"/>
        <v>Dominion Energy</v>
      </c>
      <c r="D10" s="49">
        <f>AVERAGE(DCF!R7:W7)</f>
        <v>5865.1123670663537</v>
      </c>
      <c r="Q10" s="2"/>
      <c r="R10" s="4"/>
      <c r="S10" s="4"/>
      <c r="T10" s="4"/>
      <c r="U10" s="4"/>
      <c r="V10" s="4"/>
      <c r="W10" s="2"/>
    </row>
    <row r="11" spans="1:31" x14ac:dyDescent="0.3">
      <c r="A11" s="2" t="s">
        <v>107</v>
      </c>
      <c r="B11" s="4" t="s">
        <v>106</v>
      </c>
      <c r="C11" s="4" t="str">
        <f t="shared" si="6"/>
        <v>Southern Company</v>
      </c>
      <c r="D11" s="70">
        <f>AVERAGE(DCF!Z7:AE7)</f>
        <v>10665.732342924612</v>
      </c>
      <c r="G11" s="60" t="s">
        <v>80</v>
      </c>
      <c r="H11" s="60" t="s">
        <v>109</v>
      </c>
      <c r="I11" s="60" t="s">
        <v>107</v>
      </c>
      <c r="Q11" s="67" t="s">
        <v>12</v>
      </c>
      <c r="R11" s="69">
        <v>2025</v>
      </c>
      <c r="S11" s="69">
        <v>2026</v>
      </c>
      <c r="T11" s="69">
        <v>2027</v>
      </c>
      <c r="U11" s="69">
        <v>2028</v>
      </c>
      <c r="V11" s="69">
        <v>2029</v>
      </c>
      <c r="W11" s="69">
        <v>2030</v>
      </c>
    </row>
    <row r="12" spans="1:31" x14ac:dyDescent="0.3">
      <c r="A12" s="2" t="s">
        <v>107</v>
      </c>
      <c r="B12" s="4" t="s">
        <v>106</v>
      </c>
      <c r="C12" s="4" t="str">
        <f t="shared" si="6"/>
        <v>Xcel Energy</v>
      </c>
      <c r="D12" s="70">
        <f>AVERAGE(DCF!AH7:AM7)</f>
        <v>6062.3434243632873</v>
      </c>
      <c r="G12" s="4" t="s">
        <v>108</v>
      </c>
      <c r="H12" s="42">
        <f>AVERAGE(-0.035,0.058)</f>
        <v>1.15E-2</v>
      </c>
      <c r="I12" s="42">
        <v>0.02</v>
      </c>
      <c r="Q12" s="8" t="s">
        <v>13</v>
      </c>
      <c r="R12" s="12" cm="1">
        <f t="array" ref="R12:W12">DCF!B3:G3</f>
        <v>26382.344489272655</v>
      </c>
      <c r="S12" s="12">
        <v>28118.939148816517</v>
      </c>
      <c r="T12" s="12">
        <v>29969.8436269128</v>
      </c>
      <c r="U12" s="12">
        <v>31942.582266991725</v>
      </c>
      <c r="V12" s="12">
        <v>34045.17469578264</v>
      </c>
      <c r="W12" s="25">
        <v>36286.168424902273</v>
      </c>
    </row>
    <row r="13" spans="1:31" x14ac:dyDescent="0.3">
      <c r="B13" s="60" t="s">
        <v>106</v>
      </c>
      <c r="C13" s="60" t="str">
        <f t="shared" si="6"/>
        <v>Average</v>
      </c>
      <c r="D13" s="71">
        <f>AVERAGE(D8:D12)</f>
        <v>9813.9898038808642</v>
      </c>
      <c r="G13" s="4" t="s">
        <v>108</v>
      </c>
      <c r="H13" s="42">
        <v>2.8000000000000001E-2</v>
      </c>
      <c r="I13" s="42">
        <v>2.3E-2</v>
      </c>
      <c r="Q13" s="8" t="s">
        <v>115</v>
      </c>
      <c r="R13" s="12" cm="1">
        <f t="array" ref="R13:W13">DCF!B4:G4</f>
        <v>15038.001776264689</v>
      </c>
      <c r="S13" s="12">
        <v>16027.865038246238</v>
      </c>
      <c r="T13" s="12">
        <v>17082.885180244069</v>
      </c>
      <c r="U13" s="12">
        <v>18207.351096670696</v>
      </c>
      <c r="V13" s="12">
        <v>19405.833994647219</v>
      </c>
      <c r="W13" s="25">
        <v>20683.205976989495</v>
      </c>
    </row>
    <row r="14" spans="1:31" x14ac:dyDescent="0.3">
      <c r="A14" s="2" t="s">
        <v>107</v>
      </c>
      <c r="B14" s="4" t="s">
        <v>110</v>
      </c>
      <c r="C14" s="4" t="str">
        <f t="shared" si="6"/>
        <v>NextEra Energy</v>
      </c>
      <c r="D14" s="72">
        <f>(DCF!G7/DCF!B7)^(1/6)-1</f>
        <v>5.4559983569536064E-2</v>
      </c>
      <c r="G14" s="4" t="s">
        <v>111</v>
      </c>
      <c r="H14" s="65">
        <f>H13-H12</f>
        <v>1.6500000000000001E-2</v>
      </c>
      <c r="I14" s="65">
        <f>I13-I12</f>
        <v>2.9999999999999992E-3</v>
      </c>
      <c r="Q14" s="8" t="s">
        <v>18</v>
      </c>
      <c r="R14" s="12" cm="1">
        <f t="array" ref="R14:W14">DCF!B5:G5</f>
        <v>11579.261367723811</v>
      </c>
      <c r="S14" s="12">
        <v>12341.456079449605</v>
      </c>
      <c r="T14" s="12">
        <v>13153.821588787934</v>
      </c>
      <c r="U14" s="12">
        <v>14019.660344436437</v>
      </c>
      <c r="V14" s="12">
        <v>14942.492175878358</v>
      </c>
      <c r="W14" s="25">
        <v>15926.068602281912</v>
      </c>
    </row>
    <row r="15" spans="1:31" x14ac:dyDescent="0.3">
      <c r="A15" s="2" t="s">
        <v>107</v>
      </c>
      <c r="B15" s="4" t="s">
        <v>110</v>
      </c>
      <c r="C15" s="4" t="str">
        <f t="shared" si="6"/>
        <v>Duke Energy</v>
      </c>
      <c r="D15" s="72">
        <f>(DCF!O7/DCF!J7)^(1/6)-1</f>
        <v>4.0895514167875957E-2</v>
      </c>
      <c r="G15" s="60" t="s">
        <v>112</v>
      </c>
      <c r="H15" s="71">
        <f>D61/H14</f>
        <v>29.435966980682341</v>
      </c>
      <c r="I15" s="71">
        <f>D67/I14</f>
        <v>76.345352906427962</v>
      </c>
      <c r="Q15" s="8" t="s">
        <v>116</v>
      </c>
      <c r="R15" s="12" cm="1">
        <f t="array" ref="R15:W15">DCF!B9:G9</f>
        <v>7405.8958703118569</v>
      </c>
      <c r="S15" s="12">
        <v>8724.0609351776002</v>
      </c>
      <c r="T15" s="12">
        <v>9298.3145855961484</v>
      </c>
      <c r="U15" s="12">
        <v>9910.3679782986401</v>
      </c>
      <c r="V15" s="12">
        <v>10562.709248128764</v>
      </c>
      <c r="W15" s="25">
        <v>11257.990309221474</v>
      </c>
    </row>
    <row r="16" spans="1:31" x14ac:dyDescent="0.3">
      <c r="A16" s="2" t="s">
        <v>107</v>
      </c>
      <c r="B16" s="4" t="s">
        <v>110</v>
      </c>
      <c r="C16" s="4" t="str">
        <f t="shared" si="6"/>
        <v>Dominion Energy</v>
      </c>
      <c r="D16" s="65">
        <f>(DCF!W7/DCF!R7)^(1/6)-1</f>
        <v>3.3322239468818182E-3</v>
      </c>
      <c r="Q16" s="2"/>
      <c r="R16" s="4"/>
      <c r="S16" s="4"/>
      <c r="T16" s="4"/>
      <c r="U16" s="4"/>
      <c r="V16" s="4"/>
      <c r="W16" s="2"/>
    </row>
    <row r="17" spans="1:23" x14ac:dyDescent="0.3">
      <c r="A17" s="2" t="s">
        <v>107</v>
      </c>
      <c r="B17" s="4" t="s">
        <v>110</v>
      </c>
      <c r="C17" s="4" t="str">
        <f t="shared" si="6"/>
        <v>Southern Company</v>
      </c>
      <c r="D17" s="72">
        <f>(DCF!AE7/DCF!Z7)^(1/6)-1</f>
        <v>4.6246394281186598E-2</v>
      </c>
      <c r="Q17" s="67" t="s">
        <v>12</v>
      </c>
      <c r="R17" s="69">
        <v>2025</v>
      </c>
      <c r="S17" s="69">
        <v>2026</v>
      </c>
      <c r="T17" s="69">
        <v>2027</v>
      </c>
      <c r="U17" s="69">
        <v>2028</v>
      </c>
      <c r="V17" s="69">
        <v>2029</v>
      </c>
      <c r="W17" s="69">
        <v>2030</v>
      </c>
    </row>
    <row r="18" spans="1:23" x14ac:dyDescent="0.3">
      <c r="A18" s="2" t="s">
        <v>107</v>
      </c>
      <c r="B18" s="4" t="s">
        <v>110</v>
      </c>
      <c r="C18" s="4" t="str">
        <f t="shared" si="6"/>
        <v>Xcel Energy</v>
      </c>
      <c r="D18" s="72">
        <f>(DCF!AM7/DCF!AH7)^(1/6)-1</f>
        <v>2.5948342813169933E-2</v>
      </c>
      <c r="Q18" s="8" t="s">
        <v>13</v>
      </c>
      <c r="R18" s="12" cm="1">
        <f t="array" ref="R18:W18">DCF!J3:O3</f>
        <v>31852.785345322231</v>
      </c>
      <c r="S18" s="12">
        <v>33422.27276263052</v>
      </c>
      <c r="T18" s="12">
        <v>35069.093785976213</v>
      </c>
      <c r="U18" s="12">
        <v>36797.05888657226</v>
      </c>
      <c r="V18" s="12">
        <v>38610.16628959278</v>
      </c>
      <c r="W18" s="25">
        <v>40512.611225404202</v>
      </c>
    </row>
    <row r="19" spans="1:23" x14ac:dyDescent="0.3">
      <c r="A19" s="19" t="s">
        <v>107</v>
      </c>
      <c r="B19" s="60" t="s">
        <v>110</v>
      </c>
      <c r="C19" s="60" t="str">
        <f t="shared" si="6"/>
        <v>Average</v>
      </c>
      <c r="D19" s="66">
        <f>AVERAGE(D14:D18)</f>
        <v>3.4196491755730071E-2</v>
      </c>
      <c r="Q19" s="8" t="s">
        <v>115</v>
      </c>
      <c r="R19" s="12" cm="1">
        <f t="array" ref="R19:W19">DCF!J4:O4</f>
        <v>13154.050721023408</v>
      </c>
      <c r="S19" s="12">
        <v>13802.192378635562</v>
      </c>
      <c r="T19" s="12">
        <v>14482.270024426691</v>
      </c>
      <c r="U19" s="12">
        <v>15195.857245480713</v>
      </c>
      <c r="V19" s="12">
        <v>15944.605164491111</v>
      </c>
      <c r="W19" s="25">
        <v>16730.246260185511</v>
      </c>
    </row>
    <row r="20" spans="1:23" x14ac:dyDescent="0.3">
      <c r="A20" s="2" t="str">
        <f t="shared" ref="A20:A31" si="7">A14</f>
        <v>2025-30</v>
      </c>
      <c r="B20" s="4" t="s">
        <v>113</v>
      </c>
      <c r="C20" s="4" t="str">
        <f t="shared" si="6"/>
        <v>NextEra Energy</v>
      </c>
      <c r="D20" s="72">
        <f>Calc!D14</f>
        <v>5.4559983569536064E-2</v>
      </c>
      <c r="Q20" s="8" t="s">
        <v>18</v>
      </c>
      <c r="R20" s="12" cm="1">
        <f t="array" ref="R20:W20">DCF!J5:O5</f>
        <v>10128.619055188025</v>
      </c>
      <c r="S20" s="12">
        <v>10627.688131549383</v>
      </c>
      <c r="T20" s="12">
        <v>11151.347918808553</v>
      </c>
      <c r="U20" s="12">
        <v>11700.81007902015</v>
      </c>
      <c r="V20" s="12">
        <v>12277.345976658156</v>
      </c>
      <c r="W20" s="25">
        <v>12882.289620342845</v>
      </c>
    </row>
    <row r="21" spans="1:23" x14ac:dyDescent="0.3">
      <c r="A21" s="2" t="str">
        <f t="shared" si="7"/>
        <v>2025-30</v>
      </c>
      <c r="B21" s="4" t="s">
        <v>113</v>
      </c>
      <c r="C21" s="4" t="str">
        <f t="shared" si="6"/>
        <v>Duke Energy</v>
      </c>
      <c r="D21" s="72">
        <f>Calc!D15</f>
        <v>4.0895514167875957E-2</v>
      </c>
      <c r="Q21" s="8" t="s">
        <v>116</v>
      </c>
      <c r="R21" s="12" cm="1">
        <f t="array" ref="R21:W21">DCF!J9:O9</f>
        <v>3754.1337467545218</v>
      </c>
      <c r="S21" s="12">
        <v>3651.1729274142845</v>
      </c>
      <c r="T21" s="12">
        <v>3831.0777585261776</v>
      </c>
      <c r="U21" s="12">
        <v>4019.8470693274194</v>
      </c>
      <c r="V21" s="12">
        <v>4217.9176407520154</v>
      </c>
      <c r="W21" s="25">
        <v>4425.7477753111907</v>
      </c>
    </row>
    <row r="22" spans="1:23" x14ac:dyDescent="0.3">
      <c r="A22" s="2" t="str">
        <f t="shared" si="7"/>
        <v>2025-30</v>
      </c>
      <c r="B22" s="4" t="s">
        <v>113</v>
      </c>
      <c r="C22" s="4" t="str">
        <f t="shared" si="6"/>
        <v>Dominion Energy</v>
      </c>
      <c r="D22" s="72">
        <f>Calc!D16</f>
        <v>3.3322239468818182E-3</v>
      </c>
    </row>
    <row r="23" spans="1:23" x14ac:dyDescent="0.3">
      <c r="A23" s="2" t="str">
        <f t="shared" si="7"/>
        <v>2025-30</v>
      </c>
      <c r="B23" s="4" t="s">
        <v>113</v>
      </c>
      <c r="C23" s="4" t="str">
        <f t="shared" si="6"/>
        <v>Southern Company</v>
      </c>
      <c r="D23" s="72">
        <f>Calc!D17</f>
        <v>4.6246394281186598E-2</v>
      </c>
    </row>
    <row r="24" spans="1:23" x14ac:dyDescent="0.3">
      <c r="A24" s="2" t="str">
        <f t="shared" si="7"/>
        <v>2025-30</v>
      </c>
      <c r="B24" s="4" t="s">
        <v>113</v>
      </c>
      <c r="C24" s="4" t="str">
        <f t="shared" ref="C24:D39" si="8">C18</f>
        <v>Xcel Energy</v>
      </c>
      <c r="D24" s="72">
        <f>Calc!D18</f>
        <v>2.5948342813169933E-2</v>
      </c>
    </row>
    <row r="25" spans="1:23" x14ac:dyDescent="0.3">
      <c r="A25" s="19" t="str">
        <f t="shared" si="7"/>
        <v>2025-30</v>
      </c>
      <c r="B25" s="60" t="s">
        <v>113</v>
      </c>
      <c r="C25" s="60" t="str">
        <f t="shared" si="8"/>
        <v>Average</v>
      </c>
      <c r="D25" s="73">
        <f>AVERAGE(D20:D24)</f>
        <v>3.4196491755730071E-2</v>
      </c>
    </row>
    <row r="26" spans="1:23" x14ac:dyDescent="0.3">
      <c r="A26" s="2" t="str">
        <f t="shared" si="7"/>
        <v>2025-30</v>
      </c>
      <c r="B26" s="4" t="s">
        <v>42</v>
      </c>
      <c r="C26" s="4" t="str">
        <f t="shared" si="8"/>
        <v>NextEra Energy</v>
      </c>
      <c r="D26" s="74">
        <f>D20</f>
        <v>5.4559983569536064E-2</v>
      </c>
    </row>
    <row r="27" spans="1:23" x14ac:dyDescent="0.3">
      <c r="A27" s="2" t="str">
        <f t="shared" si="7"/>
        <v>2025-30</v>
      </c>
      <c r="B27" s="4" t="s">
        <v>42</v>
      </c>
      <c r="C27" s="4" t="str">
        <f t="shared" si="8"/>
        <v>Duke Energy</v>
      </c>
      <c r="D27" s="74">
        <f t="shared" si="8"/>
        <v>4.0895514167875957E-2</v>
      </c>
    </row>
    <row r="28" spans="1:23" x14ac:dyDescent="0.3">
      <c r="A28" s="2" t="str">
        <f t="shared" si="7"/>
        <v>2025-30</v>
      </c>
      <c r="B28" s="4" t="s">
        <v>42</v>
      </c>
      <c r="C28" s="4" t="str">
        <f t="shared" si="8"/>
        <v>Dominion Energy</v>
      </c>
      <c r="D28" s="74">
        <f t="shared" si="8"/>
        <v>3.3322239468818182E-3</v>
      </c>
    </row>
    <row r="29" spans="1:23" x14ac:dyDescent="0.3">
      <c r="A29" s="2" t="str">
        <f t="shared" si="7"/>
        <v>2025-30</v>
      </c>
      <c r="B29" s="4" t="s">
        <v>42</v>
      </c>
      <c r="C29" s="4" t="str">
        <f t="shared" si="8"/>
        <v>Southern Company</v>
      </c>
      <c r="D29" s="74">
        <f t="shared" si="8"/>
        <v>4.6246394281186598E-2</v>
      </c>
    </row>
    <row r="30" spans="1:23" x14ac:dyDescent="0.3">
      <c r="A30" s="2" t="str">
        <f t="shared" si="7"/>
        <v>2025-30</v>
      </c>
      <c r="B30" s="4" t="s">
        <v>42</v>
      </c>
      <c r="C30" s="4" t="str">
        <f t="shared" si="8"/>
        <v>Xcel Energy</v>
      </c>
      <c r="D30" s="74">
        <f t="shared" si="8"/>
        <v>2.5948342813169933E-2</v>
      </c>
    </row>
    <row r="31" spans="1:23" x14ac:dyDescent="0.3">
      <c r="A31" s="19" t="str">
        <f t="shared" si="7"/>
        <v>2025-30</v>
      </c>
      <c r="B31" s="60" t="s">
        <v>42</v>
      </c>
      <c r="C31" s="60" t="str">
        <f t="shared" si="8"/>
        <v>Average</v>
      </c>
      <c r="D31" s="66">
        <f>AVERAGE(D26:D30)</f>
        <v>3.4196491755730071E-2</v>
      </c>
    </row>
    <row r="32" spans="1:23" x14ac:dyDescent="0.3">
      <c r="A32" s="2" t="str">
        <f>A2</f>
        <v>2020-24</v>
      </c>
      <c r="B32" s="4" t="s">
        <v>122</v>
      </c>
      <c r="C32" s="4" t="str">
        <f t="shared" si="8"/>
        <v>NextEra Energy</v>
      </c>
      <c r="D32" s="72">
        <f>(AVERAGE(Financials!B5:F5)+AVERAGE(Financials!B6:F6))/AVERAGE(Financials!B3:F3)</f>
        <v>0.78875735841085881</v>
      </c>
    </row>
    <row r="33" spans="1:4" x14ac:dyDescent="0.3">
      <c r="A33" s="2" t="str">
        <f>A3</f>
        <v>2020-24</v>
      </c>
      <c r="B33" s="4" t="s">
        <v>122</v>
      </c>
      <c r="C33" s="4" t="str">
        <f t="shared" si="8"/>
        <v>Duke Energy</v>
      </c>
      <c r="D33" s="72">
        <f>(AVERAGE(Financials!I5:M5)+AVERAGE(Financials!I6:M6))/AVERAGE(Financials!I3:M3)</f>
        <v>0.6012759752096245</v>
      </c>
    </row>
    <row r="34" spans="1:4" x14ac:dyDescent="0.3">
      <c r="A34" s="2" t="str">
        <f>A4</f>
        <v>2020-24</v>
      </c>
      <c r="B34" s="4" t="s">
        <v>122</v>
      </c>
      <c r="C34" s="4" t="str">
        <f t="shared" si="8"/>
        <v>Dominion Energy</v>
      </c>
      <c r="D34" s="72">
        <f>(AVERAGE(Financials!P5:T5)+AVERAGE(Financials!P6:T6))/AVERAGE(Financials!P3:T3)</f>
        <v>0.57787006822901221</v>
      </c>
    </row>
    <row r="35" spans="1:4" x14ac:dyDescent="0.3">
      <c r="A35" s="2" t="str">
        <f>A5</f>
        <v>2020-24</v>
      </c>
      <c r="B35" s="4" t="s">
        <v>122</v>
      </c>
      <c r="C35" s="4" t="str">
        <f t="shared" si="8"/>
        <v>Southern Company</v>
      </c>
      <c r="D35" s="72">
        <f>(AVERAGE(Financials!W5:AA5)+AVERAGE(Financials!W6:AA6))/AVERAGE(Financials!W3:AA3)</f>
        <v>0.56748220355287626</v>
      </c>
    </row>
    <row r="36" spans="1:4" x14ac:dyDescent="0.3">
      <c r="A36" s="2" t="str">
        <f>A6</f>
        <v>2020-24</v>
      </c>
      <c r="B36" s="4" t="s">
        <v>122</v>
      </c>
      <c r="C36" s="4" t="str">
        <f t="shared" si="8"/>
        <v>Xcel Energy</v>
      </c>
      <c r="D36" s="72">
        <f>(AVERAGE(Financials!AD5:AH5)+AVERAGE(Financials!AD6:AH6))/AVERAGE(Financials!AD3:AH3)</f>
        <v>0.52772624201195628</v>
      </c>
    </row>
    <row r="37" spans="1:4" x14ac:dyDescent="0.3">
      <c r="A37" s="19" t="str">
        <f>$A$36</f>
        <v>2020-24</v>
      </c>
      <c r="B37" s="60" t="s">
        <v>122</v>
      </c>
      <c r="C37" s="60" t="str">
        <f t="shared" si="8"/>
        <v>Average</v>
      </c>
      <c r="D37" s="66">
        <f>AVERAGE(D32:D36)</f>
        <v>0.61262236948286564</v>
      </c>
    </row>
    <row r="38" spans="1:4" x14ac:dyDescent="0.3">
      <c r="A38" s="2" t="str">
        <f t="shared" ref="A38:A39" si="9">$A$36</f>
        <v>2020-24</v>
      </c>
      <c r="B38" s="4" t="s">
        <v>123</v>
      </c>
      <c r="C38" s="4" t="str">
        <f t="shared" si="8"/>
        <v>NextEra Energy</v>
      </c>
      <c r="D38" s="72">
        <f>AVERAGE(Financials!B9:F9)/AVERAGE(Financials!B3:F3)</f>
        <v>0.24391811845089956</v>
      </c>
    </row>
    <row r="39" spans="1:4" x14ac:dyDescent="0.3">
      <c r="A39" s="2" t="str">
        <f t="shared" si="9"/>
        <v>2020-24</v>
      </c>
      <c r="B39" s="4" t="s">
        <v>123</v>
      </c>
      <c r="C39" s="4" t="str">
        <f t="shared" si="8"/>
        <v>Duke Energy</v>
      </c>
      <c r="D39" s="72">
        <f>AVERAGE(Financials!I9:M9)/AVERAGE(Financials!I3:M3)</f>
        <v>0.11782719650018228</v>
      </c>
    </row>
    <row r="40" spans="1:4" x14ac:dyDescent="0.3">
      <c r="A40" s="2" t="str">
        <f>A32</f>
        <v>2020-24</v>
      </c>
      <c r="B40" s="4" t="s">
        <v>123</v>
      </c>
      <c r="C40" s="4" t="str">
        <f t="shared" ref="C40:C55" si="10">C34</f>
        <v>Dominion Energy</v>
      </c>
      <c r="D40" s="72">
        <f>AVERAGE(Financials!P9:T9)/AVERAGE(Financials!P3:T3)</f>
        <v>0.12157169439874869</v>
      </c>
    </row>
    <row r="41" spans="1:4" x14ac:dyDescent="0.3">
      <c r="A41" s="2" t="str">
        <f>A33</f>
        <v>2020-24</v>
      </c>
      <c r="B41" s="4" t="s">
        <v>123</v>
      </c>
      <c r="C41" s="4" t="str">
        <f t="shared" si="10"/>
        <v>Southern Company</v>
      </c>
      <c r="D41" s="72">
        <f>AVERAGE(Financials!W9:AA9)/AVERAGE(Financials!W3:AA3)</f>
        <v>0.13587026229718466</v>
      </c>
    </row>
    <row r="42" spans="1:4" x14ac:dyDescent="0.3">
      <c r="A42" s="2" t="str">
        <f>A34</f>
        <v>2020-24</v>
      </c>
      <c r="B42" s="4" t="s">
        <v>123</v>
      </c>
      <c r="C42" s="4" t="str">
        <f t="shared" si="10"/>
        <v>Xcel Energy</v>
      </c>
      <c r="D42" s="72">
        <f>AVERAGE(Financials!AD9:AH9)/AVERAGE(Financials!AD3:AH3)</f>
        <v>0.11906234355213947</v>
      </c>
    </row>
    <row r="43" spans="1:4" x14ac:dyDescent="0.3">
      <c r="A43" s="19" t="str">
        <f>$A$42</f>
        <v>2020-24</v>
      </c>
      <c r="B43" s="60" t="s">
        <v>123</v>
      </c>
      <c r="C43" s="60" t="str">
        <f t="shared" si="10"/>
        <v>Average</v>
      </c>
      <c r="D43" s="66">
        <f>AVERAGE(D38:D42)</f>
        <v>0.14764992303983096</v>
      </c>
    </row>
    <row r="44" spans="1:4" x14ac:dyDescent="0.3">
      <c r="A44" s="2" t="str">
        <f t="shared" ref="A44:A49" si="11">A26</f>
        <v>2025-30</v>
      </c>
      <c r="B44" s="4" t="s">
        <v>124</v>
      </c>
      <c r="C44" s="4" t="str">
        <f t="shared" si="10"/>
        <v>NextEra Energy</v>
      </c>
      <c r="D44" s="111">
        <f>AVERAGE(DCF!B3:G3)</f>
        <v>31124.175442113101</v>
      </c>
    </row>
    <row r="45" spans="1:4" x14ac:dyDescent="0.3">
      <c r="A45" s="2" t="str">
        <f t="shared" si="11"/>
        <v>2025-30</v>
      </c>
      <c r="B45" s="4" t="s">
        <v>124</v>
      </c>
      <c r="C45" s="4" t="str">
        <f t="shared" si="10"/>
        <v>Duke Energy</v>
      </c>
      <c r="D45" s="111">
        <f>AVERAGE(DCF!J3:O3)</f>
        <v>36043.998049249698</v>
      </c>
    </row>
    <row r="46" spans="1:4" x14ac:dyDescent="0.3">
      <c r="A46" s="2" t="str">
        <f t="shared" si="11"/>
        <v>2025-30</v>
      </c>
      <c r="B46" s="4" t="s">
        <v>124</v>
      </c>
      <c r="C46" s="4" t="str">
        <f t="shared" si="10"/>
        <v>Dominion Energy</v>
      </c>
      <c r="D46" s="111">
        <f>AVERAGE(DCF!R3:W3)</f>
        <v>14662.780917665879</v>
      </c>
    </row>
    <row r="47" spans="1:4" x14ac:dyDescent="0.3">
      <c r="A47" s="2" t="str">
        <f t="shared" si="11"/>
        <v>2025-30</v>
      </c>
      <c r="B47" s="4" t="s">
        <v>124</v>
      </c>
      <c r="C47" s="4" t="str">
        <f t="shared" si="10"/>
        <v>Southern Company</v>
      </c>
      <c r="D47" s="111">
        <f>AVERAGE(DCF!Z3:AE3)</f>
        <v>32450.880863067996</v>
      </c>
    </row>
    <row r="48" spans="1:4" x14ac:dyDescent="0.3">
      <c r="A48" s="2" t="str">
        <f t="shared" si="11"/>
        <v>2025-30</v>
      </c>
      <c r="B48" s="4" t="s">
        <v>124</v>
      </c>
      <c r="C48" s="4" t="str">
        <f t="shared" si="10"/>
        <v>Xcel Energy</v>
      </c>
      <c r="D48" s="111">
        <f>AVERAGE(DCF!AH3:AM3)</f>
        <v>14988.459402315641</v>
      </c>
    </row>
    <row r="49" spans="1:4" x14ac:dyDescent="0.3">
      <c r="A49" s="19" t="str">
        <f t="shared" si="11"/>
        <v>2025-30</v>
      </c>
      <c r="B49" s="60" t="s">
        <v>124</v>
      </c>
      <c r="C49" s="60" t="str">
        <f t="shared" si="10"/>
        <v>Average</v>
      </c>
      <c r="D49" s="71">
        <f>AVERAGE(D44:D48)</f>
        <v>25854.058934882465</v>
      </c>
    </row>
    <row r="50" spans="1:4" x14ac:dyDescent="0.3">
      <c r="A50" s="2" t="str">
        <f t="shared" ref="A50:A55" si="12">A44</f>
        <v>2025-30</v>
      </c>
      <c r="B50" s="4" t="s">
        <v>125</v>
      </c>
      <c r="C50" s="4" t="str">
        <f t="shared" si="10"/>
        <v>NextEra Energy</v>
      </c>
      <c r="D50" s="72">
        <f>D8/D44</f>
        <v>0.37889961336774147</v>
      </c>
    </row>
    <row r="51" spans="1:4" x14ac:dyDescent="0.3">
      <c r="A51" s="2" t="str">
        <f t="shared" si="12"/>
        <v>2025-30</v>
      </c>
      <c r="B51" s="4" t="s">
        <v>125</v>
      </c>
      <c r="C51" s="4" t="str">
        <f t="shared" si="10"/>
        <v>Duke Energy</v>
      </c>
      <c r="D51" s="72">
        <f t="shared" ref="D51:D54" si="13">D9/D45</f>
        <v>0.40738607364199786</v>
      </c>
    </row>
    <row r="52" spans="1:4" x14ac:dyDescent="0.3">
      <c r="A52" s="2" t="str">
        <f t="shared" si="12"/>
        <v>2025-30</v>
      </c>
      <c r="B52" s="4" t="s">
        <v>125</v>
      </c>
      <c r="C52" s="4" t="str">
        <f t="shared" si="10"/>
        <v>Dominion Energy</v>
      </c>
      <c r="D52" s="72">
        <f t="shared" si="13"/>
        <v>0.40000000000000013</v>
      </c>
    </row>
    <row r="53" spans="1:4" x14ac:dyDescent="0.3">
      <c r="A53" s="2" t="str">
        <f t="shared" si="12"/>
        <v>2025-30</v>
      </c>
      <c r="B53" s="4" t="s">
        <v>125</v>
      </c>
      <c r="C53" s="4" t="str">
        <f t="shared" si="10"/>
        <v>Southern Company</v>
      </c>
      <c r="D53" s="72">
        <f t="shared" si="13"/>
        <v>0.32867312255499259</v>
      </c>
    </row>
    <row r="54" spans="1:4" x14ac:dyDescent="0.3">
      <c r="A54" s="2" t="str">
        <f t="shared" si="12"/>
        <v>2025-30</v>
      </c>
      <c r="B54" s="4" t="s">
        <v>125</v>
      </c>
      <c r="C54" s="4" t="str">
        <f t="shared" si="10"/>
        <v>Xcel Energy</v>
      </c>
      <c r="D54" s="72">
        <f t="shared" si="13"/>
        <v>0.40446741467149627</v>
      </c>
    </row>
    <row r="55" spans="1:4" x14ac:dyDescent="0.3">
      <c r="A55" s="19" t="str">
        <f t="shared" si="12"/>
        <v>2025-30</v>
      </c>
      <c r="B55" s="60" t="s">
        <v>125</v>
      </c>
      <c r="C55" s="60" t="str">
        <f t="shared" si="10"/>
        <v>Average</v>
      </c>
      <c r="D55" s="66">
        <f>AVERAGE(D50:D54)</f>
        <v>0.38388524484724568</v>
      </c>
    </row>
    <row r="56" spans="1:4" x14ac:dyDescent="0.3">
      <c r="A56" s="2" t="str">
        <f>A38</f>
        <v>2020-24</v>
      </c>
      <c r="B56" s="4" t="s">
        <v>114</v>
      </c>
      <c r="C56" s="4" t="str">
        <f t="shared" ref="C56:C67" si="14">C50</f>
        <v>NextEra Energy</v>
      </c>
      <c r="D56" s="72">
        <f>(Financials!F9-Financials!B9)/Financials!B9</f>
        <v>0.52545779365788303</v>
      </c>
    </row>
    <row r="57" spans="1:4" x14ac:dyDescent="0.3">
      <c r="A57" s="2" t="str">
        <f>A39</f>
        <v>2020-24</v>
      </c>
      <c r="B57" s="4" t="s">
        <v>114</v>
      </c>
      <c r="C57" s="4" t="str">
        <f t="shared" si="14"/>
        <v>Duke Energy</v>
      </c>
      <c r="D57" s="72">
        <f>(Financials!M9-Financials!I9)/Financials!I9</f>
        <v>0.83030303030303032</v>
      </c>
    </row>
    <row r="58" spans="1:4" x14ac:dyDescent="0.3">
      <c r="A58" s="2" t="str">
        <f>A40</f>
        <v>2020-24</v>
      </c>
      <c r="B58" s="4" t="s">
        <v>114</v>
      </c>
      <c r="C58" s="4" t="str">
        <f t="shared" si="14"/>
        <v>Dominion Energy</v>
      </c>
      <c r="D58" s="72">
        <f>(Financials!T9-Financials!P9)/Financials!P9</f>
        <v>0.41114457831325302</v>
      </c>
    </row>
    <row r="59" spans="1:4" x14ac:dyDescent="0.3">
      <c r="A59" s="2" t="str">
        <f>A41</f>
        <v>2020-24</v>
      </c>
      <c r="B59" s="4" t="s">
        <v>114</v>
      </c>
      <c r="C59" s="4" t="str">
        <f t="shared" si="14"/>
        <v>Southern Company</v>
      </c>
      <c r="D59" s="72">
        <f>(Financials!AA9-Financials!W9)/Financials!W9</f>
        <v>0.37286496938446667</v>
      </c>
    </row>
    <row r="60" spans="1:4" x14ac:dyDescent="0.3">
      <c r="A60" s="2" t="str">
        <f>A42</f>
        <v>2020-24</v>
      </c>
      <c r="B60" s="4" t="s">
        <v>114</v>
      </c>
      <c r="C60" s="4" t="str">
        <f t="shared" si="14"/>
        <v>Xcel Energy</v>
      </c>
      <c r="D60" s="72">
        <f>(Financials!AH9-Financials!AD9)/Financials!AD9</f>
        <v>0.2886969042476602</v>
      </c>
    </row>
    <row r="61" spans="1:4" x14ac:dyDescent="0.3">
      <c r="A61" s="19" t="str">
        <f>A60</f>
        <v>2020-24</v>
      </c>
      <c r="B61" s="60" t="s">
        <v>114</v>
      </c>
      <c r="C61" s="60" t="str">
        <f t="shared" si="14"/>
        <v>Average</v>
      </c>
      <c r="D61" s="66">
        <f>AVERAGE(D56:D60)</f>
        <v>0.48569345518125867</v>
      </c>
    </row>
    <row r="62" spans="1:4" x14ac:dyDescent="0.3">
      <c r="A62" s="2" t="str">
        <f t="shared" ref="A62:A67" si="15">A50</f>
        <v>2025-30</v>
      </c>
      <c r="B62" s="4" t="str">
        <f t="shared" ref="B62:B67" si="16">B56</f>
        <v>Earnings Growth</v>
      </c>
      <c r="C62" s="4" t="str">
        <f t="shared" si="14"/>
        <v>NextEra Energy</v>
      </c>
      <c r="D62" s="72">
        <f>(DCF!G5-DCF!B5)/DCF!B5</f>
        <v>0.37539589931655304</v>
      </c>
    </row>
    <row r="63" spans="1:4" x14ac:dyDescent="0.3">
      <c r="A63" s="2" t="str">
        <f t="shared" si="15"/>
        <v>2025-30</v>
      </c>
      <c r="B63" s="4" t="str">
        <f t="shared" si="16"/>
        <v>Earnings Growth</v>
      </c>
      <c r="C63" s="4" t="str">
        <f t="shared" si="14"/>
        <v>Duke Energy</v>
      </c>
      <c r="D63" s="72">
        <f>(DCF!O5-DCF!J5)/DCF!J5</f>
        <v>0.27187028657616957</v>
      </c>
    </row>
    <row r="64" spans="1:4" x14ac:dyDescent="0.3">
      <c r="A64" s="2" t="str">
        <f t="shared" si="15"/>
        <v>2025-30</v>
      </c>
      <c r="B64" s="4" t="str">
        <f t="shared" si="16"/>
        <v>Earnings Growth</v>
      </c>
      <c r="C64" s="4" t="str">
        <f t="shared" si="14"/>
        <v>Dominion Energy</v>
      </c>
      <c r="D64" s="72">
        <f>(DCF!W5-DCF!R5)/DCF!R5</f>
        <v>2.0160641281024103E-2</v>
      </c>
    </row>
    <row r="65" spans="1:4" x14ac:dyDescent="0.3">
      <c r="A65" s="2" t="str">
        <f t="shared" si="15"/>
        <v>2025-30</v>
      </c>
      <c r="B65" s="4" t="str">
        <f t="shared" si="16"/>
        <v>Earnings Growth</v>
      </c>
      <c r="C65" s="4" t="str">
        <f t="shared" si="14"/>
        <v>Southern Company</v>
      </c>
      <c r="D65" s="72">
        <f>(DCF!AE5-DCF!Z5)/DCF!Z5</f>
        <v>0.31160736196319005</v>
      </c>
    </row>
    <row r="66" spans="1:4" x14ac:dyDescent="0.3">
      <c r="A66" s="2" t="str">
        <f t="shared" si="15"/>
        <v>2025-30</v>
      </c>
      <c r="B66" s="4" t="str">
        <f t="shared" si="16"/>
        <v>Earnings Growth</v>
      </c>
      <c r="C66" s="4" t="str">
        <f t="shared" si="14"/>
        <v>Xcel Energy</v>
      </c>
      <c r="D66" s="72">
        <f>(DCF!AM5-DCF!AH5)/DCF!AH5</f>
        <v>0.16614610445948233</v>
      </c>
    </row>
    <row r="67" spans="1:4" x14ac:dyDescent="0.3">
      <c r="A67" s="19" t="str">
        <f t="shared" si="15"/>
        <v>2025-30</v>
      </c>
      <c r="B67" s="60" t="str">
        <f t="shared" si="16"/>
        <v>Earnings Growth</v>
      </c>
      <c r="C67" s="60" t="str">
        <f t="shared" si="14"/>
        <v>Average</v>
      </c>
      <c r="D67" s="66">
        <f>AVERAGE(D62:D66)</f>
        <v>0.22903605871928384</v>
      </c>
    </row>
    <row r="68" spans="1:4" x14ac:dyDescent="0.3">
      <c r="A68" s="2" t="str">
        <f>A56</f>
        <v>2020-24</v>
      </c>
      <c r="B68" s="4" t="s">
        <v>113</v>
      </c>
      <c r="C68" s="4" t="str">
        <f>C62</f>
        <v>NextEra Energy</v>
      </c>
      <c r="D68" s="42">
        <f>(Financials!F9/Financials!B9)^(1/5)-1</f>
        <v>8.8128133776562478E-2</v>
      </c>
    </row>
    <row r="69" spans="1:4" x14ac:dyDescent="0.3">
      <c r="A69" s="2" t="str">
        <f t="shared" ref="A69:A73" si="17">A57</f>
        <v>2020-24</v>
      </c>
      <c r="B69" s="4" t="s">
        <v>113</v>
      </c>
      <c r="C69" s="4" t="str">
        <f t="shared" ref="C69:C73" si="18">C63</f>
        <v>Duke Energy</v>
      </c>
      <c r="D69" s="42">
        <f>(Financials!M9/Financials!I9)^(1/5)-1</f>
        <v>0.12850788984437855</v>
      </c>
    </row>
    <row r="70" spans="1:4" x14ac:dyDescent="0.3">
      <c r="A70" s="2" t="str">
        <f t="shared" si="17"/>
        <v>2020-24</v>
      </c>
      <c r="B70" s="4" t="s">
        <v>113</v>
      </c>
      <c r="C70" s="4" t="str">
        <f t="shared" si="18"/>
        <v>Dominion Energy</v>
      </c>
      <c r="D70" s="42">
        <f>(Financials!T9/Financials!P9)^(1/5)-1</f>
        <v>7.1307887224623556E-2</v>
      </c>
    </row>
    <row r="71" spans="1:4" x14ac:dyDescent="0.3">
      <c r="A71" s="2" t="str">
        <f t="shared" si="17"/>
        <v>2020-24</v>
      </c>
      <c r="B71" s="4" t="s">
        <v>113</v>
      </c>
      <c r="C71" s="4" t="str">
        <f t="shared" si="18"/>
        <v>Southern Company</v>
      </c>
      <c r="D71" s="42">
        <f>(Financials!AA9/Financials!W9)^(1/5)-1</f>
        <v>6.5431578351056618E-2</v>
      </c>
    </row>
    <row r="72" spans="1:4" x14ac:dyDescent="0.3">
      <c r="A72" s="2" t="str">
        <f t="shared" si="17"/>
        <v>2020-24</v>
      </c>
      <c r="B72" s="4" t="s">
        <v>113</v>
      </c>
      <c r="C72" s="4" t="str">
        <f t="shared" si="18"/>
        <v>Xcel Energy</v>
      </c>
      <c r="D72" s="42">
        <f>(Financials!AH9/Financials!AD9)^(1/5)-1</f>
        <v>5.2034923719079584E-2</v>
      </c>
    </row>
    <row r="73" spans="1:4" x14ac:dyDescent="0.3">
      <c r="A73" s="19" t="str">
        <f t="shared" si="17"/>
        <v>2020-24</v>
      </c>
      <c r="B73" s="60" t="s">
        <v>113</v>
      </c>
      <c r="C73" s="60" t="str">
        <f t="shared" si="18"/>
        <v>Average</v>
      </c>
      <c r="D73" s="66">
        <f>AVERAGE(D68:D72)</f>
        <v>8.1082082583140161E-2</v>
      </c>
    </row>
    <row r="74" spans="1:4" x14ac:dyDescent="0.3">
      <c r="A74" s="2" t="str">
        <f>A68</f>
        <v>2020-24</v>
      </c>
      <c r="B74" s="4" t="str">
        <f>B50</f>
        <v>Capex Intensity</v>
      </c>
      <c r="C74" s="4" t="str">
        <f>C68</f>
        <v>NextEra Energy</v>
      </c>
      <c r="D74" s="42">
        <f>D2/AVERAGE(Financials!B3:F3)</f>
        <v>0.37889961336774147</v>
      </c>
    </row>
    <row r="75" spans="1:4" x14ac:dyDescent="0.3">
      <c r="A75" s="2" t="str">
        <f t="shared" ref="A75:A78" si="19">A69</f>
        <v>2020-24</v>
      </c>
      <c r="B75" s="4" t="str">
        <f t="shared" ref="B75:B79" si="20">B51</f>
        <v>Capex Intensity</v>
      </c>
      <c r="C75" s="4" t="str">
        <f t="shared" ref="C75:C79" si="21">C69</f>
        <v>Duke Energy</v>
      </c>
      <c r="D75" s="42">
        <f>D3/AVERAGE(Financials!I3:M3)</f>
        <v>0.4073860736419978</v>
      </c>
    </row>
    <row r="76" spans="1:4" x14ac:dyDescent="0.3">
      <c r="A76" s="2" t="str">
        <f t="shared" si="19"/>
        <v>2020-24</v>
      </c>
      <c r="B76" s="4" t="str">
        <f t="shared" si="20"/>
        <v>Capex Intensity</v>
      </c>
      <c r="C76" s="4" t="str">
        <f t="shared" si="21"/>
        <v>Dominion Energy</v>
      </c>
      <c r="D76" s="42">
        <f>D52</f>
        <v>0.40000000000000013</v>
      </c>
    </row>
    <row r="77" spans="1:4" x14ac:dyDescent="0.3">
      <c r="A77" s="2" t="str">
        <f t="shared" si="19"/>
        <v>2020-24</v>
      </c>
      <c r="B77" s="4" t="str">
        <f t="shared" si="20"/>
        <v>Capex Intensity</v>
      </c>
      <c r="C77" s="4" t="str">
        <f t="shared" si="21"/>
        <v>Southern Company</v>
      </c>
      <c r="D77" s="42">
        <f t="shared" ref="D77:D78" si="22">D53</f>
        <v>0.32867312255499259</v>
      </c>
    </row>
    <row r="78" spans="1:4" x14ac:dyDescent="0.3">
      <c r="A78" s="2" t="str">
        <f t="shared" si="19"/>
        <v>2020-24</v>
      </c>
      <c r="B78" s="4" t="str">
        <f t="shared" si="20"/>
        <v>Capex Intensity</v>
      </c>
      <c r="C78" s="4" t="str">
        <f t="shared" si="21"/>
        <v>Xcel Energy</v>
      </c>
      <c r="D78" s="42">
        <f t="shared" si="22"/>
        <v>0.40446741467149627</v>
      </c>
    </row>
    <row r="79" spans="1:4" x14ac:dyDescent="0.3">
      <c r="A79" s="19" t="str">
        <f>A73</f>
        <v>2020-24</v>
      </c>
      <c r="B79" s="60" t="str">
        <f t="shared" si="20"/>
        <v>Capex Intensity</v>
      </c>
      <c r="C79" s="60" t="str">
        <f t="shared" si="21"/>
        <v>Average</v>
      </c>
      <c r="D79" s="66">
        <f>AVERAGE(D74:D78)</f>
        <v>0.38388524484724568</v>
      </c>
    </row>
    <row r="85" spans="1:4" x14ac:dyDescent="0.3">
      <c r="A85" s="19"/>
      <c r="B85" s="60"/>
      <c r="C85" s="60"/>
      <c r="D85" s="60"/>
    </row>
  </sheetData>
  <phoneticPr fontId="4"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Company Profile</vt:lpstr>
      <vt:lpstr>Financials</vt:lpstr>
      <vt:lpstr>Assumptions</vt:lpstr>
      <vt:lpstr>DCF</vt:lpstr>
      <vt:lpstr>Relative</vt:lpstr>
      <vt:lpstr>Calc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 Gupta</dc:creator>
  <cp:lastModifiedBy>Akshat Gupta</cp:lastModifiedBy>
  <dcterms:created xsi:type="dcterms:W3CDTF">2015-06-05T18:17:20Z</dcterms:created>
  <dcterms:modified xsi:type="dcterms:W3CDTF">2025-11-19T10:00:33Z</dcterms:modified>
</cp:coreProperties>
</file>