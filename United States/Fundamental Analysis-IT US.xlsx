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US\"/>
    </mc:Choice>
  </mc:AlternateContent>
  <xr:revisionPtr revIDLastSave="0" documentId="13_ncr:1_{866EA0F2-B7CE-48BC-B8B1-50985976BBB6}" xr6:coauthVersionLast="47" xr6:coauthVersionMax="47" xr10:uidLastSave="{00000000-0000-0000-0000-000000000000}"/>
  <bookViews>
    <workbookView xWindow="13728" yWindow="0" windowWidth="9408" windowHeight="12336" firstSheet="3" activeTab="3" xr2:uid="{00000000-000D-0000-FFFF-FFFF00000000}"/>
  </bookViews>
  <sheets>
    <sheet name="Company Profile" sheetId="1" r:id="rId1"/>
    <sheet name="Financials" sheetId="2" r:id="rId2"/>
    <sheet name="Assumptions &amp; WACC" sheetId="3" r:id="rId3"/>
    <sheet name="DCF" sheetId="4" r:id="rId4"/>
    <sheet name="Relative" sheetId="5" r:id="rId5"/>
    <sheet name="Calc"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3" l="1" a="1"/>
  <c r="I24" i="3" s="1"/>
  <c r="C9" i="3" s="1"/>
  <c r="AG33" i="2"/>
  <c r="AH33" i="2"/>
  <c r="AI33" i="2"/>
  <c r="AJ33" i="2"/>
  <c r="AG34" i="2"/>
  <c r="AH34" i="2"/>
  <c r="AI34" i="2"/>
  <c r="AJ34" i="2"/>
  <c r="AG35" i="2"/>
  <c r="AH35" i="2"/>
  <c r="AI35" i="2"/>
  <c r="AJ35" i="2"/>
  <c r="AG38" i="2"/>
  <c r="AH38" i="2"/>
  <c r="AI38" i="2"/>
  <c r="AJ38" i="2"/>
  <c r="AK38" i="2"/>
  <c r="AG39" i="2"/>
  <c r="AH39" i="2"/>
  <c r="AI39" i="2"/>
  <c r="AJ39" i="2"/>
  <c r="AK39" i="2"/>
  <c r="AG40" i="2"/>
  <c r="AH40" i="2"/>
  <c r="AI40" i="2"/>
  <c r="AJ40" i="2"/>
  <c r="AK40" i="2"/>
  <c r="AG41" i="2"/>
  <c r="AH41" i="2"/>
  <c r="AI41" i="2"/>
  <c r="AJ41" i="2"/>
  <c r="AK41" i="2"/>
  <c r="AF41" i="2"/>
  <c r="AF39" i="2"/>
  <c r="AF40" i="2"/>
  <c r="AF38" i="2"/>
  <c r="AF35" i="2"/>
  <c r="AF34" i="2"/>
  <c r="AF33" i="2"/>
  <c r="Y38" i="2"/>
  <c r="Z38" i="2"/>
  <c r="AA38" i="2"/>
  <c r="AB38" i="2"/>
  <c r="AC38" i="2"/>
  <c r="Y39" i="2"/>
  <c r="Z39" i="2"/>
  <c r="AA39" i="2"/>
  <c r="AB39" i="2"/>
  <c r="AC39" i="2"/>
  <c r="Y40" i="2"/>
  <c r="Z40" i="2"/>
  <c r="AA40" i="2"/>
  <c r="AB40" i="2"/>
  <c r="AC40" i="2"/>
  <c r="Y41" i="2"/>
  <c r="Z41" i="2"/>
  <c r="AA41" i="2"/>
  <c r="AB41" i="2"/>
  <c r="AC41" i="2"/>
  <c r="Y33" i="2"/>
  <c r="Z33" i="2"/>
  <c r="AA33" i="2"/>
  <c r="AB33" i="2"/>
  <c r="Y34" i="2"/>
  <c r="Z34" i="2"/>
  <c r="AA34" i="2"/>
  <c r="AB34" i="2"/>
  <c r="Y35" i="2"/>
  <c r="Z35" i="2"/>
  <c r="AA35" i="2"/>
  <c r="AB35" i="2"/>
  <c r="X41" i="2"/>
  <c r="X39" i="2"/>
  <c r="X40" i="2"/>
  <c r="X38" i="2"/>
  <c r="X35" i="2"/>
  <c r="X34" i="2"/>
  <c r="X33" i="2"/>
  <c r="AB3" i="4"/>
  <c r="AC3" i="4" s="1"/>
  <c r="AD3" i="4" s="1"/>
  <c r="AE3" i="4" s="1"/>
  <c r="AA3" i="4"/>
  <c r="Z3" i="4"/>
  <c r="N20" i="3"/>
  <c r="M20" i="3"/>
  <c r="L20" i="3"/>
  <c r="K20" i="3"/>
  <c r="J20" i="3"/>
  <c r="I20" i="3"/>
  <c r="T3" i="4"/>
  <c r="U3" i="4" s="1"/>
  <c r="V3" i="4" s="1"/>
  <c r="W3" i="4" s="1"/>
  <c r="S3" i="4"/>
  <c r="R3" i="4"/>
  <c r="P38" i="2" s="1"/>
  <c r="N19" i="3"/>
  <c r="M19" i="3"/>
  <c r="L19" i="3"/>
  <c r="K19" i="3"/>
  <c r="J19" i="3"/>
  <c r="I19" i="3"/>
  <c r="D3" i="3"/>
  <c r="Q33" i="2"/>
  <c r="R33" i="2"/>
  <c r="S33" i="2"/>
  <c r="T33" i="2"/>
  <c r="Q34" i="2"/>
  <c r="R34" i="2"/>
  <c r="S34" i="2"/>
  <c r="T34" i="2"/>
  <c r="Q35" i="2"/>
  <c r="R35" i="2"/>
  <c r="S35" i="2"/>
  <c r="T35" i="2"/>
  <c r="P35" i="2"/>
  <c r="P34" i="2"/>
  <c r="P33" i="2"/>
  <c r="AH3" i="4"/>
  <c r="C73" i="6"/>
  <c r="B73" i="6"/>
  <c r="A73" i="6"/>
  <c r="C72" i="6"/>
  <c r="B72" i="6"/>
  <c r="A72" i="6"/>
  <c r="C71" i="6"/>
  <c r="B71" i="6"/>
  <c r="A71" i="6"/>
  <c r="C70" i="6"/>
  <c r="B70" i="6"/>
  <c r="A70" i="6"/>
  <c r="C69" i="6"/>
  <c r="B69" i="6"/>
  <c r="A69" i="6"/>
  <c r="C68" i="6"/>
  <c r="B68" i="6"/>
  <c r="A68" i="6"/>
  <c r="B9" i="3" l="1"/>
  <c r="F9" i="3"/>
  <c r="E9" i="3"/>
  <c r="D9" i="3"/>
  <c r="H6" i="6"/>
  <c r="H5" i="6"/>
  <c r="H4" i="6"/>
  <c r="I12" i="6"/>
  <c r="D6" i="6"/>
  <c r="D5" i="6"/>
  <c r="D4" i="6"/>
  <c r="E26" i="5"/>
  <c r="E25" i="5"/>
  <c r="E24" i="5"/>
  <c r="D26" i="5"/>
  <c r="D25" i="5"/>
  <c r="D24" i="5"/>
  <c r="H14" i="5"/>
  <c r="H15" i="5"/>
  <c r="H16" i="5"/>
  <c r="H17" i="5"/>
  <c r="H13" i="5"/>
  <c r="F5" i="3"/>
  <c r="F6" i="3"/>
  <c r="J5" i="3"/>
  <c r="K5" i="3"/>
  <c r="L5" i="3"/>
  <c r="M5" i="3"/>
  <c r="J6" i="3"/>
  <c r="K6" i="3"/>
  <c r="L6" i="3"/>
  <c r="M6" i="3"/>
  <c r="J7" i="3"/>
  <c r="K7" i="3"/>
  <c r="L7" i="3"/>
  <c r="M7" i="3"/>
  <c r="I7" i="3"/>
  <c r="I6" i="3"/>
  <c r="I5" i="3"/>
  <c r="E6" i="3"/>
  <c r="D6" i="3"/>
  <c r="H13" i="3"/>
  <c r="H14" i="3"/>
  <c r="H15" i="3"/>
  <c r="E5" i="3"/>
  <c r="F3" i="3"/>
  <c r="E3" i="3"/>
  <c r="D16" i="3"/>
  <c r="F24" i="3"/>
  <c r="E24" i="3"/>
  <c r="D24" i="3"/>
  <c r="AJ5" i="2"/>
  <c r="AJ6" i="2" s="1"/>
  <c r="AI5" i="2"/>
  <c r="AI6" i="2" s="1"/>
  <c r="AI10" i="2" s="1"/>
  <c r="AJ21" i="2"/>
  <c r="F16" i="3" s="1"/>
  <c r="AI21" i="2"/>
  <c r="AH5" i="2"/>
  <c r="AH6" i="2" s="1"/>
  <c r="AH10" i="2" s="1"/>
  <c r="AG5" i="2"/>
  <c r="AG6" i="2" s="1"/>
  <c r="AG10" i="2" s="1"/>
  <c r="AH21" i="2"/>
  <c r="AG21" i="2"/>
  <c r="AF21" i="2"/>
  <c r="AF5" i="2"/>
  <c r="AF6" i="2" s="1"/>
  <c r="AB21" i="2"/>
  <c r="E16" i="3" s="1"/>
  <c r="AA21" i="2"/>
  <c r="AB5" i="2"/>
  <c r="AB6" i="2" s="1"/>
  <c r="AA5" i="2"/>
  <c r="AA6" i="2" s="1"/>
  <c r="AA10" i="2" s="1"/>
  <c r="Z21" i="2"/>
  <c r="Y21" i="2"/>
  <c r="Z5" i="2"/>
  <c r="Z6" i="2" s="1"/>
  <c r="Z10" i="2" s="1"/>
  <c r="Y5" i="2"/>
  <c r="X21" i="2"/>
  <c r="E13" i="3" s="1"/>
  <c r="E15" i="3" s="1"/>
  <c r="X5" i="2"/>
  <c r="X6" i="2" s="1"/>
  <c r="X10" i="2" s="1"/>
  <c r="T5" i="2"/>
  <c r="T6" i="2" s="1"/>
  <c r="T10" i="2" s="1"/>
  <c r="S5" i="2"/>
  <c r="S21" i="2"/>
  <c r="R7" i="2"/>
  <c r="Q7" i="2"/>
  <c r="P7" i="2"/>
  <c r="R5" i="2"/>
  <c r="Q5" i="2"/>
  <c r="Q6" i="2" s="1"/>
  <c r="R6" i="2"/>
  <c r="R10" i="2" s="1"/>
  <c r="Q21" i="2"/>
  <c r="D13" i="3" s="1"/>
  <c r="D15" i="3" s="1"/>
  <c r="P29" i="2"/>
  <c r="P21" i="2"/>
  <c r="P5" i="2"/>
  <c r="P6" i="2" s="1"/>
  <c r="Y6" i="2"/>
  <c r="Y10" i="2" s="1"/>
  <c r="S6" i="2"/>
  <c r="S10" i="2" s="1"/>
  <c r="D2" i="1" a="1"/>
  <c r="D2" i="1" s="1"/>
  <c r="E2" i="1" a="1"/>
  <c r="E2" i="1" s="1"/>
  <c r="F2" i="1" a="1"/>
  <c r="F2" i="1" s="1"/>
  <c r="D3" i="1" a="1"/>
  <c r="D3" i="1" s="1"/>
  <c r="R21" i="4" s="1"/>
  <c r="E3" i="1" a="1"/>
  <c r="E3" i="1" s="1"/>
  <c r="Z21" i="4" s="1"/>
  <c r="F3" i="1" a="1"/>
  <c r="F3" i="1" s="1"/>
  <c r="AH21" i="4" s="1"/>
  <c r="D4" i="1" a="1"/>
  <c r="D4" i="1" s="1"/>
  <c r="E4" i="1" a="1"/>
  <c r="E4" i="1" s="1"/>
  <c r="F4" i="1" a="1"/>
  <c r="F4" i="1" s="1"/>
  <c r="D5" i="1" a="1"/>
  <c r="D5" i="1" s="1"/>
  <c r="D6" i="1" s="1"/>
  <c r="D26" i="3" s="1"/>
  <c r="R19" i="4" s="1"/>
  <c r="E5" i="1" a="1"/>
  <c r="E5" i="1" s="1"/>
  <c r="E6" i="1" s="1"/>
  <c r="E26" i="3" s="1"/>
  <c r="Z19" i="4" s="1"/>
  <c r="F5" i="1" a="1"/>
  <c r="F5" i="1" s="1"/>
  <c r="F6" i="1" s="1"/>
  <c r="F26" i="3" s="1"/>
  <c r="AH19" i="4" s="1"/>
  <c r="D7" i="1" a="1"/>
  <c r="D7" i="1" s="1"/>
  <c r="D8" i="1" s="1"/>
  <c r="D17" i="3" s="1"/>
  <c r="E7" i="1" a="1"/>
  <c r="E7" i="1" s="1"/>
  <c r="E8" i="1" s="1"/>
  <c r="E17" i="3" s="1"/>
  <c r="F7" i="1" a="1"/>
  <c r="F7" i="1" s="1"/>
  <c r="F8" i="1" s="1"/>
  <c r="F17" i="3" s="1"/>
  <c r="D9" i="1" a="1"/>
  <c r="D9" i="1" s="1"/>
  <c r="D11" i="3" s="1"/>
  <c r="D12" i="3" s="1"/>
  <c r="E9" i="1" a="1"/>
  <c r="E9" i="1" s="1"/>
  <c r="E11" i="3" s="1"/>
  <c r="E12" i="3" s="1"/>
  <c r="F9" i="1" a="1"/>
  <c r="F9" i="1" s="1"/>
  <c r="F11" i="3" s="1"/>
  <c r="F12" i="3" s="1"/>
  <c r="D10" i="1" a="1"/>
  <c r="D10" i="1" s="1"/>
  <c r="E10" i="1" a="1"/>
  <c r="E10" i="1" s="1"/>
  <c r="F10" i="1" a="1"/>
  <c r="F10" i="1" s="1"/>
  <c r="D11" i="1" a="1"/>
  <c r="D11" i="1" s="1"/>
  <c r="E11" i="1" a="1"/>
  <c r="E11" i="1" s="1"/>
  <c r="F11" i="1" a="1"/>
  <c r="F11" i="1" s="1"/>
  <c r="AB8" i="6"/>
  <c r="AB7" i="6"/>
  <c r="R7" i="6" a="1"/>
  <c r="R7" i="6" s="1"/>
  <c r="R3" i="6" a="1"/>
  <c r="R3" i="6" s="1"/>
  <c r="R2" i="6" a="1"/>
  <c r="R2" i="6" s="1"/>
  <c r="F4" i="6"/>
  <c r="F5" i="6"/>
  <c r="F6" i="6"/>
  <c r="B67" i="6"/>
  <c r="B66" i="6"/>
  <c r="B65" i="6"/>
  <c r="B64" i="6"/>
  <c r="B63" i="6"/>
  <c r="B62" i="6"/>
  <c r="A36" i="6"/>
  <c r="A37" i="6" s="1"/>
  <c r="A35" i="6"/>
  <c r="A34" i="6"/>
  <c r="A42" i="6" s="1"/>
  <c r="A33" i="6"/>
  <c r="A41" i="6" s="1"/>
  <c r="A59" i="6" s="1"/>
  <c r="A32" i="6"/>
  <c r="A40" i="6" s="1"/>
  <c r="A58" i="6" s="1"/>
  <c r="A30" i="6"/>
  <c r="A48" i="6" s="1"/>
  <c r="A54" i="6" s="1"/>
  <c r="A66" i="6" s="1"/>
  <c r="A25" i="6"/>
  <c r="A31" i="6" s="1"/>
  <c r="A49" i="6" s="1"/>
  <c r="A55" i="6" s="1"/>
  <c r="A67" i="6" s="1"/>
  <c r="A24" i="6"/>
  <c r="A23" i="6"/>
  <c r="A29" i="6" s="1"/>
  <c r="A47" i="6" s="1"/>
  <c r="A53" i="6" s="1"/>
  <c r="A65" i="6" s="1"/>
  <c r="A22" i="6"/>
  <c r="A28" i="6" s="1"/>
  <c r="A46" i="6" s="1"/>
  <c r="A52" i="6" s="1"/>
  <c r="A64" i="6" s="1"/>
  <c r="A21" i="6"/>
  <c r="A27" i="6" s="1"/>
  <c r="A45" i="6" s="1"/>
  <c r="A51" i="6" s="1"/>
  <c r="A63" i="6" s="1"/>
  <c r="A20" i="6"/>
  <c r="A26" i="6" s="1"/>
  <c r="A44" i="6" s="1"/>
  <c r="A50" i="6" s="1"/>
  <c r="A62" i="6" s="1"/>
  <c r="C19" i="6"/>
  <c r="C25" i="6" s="1"/>
  <c r="C31" i="6" s="1"/>
  <c r="C37" i="6" s="1"/>
  <c r="C43" i="6" s="1"/>
  <c r="C49" i="6" s="1"/>
  <c r="C55" i="6" s="1"/>
  <c r="C61" i="6" s="1"/>
  <c r="C67" i="6" s="1"/>
  <c r="C13" i="6"/>
  <c r="C12" i="6"/>
  <c r="C18" i="6" s="1"/>
  <c r="C24" i="6" s="1"/>
  <c r="C30" i="6" s="1"/>
  <c r="C36" i="6" s="1"/>
  <c r="C42" i="6" s="1"/>
  <c r="C48" i="6" s="1"/>
  <c r="C54" i="6" s="1"/>
  <c r="C60" i="6" s="1"/>
  <c r="C66" i="6" s="1"/>
  <c r="C11" i="6"/>
  <c r="C17" i="6" s="1"/>
  <c r="C23" i="6" s="1"/>
  <c r="C29" i="6" s="1"/>
  <c r="C35" i="6" s="1"/>
  <c r="C41" i="6" s="1"/>
  <c r="C47" i="6" s="1"/>
  <c r="C53" i="6" s="1"/>
  <c r="C59" i="6" s="1"/>
  <c r="C65" i="6" s="1"/>
  <c r="C10" i="6"/>
  <c r="C16" i="6" s="1"/>
  <c r="C22" i="6" s="1"/>
  <c r="C28" i="6" s="1"/>
  <c r="C34" i="6" s="1"/>
  <c r="C40" i="6" s="1"/>
  <c r="C46" i="6" s="1"/>
  <c r="C52" i="6" s="1"/>
  <c r="C58" i="6" s="1"/>
  <c r="C64" i="6" s="1"/>
  <c r="F7" i="3" l="1"/>
  <c r="R17" i="4"/>
  <c r="Z17" i="4"/>
  <c r="R7" i="4"/>
  <c r="AH17" i="4"/>
  <c r="D5" i="3"/>
  <c r="R6" i="4" s="1"/>
  <c r="F13" i="3"/>
  <c r="F15" i="3" s="1"/>
  <c r="D36" i="6"/>
  <c r="F4" i="3"/>
  <c r="AJ10" i="2"/>
  <c r="G6" i="6"/>
  <c r="I6" i="6" s="1"/>
  <c r="B26" i="5"/>
  <c r="AB10" i="2"/>
  <c r="G5" i="6"/>
  <c r="I5" i="6" s="1"/>
  <c r="B25" i="5"/>
  <c r="P10" i="2"/>
  <c r="D34" i="6"/>
  <c r="D4" i="3"/>
  <c r="R4" i="4" s="1"/>
  <c r="F18" i="3"/>
  <c r="F20" i="3" s="1"/>
  <c r="E4" i="3"/>
  <c r="I15" i="3"/>
  <c r="AH8" i="4" s="1"/>
  <c r="D7" i="3"/>
  <c r="I13" i="3" s="1"/>
  <c r="R8" i="4" s="1"/>
  <c r="Q38" i="2"/>
  <c r="B24" i="5"/>
  <c r="E7" i="3"/>
  <c r="D35" i="6"/>
  <c r="G4" i="6"/>
  <c r="I4" i="6" s="1"/>
  <c r="C24" i="5"/>
  <c r="M5" i="5"/>
  <c r="M6" i="5"/>
  <c r="M7" i="5"/>
  <c r="J15" i="5"/>
  <c r="J16" i="5"/>
  <c r="J17" i="5"/>
  <c r="E18" i="3"/>
  <c r="E19" i="3" s="1"/>
  <c r="D18" i="3"/>
  <c r="D20" i="3" s="1"/>
  <c r="AF10" i="2"/>
  <c r="D42" i="6" s="1"/>
  <c r="Q10" i="2"/>
  <c r="A38" i="6"/>
  <c r="A56" i="6" s="1"/>
  <c r="A43" i="6"/>
  <c r="A60" i="6"/>
  <c r="A61" i="6" s="1"/>
  <c r="A39" i="6"/>
  <c r="A57" i="6" s="1"/>
  <c r="R5" i="4" l="1"/>
  <c r="P40" i="2" s="1"/>
  <c r="P39" i="2"/>
  <c r="F19" i="3"/>
  <c r="F21" i="3" s="1"/>
  <c r="F23" i="3" s="1"/>
  <c r="J13" i="3"/>
  <c r="S8" i="4" s="1"/>
  <c r="S7" i="4"/>
  <c r="R38" i="2"/>
  <c r="S6" i="4"/>
  <c r="S4" i="4"/>
  <c r="Z7" i="4"/>
  <c r="Z4" i="4"/>
  <c r="Z5" i="4" s="1"/>
  <c r="Z6" i="4"/>
  <c r="I14" i="3"/>
  <c r="D40" i="6"/>
  <c r="AH4" i="4"/>
  <c r="AH5" i="4" s="1"/>
  <c r="AH7" i="4"/>
  <c r="AH6" i="4"/>
  <c r="D72" i="6"/>
  <c r="D60" i="6"/>
  <c r="C26" i="5"/>
  <c r="D70" i="6"/>
  <c r="D71" i="6"/>
  <c r="D59" i="6"/>
  <c r="C25" i="5"/>
  <c r="AI3" i="4"/>
  <c r="D58" i="6"/>
  <c r="D41" i="6"/>
  <c r="M16" i="5"/>
  <c r="M15" i="5"/>
  <c r="M17" i="5"/>
  <c r="E20" i="3"/>
  <c r="E21" i="3" s="1"/>
  <c r="D19" i="3"/>
  <c r="D21" i="3" s="1"/>
  <c r="H3" i="6"/>
  <c r="H2" i="6"/>
  <c r="D3" i="6"/>
  <c r="D2" i="6"/>
  <c r="D7" i="6" s="1"/>
  <c r="H10" i="6"/>
  <c r="H12" i="6" s="1"/>
  <c r="R9" i="4" l="1"/>
  <c r="P41" i="2" s="1"/>
  <c r="S5" i="4"/>
  <c r="Q40" i="2" s="1"/>
  <c r="Q39" i="2"/>
  <c r="AH9" i="4"/>
  <c r="J14" i="3"/>
  <c r="AA8" i="4" s="1"/>
  <c r="AA7" i="4"/>
  <c r="AA4" i="4"/>
  <c r="AA5" i="4" s="1"/>
  <c r="AA6" i="4"/>
  <c r="S38" i="2"/>
  <c r="T4" i="4"/>
  <c r="K13" i="3"/>
  <c r="T8" i="4" s="1"/>
  <c r="T7" i="4"/>
  <c r="T6" i="4"/>
  <c r="AI4" i="4"/>
  <c r="AI5" i="4" s="1"/>
  <c r="AI6" i="4"/>
  <c r="AI7" i="4"/>
  <c r="J15" i="3"/>
  <c r="AI8" i="4" s="1"/>
  <c r="AJ3" i="4"/>
  <c r="Z8" i="4"/>
  <c r="Z9" i="4" s="1"/>
  <c r="S9" i="4"/>
  <c r="Q41" i="2" s="1"/>
  <c r="E23" i="3"/>
  <c r="D23" i="3"/>
  <c r="E23" i="5"/>
  <c r="E22" i="5"/>
  <c r="D23" i="5"/>
  <c r="D22" i="5"/>
  <c r="C9" i="5" a="1"/>
  <c r="C9" i="5" s="1"/>
  <c r="C3" i="5" a="1"/>
  <c r="C3" i="5" s="1"/>
  <c r="C4" i="5" a="1"/>
  <c r="C4" i="5" s="1"/>
  <c r="C5" i="5" a="1"/>
  <c r="C5" i="5" s="1"/>
  <c r="C6" i="5" a="1"/>
  <c r="C6" i="5" s="1"/>
  <c r="C7" i="5" a="1"/>
  <c r="C7" i="5" s="1"/>
  <c r="C8" i="5" a="1"/>
  <c r="C8" i="5" s="1"/>
  <c r="C11" i="5" a="1"/>
  <c r="C11" i="5" s="1"/>
  <c r="C12" i="5" a="1"/>
  <c r="C12" i="5" s="1"/>
  <c r="C13" i="5" a="1"/>
  <c r="C13" i="5" s="1"/>
  <c r="C14" i="5" a="1"/>
  <c r="C14" i="5" s="1"/>
  <c r="C15" i="5" a="1"/>
  <c r="C15" i="5" s="1"/>
  <c r="C16" i="5" a="1"/>
  <c r="C16" i="5" s="1"/>
  <c r="C17" i="5" a="1"/>
  <c r="C17" i="5" s="1"/>
  <c r="C2" i="5" a="1"/>
  <c r="C2" i="5" s="1"/>
  <c r="M7" i="2"/>
  <c r="L7" i="2"/>
  <c r="K7" i="2"/>
  <c r="J7" i="2"/>
  <c r="I7" i="2"/>
  <c r="M29" i="2"/>
  <c r="L29" i="2"/>
  <c r="M21" i="2"/>
  <c r="C16" i="3" s="1"/>
  <c r="L21" i="2"/>
  <c r="M15" i="2"/>
  <c r="L15" i="2"/>
  <c r="M5" i="2"/>
  <c r="L5" i="2"/>
  <c r="K29" i="2"/>
  <c r="J29" i="2"/>
  <c r="K21" i="2"/>
  <c r="J21" i="2"/>
  <c r="K15" i="2"/>
  <c r="J15" i="2"/>
  <c r="I29" i="2"/>
  <c r="I21" i="2"/>
  <c r="I15" i="2"/>
  <c r="K5" i="2"/>
  <c r="K6" i="2" s="1"/>
  <c r="J5" i="2"/>
  <c r="J6" i="2" s="1"/>
  <c r="J10" i="2" s="1"/>
  <c r="I5" i="2"/>
  <c r="I6" i="2" s="1"/>
  <c r="C24" i="3"/>
  <c r="B24" i="3"/>
  <c r="J3" i="3"/>
  <c r="K3" i="3"/>
  <c r="L3" i="3"/>
  <c r="M3" i="3"/>
  <c r="J4" i="3"/>
  <c r="K4" i="3"/>
  <c r="L4" i="3"/>
  <c r="M4" i="3"/>
  <c r="I4" i="3"/>
  <c r="I3" i="3"/>
  <c r="C6" i="3"/>
  <c r="C3" i="3"/>
  <c r="J3" i="4" s="1"/>
  <c r="B6" i="3"/>
  <c r="B5" i="3"/>
  <c r="B3" i="3"/>
  <c r="F21" i="2"/>
  <c r="B16" i="3" s="1"/>
  <c r="B17" i="4" s="1"/>
  <c r="E21" i="2"/>
  <c r="F5" i="2"/>
  <c r="F6" i="2" s="1"/>
  <c r="E5" i="2"/>
  <c r="D21" i="2"/>
  <c r="C21" i="2"/>
  <c r="B21" i="2"/>
  <c r="D5" i="2"/>
  <c r="D6" i="2" s="1"/>
  <c r="D10" i="2" s="1"/>
  <c r="C5" i="2"/>
  <c r="C6" i="2" s="1"/>
  <c r="C10" i="2" s="1"/>
  <c r="B5" i="2"/>
  <c r="B6" i="2" s="1"/>
  <c r="A23" i="5"/>
  <c r="A22" i="5"/>
  <c r="E19" i="5"/>
  <c r="D19" i="5"/>
  <c r="B19" i="5"/>
  <c r="C3" i="6"/>
  <c r="C9" i="6" s="1"/>
  <c r="C15" i="6" s="1"/>
  <c r="C21" i="6" s="1"/>
  <c r="C27" i="6" s="1"/>
  <c r="C33" i="6" s="1"/>
  <c r="C39" i="6" s="1"/>
  <c r="C45" i="6" s="1"/>
  <c r="C51" i="6" s="1"/>
  <c r="C57" i="6" s="1"/>
  <c r="C63" i="6" s="1"/>
  <c r="C2" i="6"/>
  <c r="C8" i="6" s="1"/>
  <c r="C14" i="6" s="1"/>
  <c r="C20" i="6" s="1"/>
  <c r="C26" i="6" s="1"/>
  <c r="C32" i="6" s="1"/>
  <c r="C38" i="6" s="1"/>
  <c r="C44" i="6" s="1"/>
  <c r="C50" i="6" s="1"/>
  <c r="C56" i="6" s="1"/>
  <c r="C62" i="6" s="1"/>
  <c r="H12" i="3"/>
  <c r="H11" i="3"/>
  <c r="M6" i="2"/>
  <c r="L6" i="2"/>
  <c r="E6" i="2"/>
  <c r="E10" i="2" s="1"/>
  <c r="T5" i="4" l="1"/>
  <c r="R40" i="2" s="1"/>
  <c r="R39" i="2"/>
  <c r="AI9" i="4"/>
  <c r="T9" i="4"/>
  <c r="R41" i="2" s="1"/>
  <c r="T38" i="2"/>
  <c r="U4" i="4"/>
  <c r="L13" i="3"/>
  <c r="U8" i="4" s="1"/>
  <c r="U7" i="4"/>
  <c r="U6" i="4"/>
  <c r="D32" i="6"/>
  <c r="K14" i="3"/>
  <c r="AB8" i="4" s="1"/>
  <c r="AB7" i="4"/>
  <c r="AB4" i="4"/>
  <c r="AB5" i="4" s="1"/>
  <c r="AB6" i="4"/>
  <c r="C5" i="3"/>
  <c r="J6" i="4" s="1"/>
  <c r="AA9" i="4"/>
  <c r="AK3" i="4"/>
  <c r="AJ4" i="4"/>
  <c r="AJ5" i="4" s="1"/>
  <c r="AJ6" i="4"/>
  <c r="K15" i="3"/>
  <c r="AJ8" i="4" s="1"/>
  <c r="AJ7" i="4"/>
  <c r="D33" i="6"/>
  <c r="I6" i="5"/>
  <c r="I5" i="5"/>
  <c r="I7" i="5"/>
  <c r="K6" i="5"/>
  <c r="K5" i="5"/>
  <c r="K7" i="5"/>
  <c r="L6" i="5"/>
  <c r="L7" i="5"/>
  <c r="L5" i="5"/>
  <c r="J17" i="4"/>
  <c r="F3" i="6"/>
  <c r="F2" i="6"/>
  <c r="L10" i="2"/>
  <c r="B13" i="3"/>
  <c r="B15" i="3" s="1"/>
  <c r="C13" i="3"/>
  <c r="C15" i="3" s="1"/>
  <c r="R8" i="6" a="1"/>
  <c r="R8" i="6" s="1"/>
  <c r="K10" i="2"/>
  <c r="J7" i="4"/>
  <c r="K3" i="4"/>
  <c r="F10" i="2"/>
  <c r="G2" i="6"/>
  <c r="I2" i="6" s="1"/>
  <c r="B22" i="5"/>
  <c r="M10" i="2"/>
  <c r="G3" i="6"/>
  <c r="I3" i="6" s="1"/>
  <c r="B10" i="2"/>
  <c r="B23" i="5"/>
  <c r="B7" i="3"/>
  <c r="B4" i="3"/>
  <c r="B3" i="4"/>
  <c r="I10" i="2"/>
  <c r="C7" i="3"/>
  <c r="C4" i="3"/>
  <c r="J4" i="4" s="1"/>
  <c r="C19" i="5"/>
  <c r="U5" i="4" l="1"/>
  <c r="S40" i="2" s="1"/>
  <c r="S39" i="2"/>
  <c r="U9" i="4"/>
  <c r="S41" i="2" s="1"/>
  <c r="I7" i="6"/>
  <c r="AJ9" i="4"/>
  <c r="D68" i="6"/>
  <c r="D56" i="6"/>
  <c r="AC6" i="4"/>
  <c r="L14" i="3"/>
  <c r="AC8" i="4" s="1"/>
  <c r="AC7" i="4"/>
  <c r="AC4" i="4"/>
  <c r="AC5" i="4" s="1"/>
  <c r="AL3" i="4"/>
  <c r="AK4" i="4"/>
  <c r="AK5" i="4" s="1"/>
  <c r="AK6" i="4"/>
  <c r="L15" i="3"/>
  <c r="AK8" i="4" s="1"/>
  <c r="AK7" i="4"/>
  <c r="D37" i="6"/>
  <c r="U38" i="2"/>
  <c r="V6" i="4"/>
  <c r="V4" i="4"/>
  <c r="M13" i="3"/>
  <c r="V8" i="4" s="1"/>
  <c r="V7" i="4"/>
  <c r="D38" i="6"/>
  <c r="D43" i="6" s="1"/>
  <c r="D69" i="6"/>
  <c r="D57" i="6"/>
  <c r="D39" i="6"/>
  <c r="AB9" i="4"/>
  <c r="J6" i="5"/>
  <c r="I16" i="5" s="1"/>
  <c r="J7" i="5"/>
  <c r="I17" i="5" s="1"/>
  <c r="J5" i="5"/>
  <c r="I15" i="5" s="1"/>
  <c r="R9" i="6" a="1"/>
  <c r="R9" i="6" s="1"/>
  <c r="R4" i="6" a="1"/>
  <c r="R4" i="6" s="1"/>
  <c r="J5" i="4"/>
  <c r="C22" i="5"/>
  <c r="B4" i="4"/>
  <c r="C3" i="4"/>
  <c r="I11" i="3"/>
  <c r="B8" i="4" s="1"/>
  <c r="B6" i="4"/>
  <c r="B7" i="4"/>
  <c r="K4" i="4"/>
  <c r="K5" i="4" s="1"/>
  <c r="K6" i="4"/>
  <c r="K7" i="4"/>
  <c r="C23" i="5"/>
  <c r="J12" i="3"/>
  <c r="L3" i="4"/>
  <c r="I12" i="3"/>
  <c r="V5" i="4" l="1"/>
  <c r="T40" i="2" s="1"/>
  <c r="T39" i="2"/>
  <c r="AC9" i="4"/>
  <c r="AK9" i="4"/>
  <c r="D47" i="6"/>
  <c r="AD6" i="4"/>
  <c r="M14" i="3"/>
  <c r="AD8" i="4" s="1"/>
  <c r="AD7" i="4"/>
  <c r="AD4" i="4"/>
  <c r="AD5" i="4" s="1"/>
  <c r="J8" i="4"/>
  <c r="J9" i="4" s="1"/>
  <c r="V9" i="4"/>
  <c r="T41" i="2" s="1"/>
  <c r="AM3" i="4"/>
  <c r="D48" i="6" s="1"/>
  <c r="AL7" i="4"/>
  <c r="AL4" i="4"/>
  <c r="AL5" i="4" s="1"/>
  <c r="AL6" i="4"/>
  <c r="M15" i="3"/>
  <c r="AL8" i="4" s="1"/>
  <c r="D61" i="6"/>
  <c r="H13" i="6" s="1"/>
  <c r="D73" i="6"/>
  <c r="K8" i="4"/>
  <c r="W6" i="4"/>
  <c r="L4" i="6" s="1"/>
  <c r="W4" i="4"/>
  <c r="U39" i="2" s="1"/>
  <c r="N13" i="3"/>
  <c r="W8" i="4" s="1"/>
  <c r="W7" i="4"/>
  <c r="D46" i="6"/>
  <c r="K15" i="5"/>
  <c r="L15" i="5"/>
  <c r="N15" i="5" s="1"/>
  <c r="K17" i="5"/>
  <c r="L17" i="5"/>
  <c r="N17" i="5" s="1"/>
  <c r="K16" i="5"/>
  <c r="L16" i="5"/>
  <c r="N16" i="5" s="1"/>
  <c r="K12" i="3"/>
  <c r="L8" i="4" s="1"/>
  <c r="J11" i="3"/>
  <c r="C8" i="4" s="1"/>
  <c r="C7" i="4"/>
  <c r="C4" i="4"/>
  <c r="C5" i="4" s="1"/>
  <c r="C6" i="4"/>
  <c r="D3" i="4"/>
  <c r="B5" i="4"/>
  <c r="M3" i="4"/>
  <c r="L7" i="4"/>
  <c r="L4" i="4"/>
  <c r="L5" i="4" s="1"/>
  <c r="L6" i="4"/>
  <c r="K9" i="4"/>
  <c r="J4" i="6" l="1"/>
  <c r="W5" i="4"/>
  <c r="U40" i="2" s="1"/>
  <c r="AM4" i="4"/>
  <c r="AM7" i="4"/>
  <c r="AM6" i="4"/>
  <c r="L6" i="6" s="1"/>
  <c r="N15" i="3"/>
  <c r="AM8" i="4" s="1"/>
  <c r="AE6" i="4"/>
  <c r="L5" i="6" s="1"/>
  <c r="N14" i="3"/>
  <c r="AE8" i="4" s="1"/>
  <c r="AE7" i="4"/>
  <c r="D17" i="6" s="1"/>
  <c r="D23" i="6" s="1"/>
  <c r="D29" i="6" s="1"/>
  <c r="AE4" i="4"/>
  <c r="D16" i="6"/>
  <c r="D22" i="6" s="1"/>
  <c r="D28" i="6" s="1"/>
  <c r="D10" i="6"/>
  <c r="AD9" i="4"/>
  <c r="AL9" i="4"/>
  <c r="B9" i="4"/>
  <c r="N3" i="4"/>
  <c r="M7" i="4"/>
  <c r="M4" i="4"/>
  <c r="M6" i="4"/>
  <c r="L12" i="3"/>
  <c r="M8" i="4" s="1"/>
  <c r="C9" i="4"/>
  <c r="L9" i="4"/>
  <c r="E3" i="4"/>
  <c r="D6" i="4"/>
  <c r="D7" i="4"/>
  <c r="K11" i="3"/>
  <c r="D8" i="4" s="1"/>
  <c r="D4" i="4"/>
  <c r="D5" i="4" s="1"/>
  <c r="D11" i="6" l="1"/>
  <c r="K5" i="6" s="1"/>
  <c r="M5" i="6" s="1"/>
  <c r="D18" i="6"/>
  <c r="D24" i="6" s="1"/>
  <c r="D30" i="6" s="1"/>
  <c r="D12" i="6"/>
  <c r="J5" i="6"/>
  <c r="AE5" i="4"/>
  <c r="J6" i="6"/>
  <c r="AM5" i="4"/>
  <c r="W9" i="4"/>
  <c r="U41" i="2" s="1"/>
  <c r="D64" i="6"/>
  <c r="K4" i="6"/>
  <c r="M4" i="6" s="1"/>
  <c r="N4" i="6" s="1"/>
  <c r="O4" i="6" s="1"/>
  <c r="D52" i="6"/>
  <c r="D53" i="6"/>
  <c r="O3" i="4"/>
  <c r="N7" i="4"/>
  <c r="N4" i="4"/>
  <c r="N6" i="4"/>
  <c r="M12" i="3"/>
  <c r="N8" i="4" s="1"/>
  <c r="D9" i="4"/>
  <c r="E6" i="4"/>
  <c r="E7" i="4"/>
  <c r="E4" i="4"/>
  <c r="F3" i="4"/>
  <c r="L11" i="3"/>
  <c r="E8" i="4" s="1"/>
  <c r="M5" i="4"/>
  <c r="R18" i="6" l="1" a="1"/>
  <c r="R18" i="6" s="1"/>
  <c r="D45" i="6"/>
  <c r="N5" i="6"/>
  <c r="O5" i="6" s="1"/>
  <c r="K6" i="6"/>
  <c r="M6" i="6" s="1"/>
  <c r="N6" i="6" s="1"/>
  <c r="O6" i="6" s="1"/>
  <c r="D54" i="6"/>
  <c r="AE9" i="4"/>
  <c r="D65" i="6"/>
  <c r="D66" i="6"/>
  <c r="AM9" i="4"/>
  <c r="R13" i="4"/>
  <c r="R14" i="4" s="1"/>
  <c r="R15" i="4"/>
  <c r="N5" i="4"/>
  <c r="N9" i="4" s="1"/>
  <c r="F6" i="4"/>
  <c r="F7" i="4"/>
  <c r="F4" i="4"/>
  <c r="F5" i="4" s="1"/>
  <c r="G3" i="4"/>
  <c r="M11" i="3"/>
  <c r="F8" i="4" s="1"/>
  <c r="O7" i="4"/>
  <c r="O4" i="4"/>
  <c r="R19" i="6" s="1" a="1"/>
  <c r="R19" i="6" s="1"/>
  <c r="O6" i="4"/>
  <c r="L3" i="6" s="1"/>
  <c r="N12" i="3"/>
  <c r="O8" i="4" s="1"/>
  <c r="E5" i="4"/>
  <c r="M9" i="4"/>
  <c r="R16" i="4" l="1"/>
  <c r="R18" i="4" s="1"/>
  <c r="R20" i="4" s="1"/>
  <c r="R22" i="4" s="1"/>
  <c r="Z13" i="4"/>
  <c r="Z14" i="4" s="1"/>
  <c r="Z15" i="4"/>
  <c r="D15" i="6"/>
  <c r="D21" i="6" s="1"/>
  <c r="D27" i="6" s="1"/>
  <c r="D9" i="6"/>
  <c r="F9" i="4"/>
  <c r="AH13" i="4"/>
  <c r="AH14" i="4" s="1"/>
  <c r="AH15" i="4"/>
  <c r="R12" i="6" a="1"/>
  <c r="R12" i="6" s="1"/>
  <c r="D44" i="6"/>
  <c r="D49" i="6" s="1"/>
  <c r="E9" i="4"/>
  <c r="N11" i="3"/>
  <c r="G8" i="4" s="1"/>
  <c r="G6" i="4"/>
  <c r="L2" i="6" s="1"/>
  <c r="G7" i="4"/>
  <c r="G4" i="4"/>
  <c r="J3" i="6"/>
  <c r="O5" i="4"/>
  <c r="AH16" i="4" l="1"/>
  <c r="AH18" i="4" s="1"/>
  <c r="AH20" i="4" s="1"/>
  <c r="AH22" i="4" s="1"/>
  <c r="D14" i="6"/>
  <c r="D8" i="6"/>
  <c r="K3" i="6"/>
  <c r="M3" i="6" s="1"/>
  <c r="N3" i="6" s="1"/>
  <c r="O3" i="6" s="1"/>
  <c r="D51" i="6"/>
  <c r="R20" i="6" a="1"/>
  <c r="R20" i="6" s="1"/>
  <c r="D63" i="6"/>
  <c r="Z16" i="4"/>
  <c r="Z18" i="4" s="1"/>
  <c r="Z20" i="4" s="1"/>
  <c r="Z22" i="4" s="1"/>
  <c r="R13" i="6" a="1"/>
  <c r="R13" i="6" s="1"/>
  <c r="O9" i="4"/>
  <c r="R21" i="6" s="1" a="1"/>
  <c r="R21" i="6" s="1"/>
  <c r="J2" i="6"/>
  <c r="G5" i="4"/>
  <c r="D62" i="6" s="1"/>
  <c r="D67" i="6" s="1"/>
  <c r="I13" i="6" s="1"/>
  <c r="C2" i="1" a="1"/>
  <c r="C2" i="1" s="1"/>
  <c r="C3" i="1" a="1"/>
  <c r="C3" i="1" s="1"/>
  <c r="J21" i="4" s="1"/>
  <c r="AE8" i="6" s="1"/>
  <c r="C4" i="1" a="1"/>
  <c r="C4" i="1" s="1"/>
  <c r="C5" i="1" a="1"/>
  <c r="C5" i="1" s="1"/>
  <c r="C6" i="1" s="1"/>
  <c r="C26" i="3" s="1"/>
  <c r="M4" i="5" s="1"/>
  <c r="C7" i="1" a="1"/>
  <c r="C7" i="1" s="1"/>
  <c r="C8" i="1" s="1"/>
  <c r="C17" i="3" s="1"/>
  <c r="C18" i="3" s="1"/>
  <c r="C9" i="1" a="1"/>
  <c r="C9" i="1" s="1"/>
  <c r="C11" i="3" s="1"/>
  <c r="C12" i="3" s="1"/>
  <c r="AC8" i="6" s="1"/>
  <c r="C10" i="1" a="1"/>
  <c r="C10" i="1" s="1"/>
  <c r="C11" i="1" a="1"/>
  <c r="C11" i="1" s="1"/>
  <c r="B11" i="1" a="1"/>
  <c r="B11" i="1" s="1"/>
  <c r="B10" i="1" a="1"/>
  <c r="B10" i="1" s="1"/>
  <c r="B9" i="1" a="1"/>
  <c r="B9" i="1" s="1"/>
  <c r="B11" i="3" s="1"/>
  <c r="B7" i="1" a="1"/>
  <c r="B7" i="1" s="1"/>
  <c r="B8" i="1" s="1"/>
  <c r="B17" i="3" s="1"/>
  <c r="B18" i="3" s="1"/>
  <c r="B5" i="1" a="1"/>
  <c r="B5" i="1" s="1"/>
  <c r="B6" i="1" s="1"/>
  <c r="B26" i="3" s="1"/>
  <c r="M3" i="5" s="1"/>
  <c r="B4" i="1" a="1"/>
  <c r="B4" i="1" s="1"/>
  <c r="B3" i="1" a="1"/>
  <c r="B3" i="1" s="1"/>
  <c r="B2" i="1" a="1"/>
  <c r="B2" i="1" s="1"/>
  <c r="K2" i="6" l="1"/>
  <c r="D13" i="6"/>
  <c r="D50" i="6"/>
  <c r="D55" i="6" s="1"/>
  <c r="D20" i="6"/>
  <c r="D19" i="6"/>
  <c r="B12" i="3"/>
  <c r="L3" i="5"/>
  <c r="K3" i="5"/>
  <c r="I3" i="5"/>
  <c r="J3" i="5"/>
  <c r="I4" i="5"/>
  <c r="L4" i="5"/>
  <c r="K4" i="5"/>
  <c r="J4" i="5"/>
  <c r="R14" i="6" a="1"/>
  <c r="R14" i="6" s="1"/>
  <c r="J14" i="5"/>
  <c r="M14" i="5" s="1"/>
  <c r="M2" i="6"/>
  <c r="N2" i="6" s="1"/>
  <c r="N7" i="6" s="1"/>
  <c r="G9" i="4"/>
  <c r="R15" i="6" s="1" a="1"/>
  <c r="R15" i="6" s="1"/>
  <c r="B21" i="4"/>
  <c r="AE7" i="6" s="1"/>
  <c r="J13" i="5"/>
  <c r="M13" i="5" s="1"/>
  <c r="B19" i="4"/>
  <c r="J19" i="4"/>
  <c r="C20" i="3"/>
  <c r="C19" i="3"/>
  <c r="B20" i="3"/>
  <c r="B19" i="3"/>
  <c r="D26" i="6" l="1"/>
  <c r="D31" i="6" s="1"/>
  <c r="D25" i="6"/>
  <c r="AC7" i="6"/>
  <c r="I14" i="5"/>
  <c r="L14" i="5" s="1"/>
  <c r="N14" i="5" s="1"/>
  <c r="I13" i="5"/>
  <c r="L13" i="5" s="1"/>
  <c r="N13" i="5" s="1"/>
  <c r="O2" i="6"/>
  <c r="O7" i="6" s="1"/>
  <c r="B21" i="3"/>
  <c r="C21" i="3"/>
  <c r="AA8" i="6" s="1"/>
  <c r="AA7" i="6" l="1"/>
  <c r="K14" i="5"/>
  <c r="K13" i="5"/>
  <c r="B15" i="4"/>
  <c r="B13" i="4"/>
  <c r="B23" i="3"/>
  <c r="C23" i="3"/>
  <c r="J15" i="4"/>
  <c r="J13" i="4"/>
  <c r="B14" i="4" l="1"/>
  <c r="B16" i="4" s="1"/>
  <c r="B18" i="4" s="1"/>
  <c r="B20" i="4" s="1"/>
  <c r="AD7" i="6" s="1"/>
  <c r="AF7" i="6" s="1"/>
  <c r="J14" i="4"/>
  <c r="J16" i="4" s="1"/>
  <c r="J18" i="4" s="1"/>
  <c r="J20" i="4" s="1"/>
  <c r="AD8" i="6" s="1"/>
  <c r="AF8" i="6" s="1"/>
  <c r="J22" i="4" l="1"/>
  <c r="B2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8">
    <bk>
      <extLst>
        <ext uri="{3e2802c4-a4d2-4d8b-9148-e3be6c30e623}">
          <xlrd:rvb i="2"/>
        </ext>
      </extLst>
    </bk>
    <bk>
      <extLst>
        <ext uri="{3e2802c4-a4d2-4d8b-9148-e3be6c30e623}">
          <xlrd:rvb i="9"/>
        </ext>
      </extLst>
    </bk>
    <bk>
      <extLst>
        <ext uri="{3e2802c4-a4d2-4d8b-9148-e3be6c30e623}">
          <xlrd:rvb i="12"/>
        </ext>
      </extLst>
    </bk>
    <bk>
      <extLst>
        <ext uri="{3e2802c4-a4d2-4d8b-9148-e3be6c30e623}">
          <xlrd:rvb i="18"/>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futureMetadata>
  <cellMetadata count="1">
    <bk>
      <rc t="1" v="0"/>
    </bk>
  </cellMetadata>
  <valueMetadata count="1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valueMetadata>
</metadata>
</file>

<file path=xl/sharedStrings.xml><?xml version="1.0" encoding="utf-8"?>
<sst xmlns="http://schemas.openxmlformats.org/spreadsheetml/2006/main" count="640" uniqueCount="137">
  <si>
    <t>Company</t>
  </si>
  <si>
    <t>Official name</t>
  </si>
  <si>
    <t>Share price</t>
  </si>
  <si>
    <t>Change (%)</t>
  </si>
  <si>
    <t>Shares outstanding</t>
  </si>
  <si>
    <t>in mn</t>
  </si>
  <si>
    <t>Market cap</t>
  </si>
  <si>
    <t>Beta</t>
  </si>
  <si>
    <t>P/E</t>
  </si>
  <si>
    <t>Year</t>
  </si>
  <si>
    <t>INCOME STATEMENT</t>
  </si>
  <si>
    <t>Particulars</t>
  </si>
  <si>
    <t>2020</t>
  </si>
  <si>
    <t>2021</t>
  </si>
  <si>
    <t>2022</t>
  </si>
  <si>
    <t>2023</t>
  </si>
  <si>
    <t>2024</t>
  </si>
  <si>
    <t>Revenue</t>
  </si>
  <si>
    <t>Cost of sales</t>
  </si>
  <si>
    <t>Opex</t>
  </si>
  <si>
    <t>Operating income (EBIT)</t>
  </si>
  <si>
    <t>Depreciation &amp; Amortization</t>
  </si>
  <si>
    <t>Interest expense</t>
  </si>
  <si>
    <t>Income tax</t>
  </si>
  <si>
    <t>Net income</t>
  </si>
  <si>
    <t>BALANCE SHEET</t>
  </si>
  <si>
    <t>Cash &amp; Cash equivalents</t>
  </si>
  <si>
    <t>Accounts receivables</t>
  </si>
  <si>
    <t>Inventories</t>
  </si>
  <si>
    <t>Total current assets</t>
  </si>
  <si>
    <t>PPE</t>
  </si>
  <si>
    <t>Accounts payables</t>
  </si>
  <si>
    <t>Total current liabilities</t>
  </si>
  <si>
    <t>Total debt</t>
  </si>
  <si>
    <t>Shareholder's equity</t>
  </si>
  <si>
    <t>CASH FLOW STATEMENT</t>
  </si>
  <si>
    <t>Cash flow from operating activities</t>
  </si>
  <si>
    <t>Capex</t>
  </si>
  <si>
    <t>Dividends paid</t>
  </si>
  <si>
    <t>Debt repaid</t>
  </si>
  <si>
    <t>Accenture</t>
  </si>
  <si>
    <t>IBM</t>
  </si>
  <si>
    <t>Assumptions</t>
  </si>
  <si>
    <t>Metric</t>
  </si>
  <si>
    <t>Current</t>
  </si>
  <si>
    <t>Revenue CAGR</t>
  </si>
  <si>
    <t>Operating margin (EBIT)</t>
  </si>
  <si>
    <t>Depreciation rate</t>
  </si>
  <si>
    <t>CapEx</t>
  </si>
  <si>
    <t>Forecast</t>
  </si>
  <si>
    <t>2025</t>
  </si>
  <si>
    <t>2026</t>
  </si>
  <si>
    <t>2027</t>
  </si>
  <si>
    <t>2028</t>
  </si>
  <si>
    <t>2029</t>
  </si>
  <si>
    <t>2030</t>
  </si>
  <si>
    <t>Working capital</t>
  </si>
  <si>
    <t>Forecast horizon (yrs)</t>
  </si>
  <si>
    <t>Risk-free rate</t>
  </si>
  <si>
    <t>Equity risk premium</t>
  </si>
  <si>
    <t>Cost of equity</t>
  </si>
  <si>
    <t>Kd (pre-tax)</t>
  </si>
  <si>
    <t>Tax rate</t>
  </si>
  <si>
    <t>Kd (after tax)</t>
  </si>
  <si>
    <t>Total capital</t>
  </si>
  <si>
    <t>Debt weight</t>
  </si>
  <si>
    <t>Equity weight</t>
  </si>
  <si>
    <t>WACC</t>
  </si>
  <si>
    <t>Terminal year</t>
  </si>
  <si>
    <t>PV discount rate (terminal year)</t>
  </si>
  <si>
    <t>Cash &amp; cash equivalents</t>
  </si>
  <si>
    <t>Terminal growth rate</t>
  </si>
  <si>
    <t>Shares Outstanding</t>
  </si>
  <si>
    <t>DCF</t>
  </si>
  <si>
    <t>EBIT</t>
  </si>
  <si>
    <t>NOPAT</t>
  </si>
  <si>
    <t>Depreciation</t>
  </si>
  <si>
    <t xml:space="preserve"> Change in Working capital</t>
  </si>
  <si>
    <t>FCFF</t>
  </si>
  <si>
    <t>Metrics</t>
  </si>
  <si>
    <t>Value</t>
  </si>
  <si>
    <t>Terminal Value</t>
  </si>
  <si>
    <t>PV of Terminal value</t>
  </si>
  <si>
    <t>PV of FCFF</t>
  </si>
  <si>
    <t>Total enterprise value</t>
  </si>
  <si>
    <t>Net debt</t>
  </si>
  <si>
    <t>Total equity value</t>
  </si>
  <si>
    <t>Outstanding shares</t>
  </si>
  <si>
    <t>Intrinsic value</t>
  </si>
  <si>
    <t>Current market price</t>
  </si>
  <si>
    <t>Upside/Downside</t>
  </si>
  <si>
    <t>EV/EBITDA</t>
  </si>
  <si>
    <t>P/S</t>
  </si>
  <si>
    <t>P/B</t>
  </si>
  <si>
    <t>Target Price</t>
  </si>
  <si>
    <t>CMP</t>
  </si>
  <si>
    <t>U/D</t>
  </si>
  <si>
    <t>Average</t>
  </si>
  <si>
    <t>EBITDA</t>
  </si>
  <si>
    <t>Net Income</t>
  </si>
  <si>
    <t>Book Value</t>
  </si>
  <si>
    <t>WC-Accenture</t>
  </si>
  <si>
    <t>WC-IBM</t>
  </si>
  <si>
    <t>Change in EBIT (historical)</t>
  </si>
  <si>
    <t>Change in CE</t>
  </si>
  <si>
    <t>Incremental ROCE (Historical)</t>
  </si>
  <si>
    <t>Change in EBIT (Forecast)</t>
  </si>
  <si>
    <t>Effective capital</t>
  </si>
  <si>
    <t>Raw ROCE</t>
  </si>
  <si>
    <t>Adjusted ROCE (Forecast)</t>
  </si>
  <si>
    <t>2020-24</t>
  </si>
  <si>
    <t>Avg Capex</t>
  </si>
  <si>
    <t>2025-30</t>
  </si>
  <si>
    <t>Capex CAGR</t>
  </si>
  <si>
    <t>GDP</t>
  </si>
  <si>
    <t>Earnings CAGR</t>
  </si>
  <si>
    <t>Change</t>
  </si>
  <si>
    <t>Sensitivity</t>
  </si>
  <si>
    <t>Earnings Growth</t>
  </si>
  <si>
    <t>EBITDA Margin</t>
  </si>
  <si>
    <t>NPM</t>
  </si>
  <si>
    <t>Operating income</t>
  </si>
  <si>
    <t>Terminal growth</t>
  </si>
  <si>
    <t>Intrinsic Value</t>
  </si>
  <si>
    <t>Avg Revenue (Exp)</t>
  </si>
  <si>
    <t>Capex Intensity</t>
  </si>
  <si>
    <t>Alphabet</t>
  </si>
  <si>
    <t>Microsoft</t>
  </si>
  <si>
    <t>Oracle</t>
  </si>
  <si>
    <t>Total assets</t>
  </si>
  <si>
    <t>WC-Alphabet</t>
  </si>
  <si>
    <t>WC-Microsoft</t>
  </si>
  <si>
    <t>WC-Oracle</t>
  </si>
  <si>
    <t>Share</t>
  </si>
  <si>
    <t>Mcap (TP)</t>
  </si>
  <si>
    <t>Mcap (CMP)</t>
  </si>
  <si>
    <t>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</si>
</sst>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409]* #,##0.00_);_([$$-409]* \(#,##0.00\);_([$$-409]* &quot;-&quot;??_);_(@_)"/>
    <numFmt numFmtId="165" formatCode="_([$$-409]* #,##0_);_([$$-409]* \(#,##0\);_([$$-409]* &quot;-&quot;_);_(@_)"/>
    <numFmt numFmtId="166" formatCode="_-[$$-409]* #,##0.00_ ;_-[$$-409]* \-#,##0.00\ ;_-[$$-409]* &quot;-&quot;??_ ;_-@_ "/>
  </numFmts>
  <fonts count="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
      <sz val="11"/>
      <color theme="0"/>
      <name val="Calibri"/>
      <family val="2"/>
      <scheme val="minor"/>
    </font>
  </fonts>
  <fills count="8">
    <fill>
      <patternFill patternType="none"/>
    </fill>
    <fill>
      <patternFill patternType="gray125"/>
    </fill>
    <fill>
      <patternFill patternType="solid">
        <fgColor theme="1"/>
        <bgColor indexed="64"/>
      </patternFill>
    </fill>
    <fill>
      <patternFill patternType="solid">
        <fgColor rgb="FF0070C0"/>
        <bgColor indexed="64"/>
      </patternFill>
    </fill>
    <fill>
      <patternFill patternType="solid">
        <fgColor theme="0" tint="-4.9989318521683403E-2"/>
        <bgColor indexed="64"/>
      </patternFill>
    </fill>
    <fill>
      <patternFill patternType="solid">
        <fgColor theme="8" tint="0.79998168889431442"/>
        <bgColor theme="8" tint="0.79998168889431442"/>
      </patternFill>
    </fill>
    <fill>
      <patternFill patternType="solid">
        <fgColor theme="8" tint="0.59999389629810485"/>
        <bgColor theme="8" tint="0.59999389629810485"/>
      </patternFill>
    </fill>
    <fill>
      <patternFill patternType="solid">
        <fgColor theme="8"/>
        <bgColor theme="8"/>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8">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right" vertical="center"/>
    </xf>
    <xf numFmtId="0" fontId="0" fillId="0" borderId="1" xfId="0" applyBorder="1" applyAlignment="1">
      <alignment vertical="center" wrapText="1"/>
    </xf>
    <xf numFmtId="0" fontId="0" fillId="0" borderId="1" xfId="0" applyBorder="1" applyAlignment="1">
      <alignment horizontal="right" vertical="center" wrapText="1"/>
    </xf>
    <xf numFmtId="0" fontId="0" fillId="0" borderId="1" xfId="0" applyBorder="1" applyAlignment="1">
      <alignment vertical="center"/>
    </xf>
    <xf numFmtId="164" fontId="0" fillId="0" borderId="1" xfId="0" applyNumberFormat="1" applyBorder="1" applyAlignment="1">
      <alignment horizontal="right" vertical="center"/>
    </xf>
    <xf numFmtId="10" fontId="0" fillId="0" borderId="1" xfId="0" applyNumberFormat="1" applyBorder="1" applyAlignment="1">
      <alignment horizontal="right" vertical="center"/>
    </xf>
    <xf numFmtId="3" fontId="0" fillId="0" borderId="1" xfId="0" applyNumberFormat="1" applyBorder="1" applyAlignment="1">
      <alignment horizontal="right" vertical="center"/>
    </xf>
    <xf numFmtId="43" fontId="0" fillId="0" borderId="1" xfId="1" applyFont="1" applyBorder="1" applyAlignment="1">
      <alignment horizontal="right" vertical="center"/>
    </xf>
    <xf numFmtId="165" fontId="0" fillId="0" borderId="1" xfId="0" applyNumberFormat="1" applyBorder="1" applyAlignment="1">
      <alignment horizontal="right" vertical="center"/>
    </xf>
    <xf numFmtId="166" fontId="0" fillId="0" borderId="1" xfId="0" applyNumberFormat="1" applyBorder="1" applyAlignment="1">
      <alignment horizontal="right" vertical="center"/>
    </xf>
    <xf numFmtId="4" fontId="0" fillId="0" borderId="1" xfId="0" applyNumberFormat="1" applyBorder="1" applyAlignment="1">
      <alignment horizontal="right" vertical="center"/>
    </xf>
    <xf numFmtId="1" fontId="0" fillId="0" borderId="1" xfId="0" applyNumberFormat="1" applyBorder="1" applyAlignment="1">
      <alignment horizontal="right" vertical="center"/>
    </xf>
    <xf numFmtId="0" fontId="2" fillId="2" borderId="2" xfId="0" applyFont="1" applyFill="1" applyBorder="1" applyAlignment="1">
      <alignment vertical="center" wrapText="1"/>
    </xf>
    <xf numFmtId="0" fontId="2" fillId="2" borderId="3" xfId="0" applyFont="1" applyFill="1" applyBorder="1" applyAlignment="1">
      <alignment horizontal="right" vertical="center" wrapText="1"/>
    </xf>
    <xf numFmtId="0" fontId="2" fillId="2" borderId="4" xfId="0" applyFont="1" applyFill="1" applyBorder="1" applyAlignment="1">
      <alignment horizontal="right" vertical="center" wrapText="1"/>
    </xf>
    <xf numFmtId="0" fontId="3" fillId="0" borderId="0" xfId="0" applyFont="1" applyAlignment="1">
      <alignment vertical="center"/>
    </xf>
    <xf numFmtId="0" fontId="3" fillId="0" borderId="0" xfId="0" applyFont="1" applyAlignment="1">
      <alignment horizontal="center" vertical="center"/>
    </xf>
    <xf numFmtId="0" fontId="0" fillId="0" borderId="0" xfId="0" applyAlignment="1">
      <alignment horizontal="center" vertical="center"/>
    </xf>
    <xf numFmtId="43" fontId="0" fillId="0" borderId="0" xfId="1" applyFont="1" applyAlignment="1">
      <alignment horizontal="right" vertical="center"/>
    </xf>
    <xf numFmtId="43" fontId="3" fillId="0" borderId="0" xfId="1" applyFont="1" applyAlignment="1">
      <alignment horizontal="right" vertical="center"/>
    </xf>
    <xf numFmtId="0" fontId="2" fillId="3" borderId="3" xfId="0" applyFont="1" applyFill="1" applyBorder="1" applyAlignment="1">
      <alignment horizontal="right" vertical="center"/>
    </xf>
    <xf numFmtId="0" fontId="2" fillId="3" borderId="4" xfId="0" applyFont="1" applyFill="1" applyBorder="1" applyAlignment="1">
      <alignment horizontal="right" vertical="center"/>
    </xf>
    <xf numFmtId="0" fontId="0" fillId="3" borderId="5" xfId="0" applyFill="1" applyBorder="1" applyAlignment="1">
      <alignment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4" borderId="1" xfId="0" applyFill="1" applyBorder="1" applyAlignment="1">
      <alignment vertical="center"/>
    </xf>
    <xf numFmtId="10" fontId="0" fillId="4" borderId="1" xfId="2" applyNumberFormat="1" applyFont="1" applyFill="1" applyBorder="1" applyAlignment="1">
      <alignment horizontal="right" vertical="center"/>
    </xf>
    <xf numFmtId="0" fontId="0" fillId="0" borderId="8" xfId="0" applyBorder="1" applyAlignment="1">
      <alignment vertical="center"/>
    </xf>
    <xf numFmtId="43" fontId="0" fillId="0" borderId="9" xfId="0" applyNumberFormat="1" applyBorder="1" applyAlignment="1">
      <alignment vertical="center"/>
    </xf>
    <xf numFmtId="0" fontId="0" fillId="0" borderId="4" xfId="0" applyBorder="1" applyAlignment="1">
      <alignment vertical="center"/>
    </xf>
    <xf numFmtId="43" fontId="0" fillId="0" borderId="10" xfId="0" applyNumberFormat="1" applyBorder="1" applyAlignment="1">
      <alignment vertical="center"/>
    </xf>
    <xf numFmtId="0" fontId="0" fillId="4" borderId="1" xfId="0" applyFill="1" applyBorder="1" applyAlignment="1">
      <alignment horizontal="right" vertical="center"/>
    </xf>
    <xf numFmtId="4" fontId="0" fillId="4" borderId="1" xfId="0" applyNumberFormat="1" applyFill="1" applyBorder="1" applyAlignment="1">
      <alignment horizontal="right" vertical="center"/>
    </xf>
    <xf numFmtId="0" fontId="3" fillId="4" borderId="1" xfId="0" applyFont="1" applyFill="1" applyBorder="1" applyAlignment="1">
      <alignment vertical="center"/>
    </xf>
    <xf numFmtId="10" fontId="3" fillId="4" borderId="1" xfId="2" applyNumberFormat="1" applyFont="1" applyFill="1" applyBorder="1" applyAlignment="1">
      <alignment horizontal="right" vertical="center"/>
    </xf>
    <xf numFmtId="43" fontId="0" fillId="4" borderId="1" xfId="1" applyFont="1" applyFill="1" applyBorder="1" applyAlignment="1">
      <alignment horizontal="right" vertical="center"/>
    </xf>
    <xf numFmtId="0" fontId="0" fillId="0" borderId="0" xfId="2" applyNumberFormat="1" applyFont="1" applyAlignment="1">
      <alignment horizontal="center" vertical="center"/>
    </xf>
    <xf numFmtId="0" fontId="0" fillId="0" borderId="0" xfId="2" applyNumberFormat="1" applyFont="1" applyBorder="1" applyAlignment="1">
      <alignment horizontal="center" vertical="center"/>
    </xf>
    <xf numFmtId="43" fontId="0" fillId="0" borderId="0" xfId="0" applyNumberFormat="1" applyAlignment="1">
      <alignment vertical="center"/>
    </xf>
    <xf numFmtId="49" fontId="0" fillId="0" borderId="0" xfId="1" applyNumberFormat="1" applyFont="1" applyAlignment="1">
      <alignment horizontal="left" vertical="center"/>
    </xf>
    <xf numFmtId="43" fontId="3" fillId="0" borderId="0" xfId="0" applyNumberFormat="1" applyFont="1" applyAlignment="1">
      <alignment vertical="center"/>
    </xf>
    <xf numFmtId="0" fontId="3" fillId="0" borderId="10" xfId="0" applyFont="1" applyBorder="1" applyAlignment="1">
      <alignment vertical="center"/>
    </xf>
    <xf numFmtId="43" fontId="3" fillId="0" borderId="10" xfId="1" applyFont="1" applyBorder="1" applyAlignment="1">
      <alignment horizontal="right" vertical="center"/>
    </xf>
    <xf numFmtId="43" fontId="3" fillId="0" borderId="0" xfId="0" applyNumberFormat="1" applyFont="1" applyAlignment="1">
      <alignment horizontal="center" vertical="center"/>
    </xf>
    <xf numFmtId="43" fontId="3" fillId="0" borderId="0" xfId="1" applyFont="1" applyBorder="1" applyAlignment="1">
      <alignment horizontal="right" vertical="center"/>
    </xf>
    <xf numFmtId="10" fontId="0" fillId="0" borderId="0" xfId="2" applyNumberFormat="1" applyFont="1" applyAlignment="1">
      <alignment horizontal="right" vertical="center"/>
    </xf>
    <xf numFmtId="10" fontId="0" fillId="0" borderId="1" xfId="2" applyNumberFormat="1" applyFont="1" applyBorder="1" applyAlignment="1">
      <alignment horizontal="right" vertical="center"/>
    </xf>
    <xf numFmtId="0" fontId="2" fillId="3" borderId="0" xfId="0" applyFont="1" applyFill="1" applyAlignment="1">
      <alignment vertical="center"/>
    </xf>
    <xf numFmtId="0" fontId="2" fillId="3" borderId="0" xfId="0" applyFont="1" applyFill="1" applyAlignment="1">
      <alignment horizontal="right" vertical="center"/>
    </xf>
    <xf numFmtId="0" fontId="0" fillId="0" borderId="0" xfId="0" applyAlignment="1">
      <alignment horizontal="left" vertical="center"/>
    </xf>
    <xf numFmtId="10" fontId="0" fillId="0" borderId="0" xfId="2" applyNumberFormat="1" applyFont="1" applyBorder="1" applyAlignment="1">
      <alignment horizontal="right" vertical="center"/>
    </xf>
    <xf numFmtId="0" fontId="0" fillId="3" borderId="0" xfId="0" applyFill="1" applyAlignment="1">
      <alignment horizontal="left" vertical="center"/>
    </xf>
    <xf numFmtId="0" fontId="0" fillId="3" borderId="0" xfId="0" applyFill="1" applyAlignment="1">
      <alignment horizontal="right" vertical="center"/>
    </xf>
    <xf numFmtId="43" fontId="0" fillId="0" borderId="0" xfId="0" applyNumberFormat="1" applyAlignment="1">
      <alignment horizontal="right" vertical="center"/>
    </xf>
    <xf numFmtId="0" fontId="0" fillId="4" borderId="11" xfId="0" applyFill="1" applyBorder="1" applyAlignment="1">
      <alignment vertical="center"/>
    </xf>
    <xf numFmtId="43" fontId="0" fillId="4" borderId="0" xfId="1" applyFont="1" applyFill="1" applyBorder="1" applyAlignment="1">
      <alignment horizontal="right" vertical="center"/>
    </xf>
    <xf numFmtId="43" fontId="0" fillId="4" borderId="12" xfId="1" applyFont="1" applyFill="1" applyBorder="1" applyAlignment="1">
      <alignment horizontal="right" vertical="center"/>
    </xf>
    <xf numFmtId="43" fontId="3" fillId="4" borderId="1" xfId="1" applyFont="1" applyFill="1" applyBorder="1" applyAlignment="1">
      <alignment horizontal="right" vertical="center"/>
    </xf>
    <xf numFmtId="0" fontId="2" fillId="3" borderId="0" xfId="0" applyFont="1" applyFill="1" applyAlignment="1">
      <alignment vertical="center" wrapText="1"/>
    </xf>
    <xf numFmtId="0" fontId="2" fillId="3" borderId="0" xfId="0" applyFont="1" applyFill="1" applyAlignment="1">
      <alignment horizontal="right" vertical="center" wrapText="1"/>
    </xf>
    <xf numFmtId="0" fontId="0" fillId="0" borderId="0" xfId="0" applyAlignment="1">
      <alignment horizontal="left" vertical="center" wrapText="1"/>
    </xf>
    <xf numFmtId="0" fontId="0" fillId="0" borderId="0" xfId="0" applyAlignment="1">
      <alignment horizontal="right" vertical="center" wrapText="1"/>
    </xf>
    <xf numFmtId="43" fontId="0" fillId="0" borderId="1" xfId="0" applyNumberFormat="1" applyBorder="1" applyAlignment="1">
      <alignment horizontal="right" vertical="center"/>
    </xf>
    <xf numFmtId="43" fontId="0" fillId="0" borderId="10" xfId="1" applyFont="1" applyBorder="1" applyAlignment="1">
      <alignment vertical="center"/>
    </xf>
    <xf numFmtId="10" fontId="0" fillId="0" borderId="0" xfId="0" applyNumberFormat="1" applyAlignment="1">
      <alignment horizontal="right" vertical="center"/>
    </xf>
    <xf numFmtId="0" fontId="3" fillId="0" borderId="0" xfId="0" applyFont="1" applyAlignment="1">
      <alignment horizontal="right" vertical="center"/>
    </xf>
    <xf numFmtId="43" fontId="3" fillId="0" borderId="0" xfId="0" applyNumberFormat="1" applyFont="1" applyAlignment="1">
      <alignment horizontal="right" vertical="center"/>
    </xf>
    <xf numFmtId="10" fontId="3" fillId="0" borderId="0" xfId="0" applyNumberFormat="1" applyFont="1" applyAlignment="1">
      <alignment horizontal="right" vertical="center"/>
    </xf>
    <xf numFmtId="10" fontId="3" fillId="0" borderId="0" xfId="2" applyNumberFormat="1" applyFont="1" applyAlignment="1">
      <alignment horizontal="right" vertical="center"/>
    </xf>
    <xf numFmtId="43" fontId="0" fillId="0" borderId="1" xfId="1" applyFont="1" applyBorder="1" applyAlignment="1">
      <alignment vertical="center"/>
    </xf>
    <xf numFmtId="0" fontId="2" fillId="0" borderId="1" xfId="0" applyFont="1" applyBorder="1" applyAlignment="1">
      <alignment vertical="center"/>
    </xf>
    <xf numFmtId="0" fontId="2" fillId="0" borderId="1" xfId="0" applyFont="1" applyBorder="1" applyAlignment="1">
      <alignment horizontal="right" vertical="center"/>
    </xf>
    <xf numFmtId="10" fontId="1" fillId="0" borderId="0" xfId="2" applyNumberFormat="1" applyFont="1" applyAlignment="1">
      <alignment horizontal="right" vertical="center"/>
    </xf>
    <xf numFmtId="43" fontId="1" fillId="0" borderId="0" xfId="2" applyNumberFormat="1" applyFont="1" applyAlignment="1">
      <alignment horizontal="right" vertical="center"/>
    </xf>
    <xf numFmtId="10" fontId="3" fillId="0" borderId="0" xfId="1" applyNumberFormat="1" applyFont="1" applyAlignment="1">
      <alignment horizontal="right" vertical="center"/>
    </xf>
    <xf numFmtId="10" fontId="1" fillId="0" borderId="0" xfId="1" applyNumberFormat="1" applyFont="1" applyAlignment="1">
      <alignment horizontal="right" vertical="center"/>
    </xf>
    <xf numFmtId="43" fontId="3" fillId="0" borderId="0" xfId="2" applyNumberFormat="1" applyFont="1" applyAlignment="1">
      <alignment horizontal="right" vertical="center"/>
    </xf>
    <xf numFmtId="0" fontId="0" fillId="0" borderId="0" xfId="0" applyAlignment="1">
      <alignment horizontal="right"/>
    </xf>
    <xf numFmtId="0" fontId="0" fillId="4" borderId="9" xfId="0" applyFill="1" applyBorder="1" applyAlignment="1">
      <alignment vertical="center"/>
    </xf>
    <xf numFmtId="10" fontId="0" fillId="4" borderId="9" xfId="2" applyNumberFormat="1" applyFont="1" applyFill="1" applyBorder="1" applyAlignment="1">
      <alignment horizontal="right" vertical="center"/>
    </xf>
    <xf numFmtId="0" fontId="2" fillId="3" borderId="5" xfId="0" applyFont="1" applyFill="1" applyBorder="1" applyAlignment="1">
      <alignment vertical="center"/>
    </xf>
    <xf numFmtId="0" fontId="2" fillId="3" borderId="6" xfId="0" applyFont="1" applyFill="1" applyBorder="1" applyAlignment="1">
      <alignment horizontal="right" vertical="center"/>
    </xf>
    <xf numFmtId="0" fontId="2" fillId="3" borderId="7" xfId="0" applyFont="1" applyFill="1" applyBorder="1" applyAlignment="1">
      <alignment horizontal="right" vertical="center"/>
    </xf>
    <xf numFmtId="0" fontId="2" fillId="2" borderId="1" xfId="0" applyFont="1" applyFill="1" applyBorder="1" applyAlignment="1">
      <alignment vertical="center" wrapText="1"/>
    </xf>
    <xf numFmtId="43" fontId="0" fillId="4" borderId="1" xfId="0" applyNumberFormat="1" applyFill="1" applyBorder="1" applyAlignment="1">
      <alignment horizontal="right" vertical="center"/>
    </xf>
    <xf numFmtId="0" fontId="0" fillId="0" borderId="7" xfId="0" applyBorder="1" applyAlignment="1">
      <alignment vertical="center"/>
    </xf>
    <xf numFmtId="43" fontId="0" fillId="0" borderId="1" xfId="0" applyNumberFormat="1" applyBorder="1" applyAlignment="1">
      <alignment vertical="center"/>
    </xf>
    <xf numFmtId="0" fontId="3" fillId="0" borderId="1" xfId="0" applyFont="1" applyBorder="1" applyAlignment="1">
      <alignment vertical="center"/>
    </xf>
    <xf numFmtId="43" fontId="3" fillId="0" borderId="1" xfId="1" applyFont="1" applyBorder="1" applyAlignment="1">
      <alignment horizontal="right" vertical="center"/>
    </xf>
    <xf numFmtId="0" fontId="3" fillId="0" borderId="0" xfId="0" applyFont="1"/>
    <xf numFmtId="0" fontId="0" fillId="0" borderId="10" xfId="0" applyBorder="1" applyAlignment="1">
      <alignment vertical="center"/>
    </xf>
    <xf numFmtId="43" fontId="0" fillId="0" borderId="10" xfId="0" applyNumberFormat="1" applyBorder="1" applyAlignment="1">
      <alignment horizontal="right" vertical="center"/>
    </xf>
    <xf numFmtId="0" fontId="2" fillId="3" borderId="2" xfId="0" applyFont="1" applyFill="1" applyBorder="1" applyAlignment="1">
      <alignment horizontal="left" vertical="center"/>
    </xf>
    <xf numFmtId="0" fontId="0" fillId="6" borderId="2" xfId="0" applyFill="1" applyBorder="1" applyAlignment="1">
      <alignment horizontal="left" vertical="center"/>
    </xf>
    <xf numFmtId="43" fontId="0" fillId="6" borderId="2" xfId="1" applyFont="1" applyFill="1" applyBorder="1" applyAlignment="1">
      <alignment horizontal="right" vertical="center"/>
    </xf>
    <xf numFmtId="43" fontId="0" fillId="6" borderId="13" xfId="0" applyNumberFormat="1" applyFill="1" applyBorder="1"/>
    <xf numFmtId="0" fontId="0" fillId="5" borderId="2" xfId="0" applyFill="1" applyBorder="1" applyAlignment="1">
      <alignment horizontal="left" vertical="center"/>
    </xf>
    <xf numFmtId="43" fontId="0" fillId="5" borderId="10" xfId="0" applyNumberFormat="1" applyFill="1" applyBorder="1"/>
    <xf numFmtId="43" fontId="0" fillId="6" borderId="10" xfId="0" applyNumberFormat="1" applyFill="1" applyBorder="1"/>
    <xf numFmtId="0" fontId="0" fillId="6" borderId="5" xfId="0" applyFill="1" applyBorder="1" applyAlignment="1">
      <alignment horizontal="left" vertical="center"/>
    </xf>
    <xf numFmtId="43" fontId="0" fillId="6" borderId="1" xfId="0" applyNumberFormat="1" applyFill="1" applyBorder="1"/>
    <xf numFmtId="0" fontId="5" fillId="0" borderId="1" xfId="0" applyFont="1" applyBorder="1" applyAlignment="1">
      <alignment vertical="center"/>
    </xf>
    <xf numFmtId="0" fontId="2" fillId="7" borderId="0" xfId="0" applyFont="1" applyFill="1" applyBorder="1" applyAlignment="1">
      <alignment vertical="center"/>
    </xf>
    <xf numFmtId="0" fontId="2" fillId="7" borderId="15" xfId="0" applyFont="1" applyFill="1" applyBorder="1" applyAlignment="1">
      <alignment horizontal="center" vertical="center"/>
    </xf>
    <xf numFmtId="0" fontId="0" fillId="6" borderId="16" xfId="0" applyFont="1" applyFill="1" applyBorder="1" applyAlignment="1">
      <alignment vertical="center"/>
    </xf>
    <xf numFmtId="43" fontId="0" fillId="6" borderId="17" xfId="1" applyNumberFormat="1" applyFont="1" applyFill="1" applyBorder="1" applyAlignment="1">
      <alignment horizontal="right" vertical="center"/>
    </xf>
    <xf numFmtId="0" fontId="0" fillId="5" borderId="18" xfId="0" applyFont="1" applyFill="1" applyBorder="1" applyAlignment="1">
      <alignment vertical="center"/>
    </xf>
    <xf numFmtId="43" fontId="0" fillId="5" borderId="14" xfId="1" applyNumberFormat="1" applyFont="1" applyFill="1" applyBorder="1" applyAlignment="1">
      <alignment horizontal="right" vertical="center"/>
    </xf>
    <xf numFmtId="0" fontId="0" fillId="6" borderId="18" xfId="0" applyFont="1" applyFill="1" applyBorder="1" applyAlignment="1">
      <alignment vertical="center"/>
    </xf>
    <xf numFmtId="43" fontId="0" fillId="6" borderId="14" xfId="1" applyNumberFormat="1" applyFont="1" applyFill="1" applyBorder="1" applyAlignment="1">
      <alignment horizontal="right" vertical="center"/>
    </xf>
    <xf numFmtId="0" fontId="3" fillId="5" borderId="18" xfId="0" applyFont="1" applyFill="1" applyBorder="1" applyAlignment="1">
      <alignment vertical="center"/>
    </xf>
    <xf numFmtId="43" fontId="3" fillId="5" borderId="14" xfId="1" applyNumberFormat="1" applyFont="1" applyFill="1" applyBorder="1" applyAlignment="1">
      <alignment horizontal="right" vertical="center"/>
    </xf>
    <xf numFmtId="0" fontId="3" fillId="6" borderId="18" xfId="0" applyFont="1" applyFill="1" applyBorder="1" applyAlignment="1">
      <alignment vertical="center"/>
    </xf>
    <xf numFmtId="43" fontId="3" fillId="6" borderId="14" xfId="1" applyNumberFormat="1" applyFont="1" applyFill="1" applyBorder="1" applyAlignment="1">
      <alignment horizontal="right" vertical="center"/>
    </xf>
    <xf numFmtId="10" fontId="0" fillId="0" borderId="0" xfId="2" applyNumberFormat="1" applyFont="1" applyAlignment="1">
      <alignment vertical="center"/>
    </xf>
  </cellXfs>
  <cellStyles count="3">
    <cellStyle name="Comma" xfId="1" builtinId="3"/>
    <cellStyle name="Normal" xfId="0" builtinId="0"/>
    <cellStyle name="Percent" xfId="2" builtinId="5"/>
  </cellStyles>
  <dxfs count="27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numFmt numFmtId="14" formatCode="0.00%"/>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right" vertical="center" textRotation="0" wrapText="0" indent="0" justifyLastLine="0" shrinkToFit="0" readingOrder="0"/>
    </dxf>
    <dxf>
      <fill>
        <patternFill patternType="solid">
          <fgColor indexed="64"/>
          <bgColor rgb="FF0070C0"/>
        </patternFill>
      </fill>
      <alignment horizontal="righ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right" vertical="center" textRotation="0" wrapText="1"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0070C0"/>
        </patternFill>
      </fill>
      <alignment horizontal="center" vertical="center" textRotation="0" wrapText="0" indent="0" justifyLastLine="0" shrinkToFit="0" readingOrder="0"/>
      <border diagonalUp="0" diagonalDown="0" outline="0">
        <left/>
        <right/>
        <top/>
        <bottom/>
      </border>
    </dxf>
    <dxf>
      <numFmt numFmtId="35" formatCode="_ * #,##0.00_ ;_ * \-#,##0.00_ ;_ * &quot;-&quot;??_ ;_ @_ "/>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0070C0"/>
        </patternFill>
      </fill>
      <alignment horizontal="center" vertical="center" textRotation="0" wrapText="0" indent="0" justifyLastLine="0" shrinkToFit="0" readingOrder="0"/>
      <border diagonalUp="0" diagonalDown="0" outline="0">
        <left/>
        <right/>
        <top/>
        <bottom/>
      </bord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4">
  <rv s="0">
    <v>https://www.bing.com/financeapi/forcetrigger?t=a1mthw&amp;q=XNYS%3aACN&amp;form=skydnc</v>
    <v>Learn more on Bing</v>
  </rv>
  <rv s="1">
    <v>en-IN</v>
    <v>a1mthw</v>
    <v>268435456</v>
    <v>1</v>
    <v>Powered by Refinitiv</v>
    <v>0</v>
    <v>ACCENTURE PUBLIC LIMITED COMPANY (XNYS:ACN)</v>
    <v>2</v>
    <v>3</v>
    <v>Finance</v>
    <v>4</v>
    <v>398.35</v>
    <v>229.40010000000001</v>
    <v>1.2607999999999999</v>
    <v>4.16</v>
    <v>1.7333000000000001E-2</v>
    <v>USD</v>
    <v>Accenture plc is a global professional services company. It is engaged in providing a range of services and solutions across strategy and consulting, technology, operations, Industry X and Song. Its services include application services, artificial intelligence, automation, business process outsourcing, business strategy, change management, cloud, customer experience, data and analytics, ecosystem partners, finance consulting, Industry X, infrastructure, marketing, mergers and acquisitions, operating models, security, supply chain management, sustainability, technology consulting, technology innovation, and zero-based budgeting (ZBB). It specializes in the SAP business technology platform that designs digital products and experiences for enterprise customers, including custom portals and Web solutions and mobile applications. It provides clients with quantitative and qualitative risk management and compliance services. It specializes in advisory, management services and cybersecurity.</v>
    <v>779000</v>
    <v>New York Stock Exchange</v>
    <v>XNYS</v>
    <v>XNYS</v>
    <v>1 Grand Canal Square, Grand Canal Harbour, Dublin 2, DUBLIN, DUBLIN IE</v>
    <v>244.38</v>
    <v>Software &amp; IT Services</v>
    <v>Stock</v>
    <v>45980.651973830471</v>
    <v>0</v>
    <v>240.35</v>
    <v>151413113824</v>
    <v>ACCENTURE PUBLIC LIMITED COMPANY</v>
    <v>ACCENTURE PUBLIC LIMITED COMPANY</v>
    <v>241</v>
    <v>20.102399999999999</v>
    <v>240</v>
    <v>244.16</v>
    <v>620138900</v>
    <v>ACN</v>
    <v>ACCENTURE PUBLIC LIMITED COMPANY (XNYS:ACN)</v>
    <v>540699</v>
    <v>3719246</v>
    <v>2009</v>
  </rv>
  <rv s="2">
    <v>1</v>
  </rv>
  <rv s="0">
    <v>http://en.wikipedia.org/wiki/Public_domain</v>
    <v>Public domain</v>
  </rv>
  <rv s="0">
    <v>http://en.wikipedia.org/wiki/IBM</v>
    <v>Wikipedia</v>
  </rv>
  <rv s="3">
    <v>3</v>
    <v>4</v>
  </rv>
  <rv s="4">
    <v>9</v>
    <v>https://www.bing.com/th?id=AMMS_41da901be1b295dc42c72dadb9c0f67d&amp;qlt=95</v>
    <v>5</v>
    <v>0</v>
    <v>https://www.bing.com/images/search?form=xlimg&amp;q=ibm</v>
    <v>Image of INTERNATIONAL BUSINESS MACHINES CORPORATION</v>
  </rv>
  <rv s="0">
    <v>https://www.bing.com/financeapi/forcetrigger?t=a1v6nm&amp;q=XNYS%3aIBM&amp;form=skydnc</v>
    <v>Learn more on Bing</v>
  </rv>
  <rv s="5">
    <v>en-IN</v>
    <v>a1v6nm</v>
    <v>268435456</v>
    <v>1</v>
    <v>Powered by Refinitiv</v>
    <v>5</v>
    <v>INTERNATIONAL BUSINESS MACHINES CORPORATION (XNYS:IBM)</v>
    <v>7</v>
    <v>8</v>
    <v>Finance</v>
    <v>4</v>
    <v>324.89999999999998</v>
    <v>206.19</v>
    <v>0.69679999999999997</v>
    <v>-0.09</v>
    <v>-3.1040000000000001E-4</v>
    <v>USD</v>
    <v>International Business Machines Corporation is a provider of global hybrid cloud and artificial intelligence (AI) and consulting expertise. The Company’s segments include Software, Consulting, Infrastructure and Financing. The Software segment includes hybrid cloud and AI platforms, which allow clients to realize their digital and AI transformations across the applications, data, and environments in which they operate. The Consulting segment focuses on integrating skills on strategy, experience, technology and operations by domain and industry. The Infrastructure segment is focused on the hybrid cloud infrastructure market, providing on-premises and cloud-based server and storage solutions. In addition, it offers a portfolio of life-cycle services for hybrid cloud infrastructure deployment. The Financing segment provides client and commercial financing, facilitating its clients’ acquisition of hardware, software and services. It helps clients in more than 175 countries.</v>
    <v>293400</v>
    <v>New York Stock Exchange</v>
    <v>XNYS</v>
    <v>XNYS</v>
    <v>One New Orchard Road, ARMONK, NY, 10504 US</v>
    <v>290.68</v>
    <v>6</v>
    <v>Software &amp; IT Services</v>
    <v>Stock</v>
    <v>45980.652009247657</v>
    <v>7</v>
    <v>288.07</v>
    <v>270942345072</v>
    <v>INTERNATIONAL BUSINESS MACHINES CORPORATION</v>
    <v>INTERNATIONAL BUSINESS MACHINES CORPORATION</v>
    <v>290.01</v>
    <v>35.913800000000002</v>
    <v>289.95</v>
    <v>289.86</v>
    <v>934735200</v>
    <v>IBM</v>
    <v>INTERNATIONAL BUSINESS MACHINES CORPORATION (XNYS:IBM)</v>
    <v>1028549</v>
    <v>6160293</v>
    <v>1911</v>
  </rv>
  <rv s="2">
    <v>8</v>
  </rv>
  <rv s="0">
    <v>https://www.bing.com/financeapi/forcetrigger?t=a1u3rw&amp;q=XNAS%3aGOOGL&amp;form=skydnc</v>
    <v>Learn more on Bing</v>
  </rv>
  <rv s="1">
    <v>en-IN</v>
    <v>a1u3rw</v>
    <v>268435456</v>
    <v>1</v>
    <v>Powered by Refinitiv</v>
    <v>0</v>
    <v>ALPHABET INC. (XNAS:GOOGL)</v>
    <v>2</v>
    <v>3</v>
    <v>Finance</v>
    <v>4</v>
    <v>303.68</v>
    <v>140.53</v>
    <v>1.0732999999999999</v>
    <v>16.36</v>
    <v>5.7549000000000003E-2</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190167</v>
    <v>Nasdaq Stock Market</v>
    <v>XNAS</v>
    <v>XNAS</v>
    <v>1600 Amphitheatre Parkway, MOUNTAIN VIEW, CA, 94043 US</v>
    <v>303.68</v>
    <v>Software &amp; IT Services</v>
    <v>Stock</v>
    <v>45980.6520646875</v>
    <v>10</v>
    <v>286.63</v>
    <v>3434084000000</v>
    <v>ALPHABET INC.</v>
    <v>ALPHABET INC.</v>
    <v>286.63</v>
    <v>29.6463</v>
    <v>284.27999999999997</v>
    <v>300.64</v>
    <v>12067000000</v>
    <v>GOOGL</v>
    <v>ALPHABET INC. (XNAS:GOOGL)</v>
    <v>27961327</v>
    <v>34414005</v>
    <v>2015</v>
  </rv>
  <rv s="2">
    <v>11</v>
  </rv>
  <rv s="0">
    <v>https://en.wikipedia.org/wiki/Microsoft</v>
    <v>Wikipedia</v>
  </rv>
  <rv s="3">
    <v>3</v>
    <v>13</v>
  </rv>
  <rv s="4">
    <v>9</v>
    <v>https://www.bing.com/th?id=AMMS_e6e837c7bf3a77408619758b7447855a&amp;qlt=95</v>
    <v>14</v>
    <v>0</v>
    <v>https://www.bing.com/images/search?form=xlimg&amp;q=microsoft</v>
    <v>Image of MICROSOFT CORPORATION</v>
  </rv>
  <rv s="0">
    <v>https://www.bing.com/financeapi/forcetrigger?t=a1xzim&amp;q=XNAS%3aMSFT&amp;form=skydnc</v>
    <v>Learn more on Bing</v>
  </rv>
  <rv s="5">
    <v>en-IN</v>
    <v>a1xzim</v>
    <v>268435456</v>
    <v>1</v>
    <v>Powered by Refinitiv</v>
    <v>5</v>
    <v>MICROSOFT CORPORATION (XNAS:MSFT)</v>
    <v>7</v>
    <v>8</v>
    <v>Finance</v>
    <v>4</v>
    <v>555.45000000000005</v>
    <v>344.79</v>
    <v>1.0728</v>
    <v>3.5000000000000003E-2</v>
    <v>7.0879999999999999E-5</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495.18720000000002</v>
    <v>15</v>
    <v>Software &amp; IT Services</v>
    <v>Stock</v>
    <v>45980.652039652341</v>
    <v>16</v>
    <v>488.95</v>
    <v>3670293572025</v>
    <v>MICROSOFT CORPORATION</v>
    <v>MICROSOFT CORPORATION</v>
    <v>489.46</v>
    <v>35.1342</v>
    <v>493.79</v>
    <v>493.82499999999999</v>
    <v>7432377000</v>
    <v>MSFT</v>
    <v>MICROSOFT CORPORATION (XNAS:MSFT)</v>
    <v>4460363</v>
    <v>23351736</v>
    <v>1993</v>
  </rv>
  <rv s="2">
    <v>17</v>
  </rv>
  <rv s="0">
    <v>http://pt.wikipedia.org/wiki/Oracle_Corporation</v>
    <v>Wikipedia</v>
  </rv>
  <rv s="3">
    <v>3</v>
    <v>19</v>
  </rv>
  <rv s="4">
    <v>9</v>
    <v>https://www.bing.com/th?id=AMMS_672116c618c664d13b2515d6587ba357&amp;qlt=95</v>
    <v>20</v>
    <v>0</v>
    <v>https://www.bing.com/images/search?form=xlimg&amp;q=oracle+corporation</v>
    <v>Image of ORACLE CORPORATION</v>
  </rv>
  <rv s="0">
    <v>https://www.bing.com/financeapi/forcetrigger?t=a1zbec&amp;q=XNYS%3aORCL&amp;form=skydnc</v>
    <v>Learn more on Bing</v>
  </rv>
  <rv s="5">
    <v>en-IN</v>
    <v>a1zbec</v>
    <v>268435456</v>
    <v>1</v>
    <v>Powered by Refinitiv</v>
    <v>5</v>
    <v>ORACLE CORPORATION (XNYS:ORCL)</v>
    <v>7</v>
    <v>8</v>
    <v>Finance</v>
    <v>4</v>
    <v>345.72</v>
    <v>118.86</v>
    <v>1.6774</v>
    <v>6.8949999999999996</v>
    <v>3.1271E-2</v>
    <v>USD</v>
    <v>Oracle Corporation offers integrated suites of applications plus secure, autonomous infrastructure in the Oracle Cloud. The Company operates through three businesses: cloud and license, hardware and service. Its cloud and license business is engaged in the sale, marketing and delivery of its enterprise applications and infrastructure technologies through cloud and on-premise deployment models including its cloud services and license support offerings, and its cloud license and on-premise license offerings. Its hardware business provides infrastructure technologies including Oracle Engineered Systems, servers, storage, industry-specific hardware, operating systems, virtualization, management and other hardware-related software to support diverse IT environments. Its services business provides services to customers and partners to help maximize the performance of their investments in Oracle applications and infrastructure technologies.</v>
    <v>162000</v>
    <v>New York Stock Exchange</v>
    <v>XNYS</v>
    <v>XNYS</v>
    <v>2300 Oracle Way, AUSTIN, TX, 78741 US</v>
    <v>228.1499</v>
    <v>21</v>
    <v>Software &amp; IT Services</v>
    <v>Stock</v>
    <v>45980.652046885938</v>
    <v>22</v>
    <v>217.31</v>
    <v>648227566305</v>
    <v>ORACLE CORPORATION</v>
    <v>ORACLE CORPORATION</v>
    <v>218.92</v>
    <v>52.629300000000001</v>
    <v>220.49</v>
    <v>227.38499999999999</v>
    <v>2850793000</v>
    <v>ORCL</v>
    <v>ORACLE CORPORATION (XNYS:ORCL)</v>
    <v>6526103</v>
    <v>20909832</v>
    <v>2005</v>
  </rv>
  <rv s="2">
    <v>23</v>
  </rv>
  <rv s="0">
    <v>https://www.bing.com/financeapi/forcetrigger?t=r6dwra&amp;q=US10Y&amp;form=skydnc</v>
    <v>Learn more on Bing</v>
  </rv>
  <rv s="6">
    <v>en-IN</v>
    <v>r6dwra</v>
    <v>268435456</v>
    <v>1</v>
    <v>Powered by Refinitiv</v>
    <v>10</v>
    <v>US Treasury 10Y</v>
    <v>11</v>
    <v>12</v>
    <v>Finance</v>
    <v>13</v>
    <v>4.0000000000000001E-3</v>
    <v>9.7059999999999996E-4</v>
    <v>US</v>
    <v>USD</v>
    <v>Bond</v>
    <v>45980.645821759259</v>
    <v>25</v>
    <v>49628</v>
    <v>US Treasury 10Y</v>
    <v>4.1210000000000004</v>
    <v>4.125</v>
    <v>US10Y</v>
    <v>US Treasury 10Y</v>
    <v>4.0106999999999997E-2</v>
    <v>4.1100000000000005E-2</v>
    <v>4.4158000000000003E-2</v>
    <v>4.1329999999999999E-2</v>
  </rv>
  <rv s="2">
    <v>26</v>
  </rv>
  <rv s="0">
    <v>https://www.bing.com/financeapi/forcetrigger?t=a1mou2&amp;q=XNAS%3aAAPL&amp;form=skydnc</v>
    <v>Learn more on Bing</v>
  </rv>
  <rv s="1">
    <v>en-IN</v>
    <v>a1mou2</v>
    <v>268435456</v>
    <v>1</v>
    <v>Powered by Refinitiv</v>
    <v>0</v>
    <v>APPLE INC. (XNAS:AAPL)</v>
    <v>2</v>
    <v>3</v>
    <v>Finance</v>
    <v>4</v>
    <v>277.32</v>
    <v>169.21010000000001</v>
    <v>1.1049</v>
    <v>3.99</v>
    <v>1.4919E-2</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166000</v>
    <v>Nasdaq Stock Market</v>
    <v>XNAS</v>
    <v>XNAS</v>
    <v>One Apple Park Way, CUPERTINO, CA, 95014 US</v>
    <v>272.20999999999998</v>
    <v>Computers, Phones &amp; Household Electronics</v>
    <v>Stock</v>
    <v>45980.652071689059</v>
    <v>28</v>
    <v>265.5</v>
    <v>4010744680500</v>
    <v>APPLE INC.</v>
    <v>APPLE INC.</v>
    <v>265.5</v>
    <v>36.548400000000001</v>
    <v>267.44</v>
    <v>271.43</v>
    <v>14776350000</v>
    <v>AAPL</v>
    <v>APPLE INC. (XNAS:AAPL)</v>
    <v>9606569</v>
    <v>49432641</v>
    <v>1977</v>
  </rv>
  <rv s="2">
    <v>29</v>
  </rv>
  <rv s="0">
    <v>https://www.bing.com/financeapi/forcetrigger?t=a1u3p2&amp;q=XNAS%3aGOOG&amp;form=skydnc</v>
    <v>Learn more on Bing</v>
  </rv>
  <rv s="1">
    <v>en-IN</v>
    <v>a1u3p2</v>
    <v>268435456</v>
    <v>1</v>
    <v>Powered by Refinitiv</v>
    <v>0</v>
    <v>ALPHABET INC. (XNAS:GOOG)</v>
    <v>2</v>
    <v>3</v>
    <v>Finance</v>
    <v>4</v>
    <v>304.25</v>
    <v>142.66</v>
    <v>1.0732999999999999</v>
    <v>16.069500000000001</v>
    <v>5.6391999999999998E-2</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190167</v>
    <v>Nasdaq Stock Market</v>
    <v>XNAS</v>
    <v>XNAS</v>
    <v>1600 Amphitheatre Parkway, MOUNTAIN VIEW, CA, 94043 US</v>
    <v>304.25</v>
    <v>Software &amp; IT Services</v>
    <v>Stock</v>
    <v>45980.65205732578</v>
    <v>31</v>
    <v>287.67</v>
    <v>3434084000000</v>
    <v>ALPHABET INC.</v>
    <v>ALPHABET INC.</v>
    <v>287.67</v>
    <v>29.725999999999999</v>
    <v>284.95999999999998</v>
    <v>301.02949999999998</v>
    <v>12067000000</v>
    <v>GOOG</v>
    <v>ALPHABET INC. (XNAS:GOOG)</v>
    <v>17365973</v>
    <v>21896182</v>
    <v>2015</v>
  </rv>
  <rv s="2">
    <v>32</v>
  </rv>
  <rv s="0">
    <v>https://www.bing.com/financeapi/forcetrigger?t=ahkau2&amp;q=XNSE%3aTCS&amp;form=skydnc</v>
    <v>Learn more on Bing</v>
  </rv>
  <rv s="1">
    <v>en-IN</v>
    <v>ahkau2</v>
    <v>268435456</v>
    <v>1</v>
    <v>Powered by Refinitiv</v>
    <v>0</v>
    <v>TATA CONSULTANCY SERVICES LIMITED (XNSE:TCS)</v>
    <v>2</v>
    <v>14</v>
    <v>Finance</v>
    <v>15</v>
    <v>4424.37</v>
    <v>2866.6</v>
    <v>0.94089999999999996</v>
    <v>60.6</v>
    <v>1.9630000000000002E-2</v>
    <v>INR</v>
    <v>Tata Consultancy Services Ltd is an India-based company engaged in providing information technology (IT) services, consulting, and business solutions. Its business segments include Banking, Financial Services and Insurance; Manufacturing; Consumer Business; Communication, Media and Technology; Life Sciences and Healthcare and others, such as Energy, Resources and Utilities, s-Governance, and Products. The Company's products include TCS ADD, TCS BaNCS, TCS BFSI Platforms, TCS CHROMA, TCS Customer Intelligence &amp; Insights, TCS ERP on Cloud, TCS Intelligent Urban Exchange, Quartz-The Smart Ledgers, Jile, TCS Optumera, TCS TwinX, TCS TAP and TCS OmniStore. Its services portfolio consists of Artificial Intelligence, Cloud, Cognitive Business Operations, Consulting, Cybersecurity, Data and Analytics, Enterprise Solutions, Internet of Things (IoT), and Digital Engineering, TCS Interactive, TCS and AWS Cloud, TCS Enterprise Cloud, TCS and Google Cloud, TCS and Microsoft Cloud and others.</v>
    <v>613069</v>
    <v>National Stock Exchange of India</v>
    <v>XNSE</v>
    <v>XNSE</v>
    <v>9th Floor Nirmal Building Nariman Point, MUMBAI, MAHARASHTRA, 400021 IN</v>
    <v>3155</v>
    <v>Software &amp; IT Services</v>
    <v>Stock</v>
    <v>45980.492893518516</v>
    <v>34</v>
    <v>3083.5</v>
    <v>11169400000000</v>
    <v>TATA CONSULTANCY SERVICES LIMITED</v>
    <v>TATA CONSULTANCY SERVICES LIMITED</v>
    <v>3097</v>
    <v>23.0364</v>
    <v>3087.1</v>
    <v>3147.7</v>
    <v>3618087000</v>
    <v>TCS</v>
    <v>TATA CONSULTANCY SERVICES LIMITED (XNSE:TCS)</v>
    <v>3151053</v>
    <v>2424680</v>
    <v>1995</v>
  </rv>
  <rv s="2">
    <v>35</v>
  </rv>
  <rv s="0">
    <v>https://www.bing.com/financeapi/forcetrigger?t=a1slm7&amp;q=XNAS%3aMETA&amp;form=skydnc</v>
    <v>Learn more on Bing</v>
  </rv>
  <rv s="1">
    <v>en-IN</v>
    <v>a1slm7</v>
    <v>268435456</v>
    <v>1</v>
    <v>Powered by Refinitiv</v>
    <v>0</v>
    <v>Meta Platforms, Inc. (XNAS:META)</v>
    <v>2</v>
    <v>3</v>
    <v>Finance</v>
    <v>4</v>
    <v>796.25</v>
    <v>479.8</v>
    <v>1.2884</v>
    <v>-5.95</v>
    <v>-9.9550000000000003E-3</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78450</v>
    <v>Nasdaq Stock Market</v>
    <v>XNAS</v>
    <v>XNAS</v>
    <v>1 Meta Way, MENLO PARK, CA, 94025 US</v>
    <v>595.30999999999995</v>
    <v>Software &amp; IT Services</v>
    <v>Stock</v>
    <v>45980.652073599216</v>
    <v>37</v>
    <v>587.41999999999996</v>
    <v>1491497238720</v>
    <v>Meta Platforms, Inc.</v>
    <v>Meta Platforms, Inc.</v>
    <v>593.5</v>
    <v>20.3584</v>
    <v>597.69000000000005</v>
    <v>591.74</v>
    <v>2520528000</v>
    <v>META</v>
    <v>Meta Platforms, Inc. (XNAS:META)</v>
    <v>5344170</v>
    <v>21856327</v>
    <v>2004</v>
  </rv>
  <rv s="2">
    <v>38</v>
  </rv>
  <rv s="0">
    <v>https://www.bing.com/financeapi/forcetrigger?t=afkcu2&amp;q=XFRA%3aSAPA&amp;form=skydnc</v>
    <v>Learn more on Bing</v>
  </rv>
  <rv s="1">
    <v>en-IN</v>
    <v>afkcu2</v>
    <v>268435456</v>
    <v>1</v>
    <v>Powered by Refinitiv</v>
    <v>0</v>
    <v>Sap Se (XFRA:SAPA)</v>
    <v>2</v>
    <v>16</v>
    <v>Finance</v>
    <v>17</v>
    <v>282</v>
    <v>79.239999999999995</v>
    <v>1.1955</v>
    <v>2</v>
    <v>9.8040000000000002E-3</v>
    <v>EUR</v>
    <v>SAP SE (SAP) is a Germany-based company. The Company provides business application software. It operates through three segments: Applications, Technology and Services, which engages in the sale of software licenses, subscriptions to its cloud-based applications and related services, primarily support services and various professional services, and support services, as well as implementation services for its software products and educational services on the use of its products; the SAP Business Network segment, which includes its cloud-based collaborative business networks and services related to the SAP Business Network, including cloud applications, professional services and educational services, as well as the Company markets and sells cloud offerings developed by SAP Ariba, SAP Fieldglass and Concur; and the Customer Experience segment, which comprises on-premise and cloud-based products that execute front office functions across the entire customer experience.</v>
    <v>108929</v>
    <v>Deutsche Boerse AG</v>
    <v>XFRA</v>
    <v>XFRA</v>
    <v>Dietmar-Hopp-Allee 16, WALLDORF, BADEN-WUERTTEMBERG, 69190 DE</v>
    <v>206</v>
    <v>Software &amp; IT Services</v>
    <v>Stock</v>
    <v>45980.640277777777</v>
    <v>40</v>
    <v>206</v>
    <v>292108100000</v>
    <v>Sap Se</v>
    <v>Sap Se</v>
    <v>206</v>
    <v>37.117100000000001</v>
    <v>204</v>
    <v>206</v>
    <v>1228504000</v>
    <v>SAPA</v>
    <v>Sap Se (XFRA:SAPA)</v>
    <v>4</v>
    <v>1361850</v>
    <v>2014</v>
  </rv>
  <rv s="2">
    <v>41</v>
  </rv>
  <rv s="0">
    <v>https://www.bing.com/financeapi/forcetrigger?t=afgyvh&amp;q=XFRA%3aNTT&amp;form=skydnc</v>
    <v>Learn more on Bing</v>
  </rv>
  <rv s="1">
    <v>en-IN</v>
    <v>afgyvh</v>
    <v>268435456</v>
    <v>1</v>
    <v>Powered by Refinitiv</v>
    <v>0</v>
    <v>NTT, Inc. (XFRA:NTT)</v>
    <v>2</v>
    <v>18</v>
    <v>Finance</v>
    <v>17</v>
    <v>47.56</v>
    <v>0.82099999999999995</v>
    <v>0.38490000000000002</v>
    <v>-1.9599999999999999E-2</v>
    <v>-2.2844000000000003E-2</v>
    <v>EUR</v>
    <v>NTT Inc, formerly Nippon Telegraph and Telephone Corp, is engaged in the comprehensive information and communications technology (ICT) business, the regional communications business, and the global solutions business. The Company operates through four business segments. The Comprehensive ICT Business segment is engaged in the mobile phone business, inter-prefectural communications services in the domestic telecommunications business, international communications business, solutions business, system development business, and related businesses. The Regional Communications Business segment is engaged in the provision of intra-prefectural communications services in the domestic telecommunications business and related businesses. The Global Solutions Business segment is engaged in the system integration, network systems, cloud, global data centers, and related businesses. The Other (Real Estate, Energy) segment includes real estate business, energy business and others.</v>
    <v>341321</v>
    <v>Deutsche Boerse AG</v>
    <v>XFRA</v>
    <v>XFRA</v>
    <v>East Tower, Otemachi First Square, 1-5-1, Ote-machi, CHIYODA-KU, TOKYO-TO, 100-8116 JP</v>
    <v>0.83840000000000003</v>
    <v>Telecommunications Services</v>
    <v>Stock</v>
    <v>45980.638888888891</v>
    <v>43</v>
    <v>0.83840000000000003</v>
    <v>13836090000000</v>
    <v>NTT, Inc.</v>
    <v>NTT, Inc.</v>
    <v>0.83840000000000003</v>
    <v>11.9771</v>
    <v>0.85799999999999998</v>
    <v>0.83840000000000003</v>
    <v>90550310000</v>
    <v>NTT</v>
    <v>NTT, Inc. (XFRA:NTT)</v>
    <v>6700</v>
    <v>269218310</v>
    <v>1985</v>
  </rv>
  <rv s="2">
    <v>44</v>
  </rv>
  <rv s="0">
    <v>https://www.bing.com/financeapi/forcetrigger?t=a1qhz2&amp;q=XNAS%3aCTSH&amp;form=skydnc</v>
    <v>Learn more on Bing</v>
  </rv>
  <rv s="1">
    <v>en-IN</v>
    <v>a1qhz2</v>
    <v>268435456</v>
    <v>1</v>
    <v>Powered by Refinitiv</v>
    <v>0</v>
    <v>COGNIZANT TECHNOLOGY SOLUTIONS CORPORATION (XNAS:CTSH)</v>
    <v>2</v>
    <v>3</v>
    <v>Finance</v>
    <v>4</v>
    <v>90.82</v>
    <v>65.150000000000006</v>
    <v>0.96789999999999998</v>
    <v>0.89</v>
    <v>1.2404E-2</v>
    <v>USD</v>
    <v>Cognizant Technology Solutions Corporation engineers modern businesses. Its services include artificial intelligence (AI) and other technology services and solutions, consulting, application development, systems integration, quality engineering and assurance, application maintenance, infrastructure and security as well as business process services and automation. Its segments include Health Sciences (HS), Financial Services (FS), Products and Resources (P&amp;R), and Communications, Media and Technology (CMT). HS segment consists of healthcare providers and payers, and life sciences companies. FS segment includes banking, capital markets, payments and insurance companies. P&amp;R segment includes manufacturers, automakers, retailers, consumer goods companies, and travel and hospitality companies, as well as businesses providing logistics, energy and utility services. CMT segment includes global communications, media and entertainment, education, information services and technology companies.</v>
    <v>349800</v>
    <v>Nasdaq Stock Market</v>
    <v>XNAS</v>
    <v>XNAS</v>
    <v>300 Frank W. Burr Blvd., Ste. 36, 6 Fl., TEANECK, NJ, 07666 US</v>
    <v>72.83</v>
    <v>Software &amp; IT Services</v>
    <v>Stock</v>
    <v>45980.651987013283</v>
    <v>46</v>
    <v>71.72</v>
    <v>35059441760</v>
    <v>COGNIZANT TECHNOLOGY SOLUTIONS CORPORATION</v>
    <v>COGNIZANT TECHNOLOGY SOLUTIONS CORPORATION</v>
    <v>71.95</v>
    <v>16.8476</v>
    <v>71.75</v>
    <v>72.64</v>
    <v>482646500</v>
    <v>CTSH</v>
    <v>COGNIZANT TECHNOLOGY SOLUTIONS CORPORATION (XNAS:CTSH)</v>
    <v>514913</v>
    <v>4775386</v>
    <v>1988</v>
  </rv>
  <rv s="2">
    <v>47</v>
  </rv>
  <rv s="0">
    <v>https://www.bing.com/financeapi/forcetrigger?t=ahicim&amp;q=XNSE%3aINFY&amp;form=skydnc</v>
    <v>Learn more on Bing</v>
  </rv>
  <rv s="1">
    <v>en-IN</v>
    <v>ahicim</v>
    <v>268435456</v>
    <v>1</v>
    <v>Powered by Refinitiv</v>
    <v>0</v>
    <v>INFOSYS LIMITED (XNSE:INFY)</v>
    <v>2</v>
    <v>14</v>
    <v>Finance</v>
    <v>15</v>
    <v>2006.45</v>
    <v>1307</v>
    <v>0.90129999999999999</v>
    <v>54.7</v>
    <v>3.6799999999999999E-2</v>
    <v>INR</v>
    <v>Infosys Limited is an India-based company, which provides digital services and consulting. The Company enables clients in approximately 59 countries to navigate their digital transformation powered by cloud and artificial intelligence (AI). Its segments include Financial Services; Retail; Communication; Energy, Utilities, Resources and Services; Manufacturing; Hi-Tech; Life Sciences, and All other segments. The Company's solutions have been primarily classified as digital and core. Its digital solutions include experience, insight, innovate, accelerate, and assure. Its experience solutions include Infosys Aster, Digital Marketing, Digital Commerce and Infosys Metaverse Foundry. Its insight solutions include Infosys Topaz, Infosys Generative AI Labs, Data Analytics and AI, Infosys Sustainability Services and Applied AI. Its core solutions include application management services, proprietary application development services, traditional enterprise application implementation and others.</v>
    <v>331991</v>
    <v>National Stock Exchange of India</v>
    <v>XNSE</v>
    <v>XNSE</v>
    <v>Electronics City Hosur Rd, BANGALORE, KARNATAKA, 560100 IN</v>
    <v>1543</v>
    <v>Software &amp; IT Services</v>
    <v>Stock</v>
    <v>45980.492881944447</v>
    <v>49</v>
    <v>1490.5</v>
    <v>6161589000000</v>
    <v>INFOSYS LIMITED</v>
    <v>INFOSYS LIMITED</v>
    <v>1490.5</v>
    <v>22.7044</v>
    <v>1486.4</v>
    <v>1541.1</v>
    <v>4145310000</v>
    <v>INFY</v>
    <v>INFOSYS LIMITED (XNSE:INFY)</v>
    <v>10981126</v>
    <v>10629440</v>
    <v>1981</v>
  </rv>
  <rv s="2">
    <v>50</v>
  </rv>
  <rv s="0">
    <v>https://www.bing.com/financeapi/forcetrigger?t=a2gqz2&amp;q=OTCM%3aFJTSF&amp;form=skydnc</v>
    <v>Learn more on Bing</v>
  </rv>
  <rv s="1">
    <v>en-IN</v>
    <v>a2gqz2</v>
    <v>268435456</v>
    <v>1</v>
    <v>Powered by Refinitiv</v>
    <v>0</v>
    <v>Fujitsu Limited (OTCM:FJTSF)</v>
    <v>2</v>
    <v>19</v>
    <v>Finance</v>
    <v>17</v>
    <v>30.3</v>
    <v>14.68</v>
    <v>0.97550000000000003</v>
    <v>-0.41499999999999998</v>
    <v>-1.5793999999999999E-2</v>
    <v>USD</v>
    <v>Fujitsu Ltd is a Japan-based company engaged in a total solutions business in the field of information and communications technology (ICT), providing a variety of services, as well as comprehensive services ranging from the development, manufacture, and sales of products and electronic devices that support these services, to maintenance and operation. The company operates in four business segments. The Service Solutions segment provides consulting services, cloud services, and other services. The Hardware Solutions segment provides system products, mainly sales and maintenance services for hardware such as servers and storage systems that form the foundation of ICT, as well as communications infrastructure such as cell phone base stations and optical transmission systems. The Ubiquitous Solutions segment mainly develops, designs, manufactures, and sells personal computers. The Device Solutions segment mainly provides electronic components such as semiconductor packages and batteries.</v>
    <v>112743</v>
    <v>OTC Markets</v>
    <v>OTCM</v>
    <v>OTCM</v>
    <v>4-1-1, Kamikodanaka, Nakahara-ku, KAWASAKI-SHI, KANAGAWA-KEN, 211-8588 JP</v>
    <v>28.23</v>
    <v>Software &amp; IT Services</v>
    <v>Stock</v>
    <v>45980.641367685159</v>
    <v>52</v>
    <v>23.31</v>
    <v>8187092000000</v>
    <v>Fujitsu Limited</v>
    <v>Fujitsu Limited</v>
    <v>23.31</v>
    <v>15.283300000000001</v>
    <v>26.274999999999999</v>
    <v>25.86</v>
    <v>2071108000</v>
    <v>FJTSF</v>
    <v>Fujitsu Limited (OTCM:FJTSF)</v>
    <v>1419</v>
    <v>6358660</v>
    <v>1935</v>
  </rv>
  <rv s="2">
    <v>53</v>
  </rv>
  <rv s="0">
    <v>https://www.bing.com/financeapi/forcetrigger?t=ahi3dm&amp;q=XNSE%3aHCLTECH&amp;form=skydnc</v>
    <v>Learn more on Bing</v>
  </rv>
  <rv s="1">
    <v>en-IN</v>
    <v>ahi3dm</v>
    <v>268435456</v>
    <v>1</v>
    <v>Powered by Refinitiv</v>
    <v>0</v>
    <v>HCL TECHNOLOGIES LIMITED (XNSE:HCLTECH)</v>
    <v>2</v>
    <v>14</v>
    <v>Finance</v>
    <v>15</v>
    <v>2005.46</v>
    <v>1302.75</v>
    <v>1.0379</v>
    <v>67.400000000000006</v>
    <v>4.2251999999999998E-2</v>
    <v>INR</v>
    <v>HCL Technologies Limited is a technology company. It is engaged in providing a range of information technology (IT) and business services, engineering and research and development (R&amp;D) services and software products and IP-led offerings. Its segments include IT and Business services, Engineering and R&amp;D services, and HCL Software. IT and Business Services segment provide a comprehensive portfolio of IT and Business Services, such as application, infrastructure and digital process operations) and digital transformation services enabled by digital and analytics, IoTWoRKs, Cloud native and Cybersecurity solutions including products developed within these businesses. Engineering and R&amp;D Services provides engineering services and solutions across software, embedded, mechanical, VLSI and platform engineering that support the end-to-end lifecycle of products both hardware and software across diverse industries. HCL Software segment provides modernized software products and IP-led offerings.</v>
    <v>226640</v>
    <v>National Stock Exchange of India</v>
    <v>XNSE</v>
    <v>XNSE</v>
    <v>Technology Hub, SEZ, Plot No. 3A, Sector 126, NOIDA, UTTAR PRADESH, 201304 IN</v>
    <v>1669.5</v>
    <v>Software &amp; IT Services</v>
    <v>Stock</v>
    <v>45980.49287037037</v>
    <v>55</v>
    <v>1588.6</v>
    <v>4315830000000</v>
    <v>HCL TECHNOLOGIES LIMITED</v>
    <v>HCL TECHNOLOGIES LIMITED</v>
    <v>1595.3</v>
    <v>26.5398</v>
    <v>1595.2</v>
    <v>1662.6</v>
    <v>2705510000</v>
    <v>HCLTECH</v>
    <v>HCL TECHNOLOGIES LIMITED (XNSE:HCLTECH)</v>
    <v>6342672</v>
    <v>2128260</v>
    <v>1991</v>
  </rv>
  <rv s="2">
    <v>56</v>
  </rv>
  <rv s="0">
    <v>https://www.bing.com/financeapi/forcetrigger?t=ae8177&amp;q=XPAR%3aCAP&amp;form=skydnc</v>
    <v>Learn more on Bing</v>
  </rv>
  <rv s="1">
    <v>en-IN</v>
    <v>ae8177</v>
    <v>268435456</v>
    <v>1</v>
    <v>Powered by Refinitiv</v>
    <v>0</v>
    <v>Capgemini SE (XPAR:CAP)</v>
    <v>2</v>
    <v>20</v>
    <v>Finance</v>
    <v>17</v>
    <v>186.65</v>
    <v>110</v>
    <v>1.1395999999999999</v>
    <v>0.65</v>
    <v>5.0980000000000001E-3</v>
    <v>EUR</v>
    <v>Capgemini SE is a France-based company specialized in consulting, technology services and digital transformation. It operates through four segments: Application services, Technology and Engineering services, Consulting services and Other Managed services. Application services designs and develops technological solutions and help customers optimize their applications, among others. Technology and Engineering services assists and supports internal information technology (IT) and engineering teams within client companies. Consulting focuses on strategy, technology, data science, and creative design to support customers in creating new models and new products and services within the digital economy. Other Managed services integrates, manages, and/or develops clients’ IT infrastructure systems, among others.</v>
    <v>349373</v>
    <v>Euronext Paris</v>
    <v>XPAR</v>
    <v>XPAR</v>
    <v>Place de l'etoile, 11 rue de Tilsitt, PARIS, ILE-DE-FRANCE, 75017 FR</v>
    <v>128.44999999999999</v>
    <v>Software &amp; IT Services</v>
    <v>Stock</v>
    <v>45980.641585648147</v>
    <v>58</v>
    <v>126.25</v>
    <v>21846800000</v>
    <v>Capgemini SE</v>
    <v>Capgemini SE</v>
    <v>127.95</v>
    <v>13.9377</v>
    <v>127.5</v>
    <v>128.15</v>
    <v>171347500</v>
    <v>CAP</v>
    <v>Capgemini SE (XPAR:CAP)</v>
    <v>75996</v>
    <v>378300</v>
    <v>1984</v>
  </rv>
  <rv s="2">
    <v>59</v>
  </rv>
  <rv s="0">
    <v>https://www.bing.com/financeapi/forcetrigger?t=aea3a2&amp;q=XPAR%3aSOP&amp;form=skydnc</v>
    <v>Learn more on Bing</v>
  </rv>
  <rv s="1">
    <v>en-IN</v>
    <v>aea3a2</v>
    <v>268435456</v>
    <v>1</v>
    <v>Powered by Refinitiv</v>
    <v>0</v>
    <v>Sopra Steria Group SA (XPAR:SOP)</v>
    <v>2</v>
    <v>20</v>
    <v>Finance</v>
    <v>17</v>
    <v>210.6</v>
    <v>123.6</v>
    <v>1.0035000000000001</v>
    <v>1.9</v>
    <v>1.4855E-2</v>
    <v>EUR</v>
    <v>Sopra Steria Group SA, formerly Sopra Group SA is a France-based consultancy, digital services and software development, systems integration, and application outsourcing company. The Company guides businesses through conversion projects, from the development phase to the implementation phase. Its services include consulting, enterprise resource planning integration (ERP), customer relationship management (CRM), site software engineering, global testing, and business intelligence (BI), among others. Sopra Steira Group SA’s activities are targeted at the customers operating in different sectors, such as banking, insurance, manufacturing, distribution, public sector, telecommunications, and real estate. The Company is present in France, the Benelux, Morocco, Germany, India, Ireland, Spain, Portugal, the Scandinavian region, Italy, the United Kingdom, and Switzerland. The Company has such subsidiaries as Cassiopae MEA, COR&amp;FJA AG, HR Access Service Line, Steria SA and Kentor, among others.</v>
    <v>50304</v>
    <v>Euronext Paris</v>
    <v>XPAR</v>
    <v>XPAR</v>
    <v>Pae Des Glaisins, 3 Rue Du Pre Faucon, ANNECY, AUVERGNE-RHONE-ALPES, 74940 FR</v>
    <v>130.69999999999999</v>
    <v>Software &amp; IT Services</v>
    <v>Stock</v>
    <v>45980.641585648147</v>
    <v>61</v>
    <v>127.4</v>
    <v>2628051000</v>
    <v>Sopra Steria Group SA</v>
    <v>Sopra Steria Group SA</v>
    <v>128</v>
    <v>9.5177999999999994</v>
    <v>127.9</v>
    <v>129.80000000000001</v>
    <v>20547700</v>
    <v>SOP</v>
    <v>Sopra Steria Group SA (XPAR:SOP)</v>
    <v>13787</v>
    <v>35120</v>
    <v>1993</v>
  </rv>
  <rv s="2">
    <v>62</v>
  </rv>
</rvData>
</file>

<file path=xl/richData/rdrichvaluestructure.xml><?xml version="1.0" encoding="utf-8"?>
<rvStructures xmlns="http://schemas.microsoft.com/office/spreadsheetml/2017/richdata" count="7">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Change"/>
    <k n="Change (%)"/>
    <k n="Country/region" t="s"/>
    <k n="Currency" t="s"/>
    <k n="Instrument type" t="s"/>
    <k n="Last trade time"/>
    <k n="LearnMoreOnLink" t="r"/>
    <k n="Maturity"/>
    <k n="Name" t="s"/>
    <k n="Previous close"/>
    <k n="Price"/>
    <k n="Ticker symbol" t="s"/>
    <k n="UniqueName" t="s"/>
    <k n="Yield last month"/>
    <k n="Yield last week"/>
    <k n="Yield last year"/>
    <k n="Yield yesterday"/>
  </s>
</rvStructures>
</file>

<file path=xl/richData/rdsupportingpropertybag.xml><?xml version="1.0" encoding="utf-8"?>
<supportingPropertyBags xmlns="http://schemas.microsoft.com/office/spreadsheetml/2017/richdata2">
  <spbArrays count="3">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28">
      <v t="s">%EntityServiceId</v>
      <v t="s">_Format</v>
      <v t="s">%IsRefreshable</v>
      <v t="s">%EntityCulture</v>
      <v t="s">%EntityId</v>
      <v t="s">_Icon</v>
      <v t="s">_Display</v>
      <v t="s">Name</v>
      <v t="s">Price</v>
      <v t="s">_SubLabel</v>
      <v t="s">Last trade time</v>
      <v t="s">Ticker symbol</v>
      <v t="s">Change</v>
      <v t="s">Change (%)</v>
      <v t="s">Currency</v>
      <v t="s">Previous close</v>
      <v t="s">Yield yesterday</v>
      <v t="s">Yield last week</v>
      <v t="s">Yield last month</v>
      <v t="s">Yield last year</v>
      <v t="s">Maturity</v>
      <v t="s">Country/region</v>
      <v t="s">Instrument type</v>
      <v t="s">_Flags</v>
      <v t="s">UniqueName</v>
      <v t="s">_DisplayString</v>
      <v t="s">LearnMoreOnLink</v>
      <v t="s">%ProviderInfo</v>
    </a>
  </spbArrays>
  <spbData count="21">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0</v>
      <v>0</v>
    </spb>
    <spb s="6">
      <v>6</v>
      <v>1</v>
      <v>1</v>
      <v>1</v>
      <v>1</v>
    </spb>
    <spb s="7">
      <v>1</v>
      <v>2</v>
      <v>2</v>
      <v>1</v>
      <v>3</v>
      <v>1</v>
      <v>10</v>
      <v>1</v>
      <v>1</v>
      <v>4</v>
      <v>4</v>
      <v>5</v>
      <v>6</v>
      <v>1</v>
      <v>1</v>
      <v>1</v>
      <v>4</v>
      <v>7</v>
      <v>8</v>
      <v>9</v>
      <v>4</v>
    </spb>
    <spb s="8">
      <v>Powered by Refinitiv</v>
    </spb>
    <spb s="0">
      <v>2</v>
      <v>Name</v>
      <v>LearnMoreOnLink</v>
    </spb>
    <spb s="9">
      <v>1</v>
      <v>1</v>
      <v>1</v>
    </spb>
    <spb s="10">
      <v>3</v>
      <v>1</v>
      <v>1</v>
      <v>11</v>
      <v>5</v>
      <v>1</v>
      <v>7</v>
      <v>5</v>
      <v>5</v>
      <v>5</v>
      <v>5</v>
      <v>9</v>
    </spb>
    <spb s="11">
      <v>GMT</v>
    </spb>
    <spb s="3">
      <v>12</v>
      <v>2</v>
      <v>2</v>
      <v>12</v>
      <v>3</v>
      <v>12</v>
      <v>12</v>
      <v>12</v>
      <v>4</v>
      <v>4</v>
      <v>5</v>
      <v>13</v>
      <v>12</v>
      <v>12</v>
      <v>12</v>
      <v>4</v>
      <v>7</v>
      <v>8</v>
      <v>9</v>
      <v>4</v>
    </spb>
    <spb s="12">
      <v>Delayed 5 minutes</v>
      <v>from previous close</v>
      <v>from previous close</v>
      <v>GMT</v>
    </spb>
    <spb s="3">
      <v>14</v>
      <v>2</v>
      <v>2</v>
      <v>14</v>
      <v>3</v>
      <v>14</v>
      <v>14</v>
      <v>14</v>
      <v>4</v>
      <v>4</v>
      <v>5</v>
      <v>6</v>
      <v>14</v>
      <v>14</v>
      <v>14</v>
      <v>4</v>
      <v>7</v>
      <v>8</v>
      <v>9</v>
      <v>4</v>
    </spb>
    <spb s="12">
      <v>Delayed 15 minutes</v>
      <v>from previous close</v>
      <v>from previous close</v>
      <v>GMT</v>
    </spb>
    <spb s="3">
      <v>14</v>
      <v>2</v>
      <v>2</v>
      <v>14</v>
      <v>3</v>
      <v>14</v>
      <v>14</v>
      <v>14</v>
      <v>4</v>
      <v>4</v>
      <v>5</v>
      <v>15</v>
      <v>14</v>
      <v>14</v>
      <v>14</v>
      <v>4</v>
      <v>7</v>
      <v>8</v>
      <v>9</v>
      <v>4</v>
    </spb>
    <spb s="3">
      <v>1</v>
      <v>2</v>
      <v>2</v>
      <v>1</v>
      <v>3</v>
      <v>1</v>
      <v>1</v>
      <v>1</v>
      <v>4</v>
      <v>4</v>
      <v>5</v>
      <v>15</v>
      <v>1</v>
      <v>1</v>
      <v>1</v>
      <v>4</v>
      <v>7</v>
      <v>8</v>
      <v>9</v>
      <v>4</v>
    </spb>
    <spb s="3">
      <v>14</v>
      <v>2</v>
      <v>2</v>
      <v>14</v>
      <v>3</v>
      <v>14</v>
      <v>14</v>
      <v>14</v>
      <v>4</v>
      <v>4</v>
      <v>5</v>
      <v>16</v>
      <v>14</v>
      <v>14</v>
      <v>14</v>
      <v>4</v>
      <v>7</v>
      <v>8</v>
      <v>9</v>
      <v>4</v>
    </spb>
  </spbData>
</supportingPropertyBags>
</file>

<file path=xl/richData/rdsupportingpropertybagstructure.xml><?xml version="1.0" encoding="utf-8"?>
<spbStructures xmlns="http://schemas.microsoft.com/office/spreadsheetml/2017/richdata2" count="13">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UniqueName" t="spb"/>
    <k n="`%ProviderInfo" t="spb"/>
    <k n="LearnMoreOnLink" t="spb"/>
  </s>
  <s>
    <k n="Name" t="i"/>
    <k n="Price" t="i"/>
    <k n="Change" t="i"/>
    <k n="Maturity" t="i"/>
    <k n="Change (%)" t="i"/>
    <k n="Previous close" t="i"/>
    <k n="Last trade time" t="i"/>
    <k n="Yield last week" t="i"/>
    <k n="Yield last year" t="i"/>
    <k n="Yield yesterday" t="i"/>
    <k n="Yield last month" t="i"/>
    <k n="`%EntityServiceId" t="i"/>
  </s>
  <s>
    <k n="Last trade time" t="s"/>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x:dxf>
      <x:numFmt numFmtId="19" formatCode="yyyy/mm/dd"/>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Sty dxfid="7"/>
    <rSty dxfid="1">
      <rpv i="0" xml:space="preserve">_ [$₹-en-IN] * #,##0.00_ ;_ [$₹-en-IN] * -#,##0.00_ ;_ [$₹-en-IN] * "-"??_ ;_ @_ </rpv>
    </rSty>
    <rSty dxfid="1">
      <rpv i="0" xml:space="preserve">_ [$₹-en-IN] * #,##0_ ;_ [$₹-en-IN] * -#,##0_ ;_ [$₹-en-IN] * "-"_ ;_ @_ </rpv>
    </rSty>
    <rSty dxfid="1">
      <rpv i="0">_([$€-x-euro2] * #,##0.00_);_([$€-x-euro2] * (#,##0.00);_([$€-x-euro2] * "-"??_);_(@_)</rpv>
    </rSty>
    <rSty dxfid="1">
      <rpv i="0">_-[$¥-ja-JP]* #,##0_-;-[$¥-ja-JP]* #,##0_-;_-[$¥-ja-JP]* "-"_-;_-@_-</rpv>
    </rSty>
    <rSty dxfid="1">
      <rpv i="0">_([$€-x-euro2] * #,##0_);_([$€-x-euro2] * (#,##0);_([$€-x-euro2] *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E036ADD-1B53-453E-868E-D50F79668D64}" name="Table1" displayName="Table1" ref="A2:F10" totalsRowShown="0" headerRowDxfId="273" dataDxfId="272">
  <autoFilter ref="A2:F10" xr:uid="{FE036ADD-1B53-453E-868E-D50F79668D64}">
    <filterColumn colId="0" hiddenButton="1"/>
    <filterColumn colId="1" hiddenButton="1"/>
    <filterColumn colId="2" hiddenButton="1"/>
    <filterColumn colId="3" hiddenButton="1"/>
    <filterColumn colId="4" hiddenButton="1"/>
    <filterColumn colId="5" hiddenButton="1"/>
  </autoFilter>
  <tableColumns count="6">
    <tableColumn id="1" xr3:uid="{87C96C4E-7FB5-41F4-9F35-28EC8489CE33}" name="Particulars" dataDxfId="271"/>
    <tableColumn id="2" xr3:uid="{A63A72A5-1AC4-4475-8DA0-A879110D732C}" name="2020" dataDxfId="270" dataCellStyle="Comma"/>
    <tableColumn id="3" xr3:uid="{95997A8B-E5EC-42B4-9B7C-3F4A22933DBE}" name="2021" dataDxfId="269" dataCellStyle="Comma"/>
    <tableColumn id="4" xr3:uid="{CFF091C8-9445-4F8F-81E1-5698CD224880}" name="2022" dataDxfId="268" dataCellStyle="Comma"/>
    <tableColumn id="5" xr3:uid="{5D889D2F-6BFC-4196-8266-1EC68AA79CA6}" name="2023" dataDxfId="267" dataCellStyle="Comma"/>
    <tableColumn id="6" xr3:uid="{29A7B1C9-8C19-4E83-B8CD-BD1BEAE67C61}" name="2024" dataDxfId="266" dataCellStyle="Comma"/>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DAEF2C-59C8-4952-A279-9CF9E7350920}" name="Table2" displayName="Table2" ref="A13:F22" totalsRowShown="0" headerRowDxfId="265" dataDxfId="264">
  <autoFilter ref="A13:F22" xr:uid="{D0DAEF2C-59C8-4952-A279-9CF9E7350920}">
    <filterColumn colId="0" hiddenButton="1"/>
    <filterColumn colId="1" hiddenButton="1"/>
    <filterColumn colId="2" hiddenButton="1"/>
    <filterColumn colId="3" hiddenButton="1"/>
    <filterColumn colId="4" hiddenButton="1"/>
    <filterColumn colId="5" hiddenButton="1"/>
  </autoFilter>
  <tableColumns count="6">
    <tableColumn id="1" xr3:uid="{FD8472C4-C619-4322-AF26-F4DE5365DE7A}" name="Particulars" dataDxfId="263"/>
    <tableColumn id="2" xr3:uid="{14E76004-F486-4D29-84B0-83A6FE0AB338}" name="2020" dataDxfId="262" dataCellStyle="Comma"/>
    <tableColumn id="3" xr3:uid="{8B3427C9-49C0-4896-A400-5916B359A2BD}" name="2021" dataDxfId="261" dataCellStyle="Comma"/>
    <tableColumn id="4" xr3:uid="{5D7DF34B-A9A4-4BB6-958A-C54E970A4839}" name="2022" dataDxfId="260" dataCellStyle="Comma"/>
    <tableColumn id="5" xr3:uid="{CFF6D513-4030-4087-A01A-86A7052BD5EF}" name="2023" dataDxfId="259" dataCellStyle="Comma"/>
    <tableColumn id="6" xr3:uid="{6C8BD625-BD8A-4FB5-BF3A-CC5AD1A1F3D0}" name="2024" dataDxfId="258" dataCellStyle="Comma"/>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BB95089-A0D2-46D1-9F74-D71F168035E9}" name="Table3" displayName="Table3" ref="A25:F29" totalsRowShown="0" headerRowDxfId="257" dataDxfId="256">
  <autoFilter ref="A25:F29" xr:uid="{8BB95089-A0D2-46D1-9F74-D71F168035E9}">
    <filterColumn colId="0" hiddenButton="1"/>
    <filterColumn colId="1" hiddenButton="1"/>
    <filterColumn colId="2" hiddenButton="1"/>
    <filterColumn colId="3" hiddenButton="1"/>
    <filterColumn colId="4" hiddenButton="1"/>
    <filterColumn colId="5" hiddenButton="1"/>
  </autoFilter>
  <tableColumns count="6">
    <tableColumn id="1" xr3:uid="{84503F1A-9AF5-4067-BD67-1BEAD3D4E2F3}" name="Particulars" dataDxfId="255"/>
    <tableColumn id="2" xr3:uid="{9E0D8148-9E22-4388-9999-7173ADB46118}" name="2020" dataDxfId="254" dataCellStyle="Comma"/>
    <tableColumn id="3" xr3:uid="{599C4D78-01ED-41C8-8874-832F34BD081D}" name="2021" dataDxfId="253" dataCellStyle="Comma"/>
    <tableColumn id="4" xr3:uid="{620ABF37-DA63-4371-B38F-891E29C85543}" name="2022" dataDxfId="252" dataCellStyle="Comma"/>
    <tableColumn id="5" xr3:uid="{A2477ABD-C520-4A89-BA1A-398D44E15AD9}" name="2023" dataDxfId="251" dataCellStyle="Comma"/>
    <tableColumn id="6" xr3:uid="{F503A7D3-02D9-4731-B613-053EDD22BC21}" name="2024" dataDxfId="250" dataCellStyle="Comma"/>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64AAAEA-B02A-4069-96A0-B92BEC5970F3}" name="Table18" displayName="Table18" ref="H2:M10" totalsRowShown="0" headerRowDxfId="249" dataDxfId="248">
  <autoFilter ref="H2:M10" xr:uid="{064AAAEA-B02A-4069-96A0-B92BEC5970F3}">
    <filterColumn colId="0" hiddenButton="1"/>
    <filterColumn colId="1" hiddenButton="1"/>
    <filterColumn colId="2" hiddenButton="1"/>
    <filterColumn colId="3" hiddenButton="1"/>
    <filterColumn colId="4" hiddenButton="1"/>
    <filterColumn colId="5" hiddenButton="1"/>
  </autoFilter>
  <tableColumns count="6">
    <tableColumn id="1" xr3:uid="{05C4FAAB-7EC3-48BE-A0D2-E7C72EEC7A69}" name="Particulars" dataDxfId="247"/>
    <tableColumn id="2" xr3:uid="{42DAB1AE-6834-46E7-A7EB-1BABE2F3DFD9}" name="2020" dataDxfId="246" dataCellStyle="Comma"/>
    <tableColumn id="3" xr3:uid="{6480E396-EA2E-4C9F-983A-231FC0DEFEA9}" name="2021" dataDxfId="245" dataCellStyle="Comma"/>
    <tableColumn id="4" xr3:uid="{01516EF8-F49A-4AE9-B647-8D270579591E}" name="2022" dataDxfId="244" dataCellStyle="Comma"/>
    <tableColumn id="5" xr3:uid="{55ECCBFD-F15F-4E7B-8A3C-105671367CB8}" name="2023" dataDxfId="243" dataCellStyle="Comma"/>
    <tableColumn id="6" xr3:uid="{A02157DC-3225-496F-A6DE-367D52FD5D28}" name="2024" dataDxfId="242" dataCellStyle="Comma"/>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114E142-AC4D-486E-8912-4E77956C158E}" name="Table29" displayName="Table29" ref="H13:M22" totalsRowShown="0" headerRowDxfId="241" dataDxfId="240">
  <autoFilter ref="H13:M22" xr:uid="{7114E142-AC4D-486E-8912-4E77956C158E}">
    <filterColumn colId="0" hiddenButton="1"/>
    <filterColumn colId="1" hiddenButton="1"/>
    <filterColumn colId="2" hiddenButton="1"/>
    <filterColumn colId="3" hiddenButton="1"/>
    <filterColumn colId="4" hiddenButton="1"/>
    <filterColumn colId="5" hiddenButton="1"/>
  </autoFilter>
  <tableColumns count="6">
    <tableColumn id="1" xr3:uid="{2E647D4F-B8C5-41A9-97FC-DE2060B90643}" name="Particulars" dataDxfId="239"/>
    <tableColumn id="2" xr3:uid="{40101FA0-1B89-46F4-9416-616FBC02F522}" name="2020" dataDxfId="238" dataCellStyle="Comma"/>
    <tableColumn id="3" xr3:uid="{824EF168-0C6F-4C28-9335-7801505FA576}" name="2021" dataDxfId="237" dataCellStyle="Comma"/>
    <tableColumn id="4" xr3:uid="{08A110EE-F6D7-489F-84E6-37E02740601D}" name="2022" dataDxfId="236" dataCellStyle="Comma"/>
    <tableColumn id="5" xr3:uid="{B2B4F13E-DE5B-4E04-9DEF-28B241DE8501}" name="2023" dataDxfId="235" dataCellStyle="Comma"/>
    <tableColumn id="6" xr3:uid="{9800899F-562D-41F0-AFD2-D9BEB25D6F0D}" name="2024" dataDxfId="234" dataCellStyle="Comma"/>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34277EB-BAEE-4359-8713-E38BB05760E9}" name="Table310" displayName="Table310" ref="H25:M29" totalsRowShown="0" headerRowDxfId="233" dataDxfId="232">
  <autoFilter ref="H25:M29" xr:uid="{534277EB-BAEE-4359-8713-E38BB05760E9}">
    <filterColumn colId="0" hiddenButton="1"/>
    <filterColumn colId="1" hiddenButton="1"/>
    <filterColumn colId="2" hiddenButton="1"/>
    <filterColumn colId="3" hiddenButton="1"/>
    <filterColumn colId="4" hiddenButton="1"/>
    <filterColumn colId="5" hiddenButton="1"/>
  </autoFilter>
  <tableColumns count="6">
    <tableColumn id="1" xr3:uid="{BE9FEC88-B000-49E4-9E94-DF50DEA11A64}" name="Particulars" dataDxfId="231"/>
    <tableColumn id="2" xr3:uid="{66D3CDB4-2266-4260-B48D-466F787DC1A5}" name="2020" dataDxfId="230" dataCellStyle="Comma"/>
    <tableColumn id="3" xr3:uid="{8E9A5D02-A344-4EA0-9A0A-C7F27B21962D}" name="2021" dataDxfId="229" dataCellStyle="Comma"/>
    <tableColumn id="4" xr3:uid="{DFF63739-A296-42F7-A5D8-B4C501100271}" name="2022" dataDxfId="228" dataCellStyle="Comma"/>
    <tableColumn id="5" xr3:uid="{DF1D221C-77DA-4DDA-A307-D54255849022}" name="2023" dataDxfId="227" dataCellStyle="Comma"/>
    <tableColumn id="6" xr3:uid="{23591CC0-8FBF-422C-BBCA-AE9BAFA00CB8}" name="2024" dataDxfId="226" dataCellStyle="Comma"/>
  </tableColumns>
  <tableStyleInfo name="TableStyleMedium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2A93EFD-9175-4D12-99F8-3AA2CECA00AC}" name="Table120" displayName="Table120" ref="O2:T10" totalsRowShown="0" headerRowDxfId="225" dataDxfId="224">
  <autoFilter ref="O2:T10" xr:uid="{02A93EFD-9175-4D12-99F8-3AA2CECA00AC}">
    <filterColumn colId="0" hiddenButton="1"/>
    <filterColumn colId="1" hiddenButton="1"/>
    <filterColumn colId="2" hiddenButton="1"/>
    <filterColumn colId="3" hiddenButton="1"/>
    <filterColumn colId="4" hiddenButton="1"/>
    <filterColumn colId="5" hiddenButton="1"/>
  </autoFilter>
  <tableColumns count="6">
    <tableColumn id="1" xr3:uid="{3F2369F0-3FB0-48BF-A466-615C808DE10B}" name="Particulars" dataDxfId="223"/>
    <tableColumn id="2" xr3:uid="{3A13594D-C34C-41B4-B032-87AF290751D1}" name="2020" dataDxfId="222" dataCellStyle="Comma"/>
    <tableColumn id="3" xr3:uid="{4CFAB787-01EB-4035-B7C7-8021987C19E0}" name="2021" dataDxfId="221" dataCellStyle="Comma"/>
    <tableColumn id="4" xr3:uid="{15D24702-163C-4077-9A47-FFA1E4C938C4}" name="2022" dataDxfId="220" dataCellStyle="Comma"/>
    <tableColumn id="5" xr3:uid="{837BACA0-4800-4E13-9050-5CA9907C7E3D}" name="2023" dataDxfId="219" dataCellStyle="Comma"/>
    <tableColumn id="6" xr3:uid="{D1874259-A611-4692-BE2D-D1226CF4D6AD}" name="2024" dataDxfId="218" dataCellStyle="Comma"/>
  </tableColumns>
  <tableStyleInfo name="TableStyleMedium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8650695-426F-4D85-8170-EDA55DD9C9D1}" name="Table221" displayName="Table221" ref="O13:T22" totalsRowShown="0" headerRowDxfId="217" dataDxfId="216">
  <autoFilter ref="O13:T22" xr:uid="{88650695-426F-4D85-8170-EDA55DD9C9D1}">
    <filterColumn colId="0" hiddenButton="1"/>
    <filterColumn colId="1" hiddenButton="1"/>
    <filterColumn colId="2" hiddenButton="1"/>
    <filterColumn colId="3" hiddenButton="1"/>
    <filterColumn colId="4" hiddenButton="1"/>
    <filterColumn colId="5" hiddenButton="1"/>
  </autoFilter>
  <tableColumns count="6">
    <tableColumn id="1" xr3:uid="{E5A2C52F-D9BF-486A-9B5A-26D4CBB814A5}" name="Particulars" dataDxfId="215"/>
    <tableColumn id="2" xr3:uid="{D7F57253-DB08-4D8D-93C7-29B372C9D7AD}" name="2020" dataDxfId="214" dataCellStyle="Comma"/>
    <tableColumn id="3" xr3:uid="{05A696C8-73AD-411D-8FB4-652E6B5D3FBD}" name="2021" dataDxfId="213" dataCellStyle="Comma"/>
    <tableColumn id="4" xr3:uid="{8F84E68A-AF0D-4DEA-A081-07776EDD5CDD}" name="2022" dataDxfId="212" dataCellStyle="Comma"/>
    <tableColumn id="5" xr3:uid="{DF2E4289-575B-4478-AB03-9CE2793E5E52}" name="2023" dataDxfId="211" dataCellStyle="Comma"/>
    <tableColumn id="6" xr3:uid="{985C9FA7-5C2A-4289-997E-F26C6C7404DE}" name="2024" dataDxfId="210" dataCellStyle="Comma"/>
  </tableColumns>
  <tableStyleInfo name="TableStyleMedium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105AC1A-E01E-49B7-BDD1-0B1386A23DB2}" name="Table322" displayName="Table322" ref="O25:T29" totalsRowShown="0" headerRowDxfId="209" dataDxfId="208">
  <autoFilter ref="O25:T29" xr:uid="{B105AC1A-E01E-49B7-BDD1-0B1386A23DB2}">
    <filterColumn colId="0" hiddenButton="1"/>
    <filterColumn colId="1" hiddenButton="1"/>
    <filterColumn colId="2" hiddenButton="1"/>
    <filterColumn colId="3" hiddenButton="1"/>
    <filterColumn colId="4" hiddenButton="1"/>
    <filterColumn colId="5" hiddenButton="1"/>
  </autoFilter>
  <tableColumns count="6">
    <tableColumn id="1" xr3:uid="{D299F44A-8E2F-4964-948E-5BFFDBBBD6FB}" name="Particulars" dataDxfId="207"/>
    <tableColumn id="2" xr3:uid="{7A03B654-3D00-412C-8696-1517783CE003}" name="2020" dataDxfId="206" dataCellStyle="Comma"/>
    <tableColumn id="3" xr3:uid="{7A0647B8-63A6-4978-AE4D-191F623B4C25}" name="2021" dataDxfId="205" dataCellStyle="Comma"/>
    <tableColumn id="4" xr3:uid="{2BA10CF0-1941-4895-82BE-4B6651953B55}" name="2022" dataDxfId="204" dataCellStyle="Comma"/>
    <tableColumn id="5" xr3:uid="{B2690D5B-D731-4868-8AD2-23DC233402CA}" name="2023" dataDxfId="203" dataCellStyle="Comma"/>
    <tableColumn id="6" xr3:uid="{02A600FA-7F3B-4A4E-992B-4C2DB1C36F38}" name="2024" dataDxfId="202" dataCellStyle="Comma"/>
  </tableColumns>
  <tableStyleInfo name="TableStyleMedium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167A6F2-A704-42BA-A0B7-2573F5F23B8E}" name="Table1826" displayName="Table1826" ref="W2:AB10" totalsRowShown="0" headerRowDxfId="201" dataDxfId="200">
  <autoFilter ref="W2:AB10" xr:uid="{2167A6F2-A704-42BA-A0B7-2573F5F23B8E}">
    <filterColumn colId="0" hiddenButton="1"/>
    <filterColumn colId="1" hiddenButton="1"/>
    <filterColumn colId="2" hiddenButton="1"/>
    <filterColumn colId="3" hiddenButton="1"/>
    <filterColumn colId="4" hiddenButton="1"/>
    <filterColumn colId="5" hiddenButton="1"/>
  </autoFilter>
  <tableColumns count="6">
    <tableColumn id="1" xr3:uid="{51D25E12-8D45-4F5A-BFE2-D9884C978395}" name="Particulars" dataDxfId="199"/>
    <tableColumn id="2" xr3:uid="{651FFB90-D7F9-4D75-87FC-561C27E4469E}" name="2020" dataDxfId="198" dataCellStyle="Comma"/>
    <tableColumn id="3" xr3:uid="{9697663A-23FC-4E0C-BABF-B2086FD64A63}" name="2021" dataDxfId="197" dataCellStyle="Comma"/>
    <tableColumn id="4" xr3:uid="{D3C59148-E298-4315-85DA-D072987551DB}" name="2022" dataDxfId="196" dataCellStyle="Comma"/>
    <tableColumn id="5" xr3:uid="{32A67580-0880-4FB7-B4C1-6581889B159A}" name="2023" dataDxfId="195" dataCellStyle="Comma"/>
    <tableColumn id="6" xr3:uid="{86CB9BCA-5CDD-48B1-BDDD-C1F61834237C}" name="2024" dataDxfId="194" dataCellStyle="Comma"/>
  </tableColumns>
  <tableStyleInfo name="TableStyleMedium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DF5B8C8-C541-4FAD-AA31-35C8317164B4}" name="Table2927" displayName="Table2927" ref="W13:AB22" totalsRowShown="0" headerRowDxfId="193" dataDxfId="192">
  <autoFilter ref="W13:AB22" xr:uid="{9DF5B8C8-C541-4FAD-AA31-35C8317164B4}">
    <filterColumn colId="0" hiddenButton="1"/>
    <filterColumn colId="1" hiddenButton="1"/>
    <filterColumn colId="2" hiddenButton="1"/>
    <filterColumn colId="3" hiddenButton="1"/>
    <filterColumn colId="4" hiddenButton="1"/>
    <filterColumn colId="5" hiddenButton="1"/>
  </autoFilter>
  <tableColumns count="6">
    <tableColumn id="1" xr3:uid="{A72A34AC-B89C-4B53-A99A-9192DDF21E63}" name="Particulars" dataDxfId="191"/>
    <tableColumn id="2" xr3:uid="{0DC324C2-80B6-42EE-9382-A0621B665F45}" name="2020" dataDxfId="190" dataCellStyle="Comma"/>
    <tableColumn id="3" xr3:uid="{39A8D4FA-F6AD-4713-9280-9C466A5EE1C7}" name="2021" dataDxfId="189" dataCellStyle="Comma"/>
    <tableColumn id="4" xr3:uid="{6790CDED-E1C9-4F9B-860F-BCF6F37390B3}" name="2022" dataDxfId="188" dataCellStyle="Comma"/>
    <tableColumn id="5" xr3:uid="{D72E1AA5-2EE2-45E7-8053-F6E9261C9E9E}" name="2023" dataDxfId="187" dataCellStyle="Comma"/>
    <tableColumn id="6" xr3:uid="{DD3A0AB4-84E3-4C2F-8912-8D2D3B5FCEEF}" name="2024" dataDxfId="186" dataCellStyle="Comma"/>
  </tableColumns>
  <tableStyleInfo name="TableStyleMedium1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A1960B8-208A-4479-9ACC-A94D444B39DE}" name="Table31028" displayName="Table31028" ref="W25:AB29" totalsRowShown="0" headerRowDxfId="185" dataDxfId="184">
  <autoFilter ref="W25:AB29" xr:uid="{6A1960B8-208A-4479-9ACC-A94D444B39DE}">
    <filterColumn colId="0" hiddenButton="1"/>
    <filterColumn colId="1" hiddenButton="1"/>
    <filterColumn colId="2" hiddenButton="1"/>
    <filterColumn colId="3" hiddenButton="1"/>
    <filterColumn colId="4" hiddenButton="1"/>
    <filterColumn colId="5" hiddenButton="1"/>
  </autoFilter>
  <tableColumns count="6">
    <tableColumn id="1" xr3:uid="{C4FDCDB4-2A91-4AB2-A18E-AD964946B03D}" name="Particulars" dataDxfId="183"/>
    <tableColumn id="2" xr3:uid="{29924992-5D01-4155-812B-C5A59949F542}" name="2020" dataDxfId="182" dataCellStyle="Comma"/>
    <tableColumn id="3" xr3:uid="{D5778096-0757-4A3E-A04A-09D4B6D376CA}" name="2021" dataDxfId="181" dataCellStyle="Comma"/>
    <tableColumn id="4" xr3:uid="{C93EE796-AF2E-442B-8AB4-2111A08231D6}" name="2022" dataDxfId="180" dataCellStyle="Comma"/>
    <tableColumn id="5" xr3:uid="{5A564C8E-08CC-4199-9F1E-BDB435DA0A91}" name="2023" dataDxfId="179" dataCellStyle="Comma"/>
    <tableColumn id="6" xr3:uid="{ECB2259E-E7C9-41A5-B170-7DA1261AB9CD}" name="2024" dataDxfId="178" dataCellStyle="Comma"/>
  </tableColumns>
  <tableStyleInfo name="TableStyleMedium1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85B9ED-7546-4E37-AA1C-94405F729624}" name="Table4" displayName="Table4" ref="O32:T35" totalsRowShown="0" headerRowDxfId="67" dataDxfId="68">
  <autoFilter ref="O32:T35" xr:uid="{0485B9ED-7546-4E37-AA1C-94405F729624}">
    <filterColumn colId="0" hiddenButton="1"/>
    <filterColumn colId="1" hiddenButton="1"/>
    <filterColumn colId="2" hiddenButton="1"/>
    <filterColumn colId="3" hiddenButton="1"/>
    <filterColumn colId="4" hiddenButton="1"/>
    <filterColumn colId="5" hiddenButton="1"/>
  </autoFilter>
  <tableColumns count="6">
    <tableColumn id="1" xr3:uid="{F199DD30-4362-47D1-9AB0-83BEF28D97DA}" name="Particulars" dataDxfId="66"/>
    <tableColumn id="2" xr3:uid="{A1A72FE3-7B1C-4FDB-B84B-BB471E5E84D0}" name="2020" dataDxfId="65"/>
    <tableColumn id="3" xr3:uid="{317D44C4-B0BB-47F6-8153-EB527F15A35E}" name="2021" dataDxfId="64"/>
    <tableColumn id="4" xr3:uid="{5BEAC99A-2514-4E1F-993D-70C11C11F816}" name="2022" dataDxfId="63"/>
    <tableColumn id="5" xr3:uid="{5CE5CFCC-534C-4C53-9382-24EB00C249A1}" name="2023" dataDxfId="62"/>
    <tableColumn id="6" xr3:uid="{83FA777F-94E6-4ABC-929B-38B75176B8EA}" name="2024" dataDxfId="61"/>
  </tableColumns>
  <tableStyleInfo name="TableStyleMedium1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5509C5-2A08-449D-8919-C04E6B9AD2FE}" name="Table5" displayName="Table5" ref="O37:U41" totalsRowShown="0" headerRowDxfId="59" dataDxfId="60">
  <autoFilter ref="O37:U41" xr:uid="{B15509C5-2A08-449D-8919-C04E6B9AD2F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DC7F2DA-A6CC-406D-A93C-6DF64C35997A}" name="Particulars" dataDxfId="58"/>
    <tableColumn id="2" xr3:uid="{4D59DA01-F1CF-4BEE-B78A-4F164EF9E49F}" name="2025" dataDxfId="57"/>
    <tableColumn id="3" xr3:uid="{13C9D775-4098-4196-AC01-A32DDD31874A}" name="2026" dataDxfId="56"/>
    <tableColumn id="4" xr3:uid="{509C6FE3-4D74-4CD4-AC8C-2D9E70796657}" name="2027" dataDxfId="55"/>
    <tableColumn id="5" xr3:uid="{09D983AE-6836-42AE-803A-7060EAAA5026}" name="2028" dataDxfId="54"/>
    <tableColumn id="6" xr3:uid="{C928B19E-3E21-4975-B2C0-C1B1C0509C9E}" name="2029" dataDxfId="53"/>
    <tableColumn id="7" xr3:uid="{29537A06-2227-41F7-B312-28E182A0DE2E}" name="2030" dataDxfId="52"/>
  </tableColumns>
  <tableStyleInfo name="TableStyleMedium1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4EB63F-2D8D-49E3-AF06-3F36900F0166}" name="Table44" displayName="Table44" ref="W32:AB35" totalsRowShown="0" headerRowDxfId="51" dataDxfId="50">
  <autoFilter ref="W32:AB35" xr:uid="{854EB63F-2D8D-49E3-AF06-3F36900F0166}">
    <filterColumn colId="0" hiddenButton="1"/>
    <filterColumn colId="1" hiddenButton="1"/>
    <filterColumn colId="2" hiddenButton="1"/>
    <filterColumn colId="3" hiddenButton="1"/>
    <filterColumn colId="4" hiddenButton="1"/>
    <filterColumn colId="5" hiddenButton="1"/>
  </autoFilter>
  <tableColumns count="6">
    <tableColumn id="1" xr3:uid="{69F4EA2B-932B-45CE-B5C6-634DF0863993}" name="Particulars" dataDxfId="49"/>
    <tableColumn id="2" xr3:uid="{6EB242E8-0D7B-4D32-A90F-87BAE4AE8940}" name="2020" dataDxfId="48"/>
    <tableColumn id="3" xr3:uid="{CBA412B8-8B9E-47A2-B805-D71EDC47C758}" name="2021" dataDxfId="47"/>
    <tableColumn id="4" xr3:uid="{A1239B1D-626A-4959-8637-8ADD9AF6B194}" name="2022" dataDxfId="46"/>
    <tableColumn id="5" xr3:uid="{DEDD062C-9221-445C-A5A3-565CCCC84642}" name="2023" dataDxfId="45"/>
    <tableColumn id="6" xr3:uid="{545F05A0-DC1E-4910-B9AE-BF43B5FC8A82}" name="2024" dataDxfId="44"/>
  </tableColumns>
  <tableStyleInfo name="TableStyleMedium15"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4CDDA7-3CD7-4145-97C1-A61D521FB77C}" name="Table55" displayName="Table55" ref="W37:AC41" totalsRowShown="0" headerRowDxfId="43" dataDxfId="42">
  <autoFilter ref="W37:AC41" xr:uid="{894CDDA7-3CD7-4145-97C1-A61D521FB77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B3F89F4-3E52-4E9C-B27B-467E3E2A02E4}" name="Particulars" dataDxfId="41"/>
    <tableColumn id="2" xr3:uid="{68A6C3F5-FB4A-47D0-9EB2-478A641B86A0}" name="2025" dataDxfId="40"/>
    <tableColumn id="3" xr3:uid="{CFE62B37-59CE-4574-BDF8-8305A1BC5F75}" name="2026" dataDxfId="39"/>
    <tableColumn id="4" xr3:uid="{72AE347E-092B-49BB-A6F4-0E9B7BD1A4A5}" name="2027" dataDxfId="38"/>
    <tableColumn id="5" xr3:uid="{7EFD0ABC-8E36-46D7-8E36-FA6865511EFD}" name="2028" dataDxfId="37"/>
    <tableColumn id="6" xr3:uid="{DCED6B88-4500-4F4F-B843-6F565E739873}" name="2029" dataDxfId="36"/>
    <tableColumn id="7" xr3:uid="{53B85F2A-20BC-427E-B194-AF184C73080A}" name="2030" dataDxfId="35"/>
  </tableColumns>
  <tableStyleInfo name="TableStyleMedium1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DD46DA8-B6F9-44C9-BF38-1634B9F36B09}" name="Table46" displayName="Table46" ref="AE32:AJ35" totalsRowShown="0" headerRowDxfId="34" dataDxfId="33">
  <autoFilter ref="AE32:AJ35" xr:uid="{3DD46DA8-B6F9-44C9-BF38-1634B9F36B09}">
    <filterColumn colId="0" hiddenButton="1"/>
    <filterColumn colId="1" hiddenButton="1"/>
    <filterColumn colId="2" hiddenButton="1"/>
    <filterColumn colId="3" hiddenButton="1"/>
    <filterColumn colId="4" hiddenButton="1"/>
    <filterColumn colId="5" hiddenButton="1"/>
  </autoFilter>
  <tableColumns count="6">
    <tableColumn id="1" xr3:uid="{F9D1DE2C-CFD7-4009-BA5F-3AFC60E571D2}" name="Particulars" dataDxfId="32"/>
    <tableColumn id="2" xr3:uid="{F08C283E-712A-4B02-A3FB-076AD3FB1681}" name="2020" dataDxfId="31"/>
    <tableColumn id="3" xr3:uid="{442CA0B1-FCF5-4F30-A9DC-4C12309BFDDC}" name="2021" dataDxfId="30"/>
    <tableColumn id="4" xr3:uid="{8ED70566-2547-4C40-BD6C-FB564305CB53}" name="2022" dataDxfId="29"/>
    <tableColumn id="5" xr3:uid="{72332CE2-93A3-4E7E-948F-A47EE1B91DC3}" name="2023" dataDxfId="28"/>
    <tableColumn id="6" xr3:uid="{4489A829-E09D-43DA-9585-7126DEE8FFAE}" name="2024" dataDxfId="27"/>
  </tableColumns>
  <tableStyleInfo name="TableStyleMedium1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48C180-9CF5-4891-83B8-F968AFC3FCD8}" name="Table57" displayName="Table57" ref="AE37:AK41" totalsRowShown="0" headerRowDxfId="26" dataDxfId="25">
  <autoFilter ref="AE37:AK41" xr:uid="{2348C180-9CF5-4891-83B8-F968AFC3FCD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709D18F-491C-418F-9328-5C9F061BECBB}" name="Particulars" dataDxfId="24"/>
    <tableColumn id="2" xr3:uid="{5FF2D794-013B-499B-9056-D978ABBFE46F}" name="2025" dataDxfId="23"/>
    <tableColumn id="3" xr3:uid="{010BF174-6562-4A12-865F-0DA9C3F744BC}" name="2026" dataDxfId="22"/>
    <tableColumn id="4" xr3:uid="{4CD91EE4-75B9-40BA-9258-BB27544A594B}" name="2027" dataDxfId="21"/>
    <tableColumn id="5" xr3:uid="{EB64F333-8210-44FB-93E4-8FFD08CD8555}" name="2028" dataDxfId="20"/>
    <tableColumn id="6" xr3:uid="{2C4FA4AB-B14A-4D0D-B0C7-BAFE00FA69D8}" name="2029" dataDxfId="19"/>
    <tableColumn id="7" xr3:uid="{BECDA3DA-C9F6-4C76-9462-6D75694CDFAD}" name="2030" dataDxfId="18"/>
  </tableColumns>
  <tableStyleInfo name="TableStyleMedium15"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120B5AB-0F10-4973-84F1-7073AC1A2F18}" name="Table19" displayName="Table19" ref="H2:M7" totalsRowShown="0" headerRowDxfId="177" dataDxfId="175" headerRowBorderDxfId="176" tableBorderDxfId="174" totalsRowBorderDxfId="173">
  <autoFilter ref="H2:M7" xr:uid="{C120B5AB-0F10-4973-84F1-7073AC1A2F18}">
    <filterColumn colId="0" hiddenButton="1"/>
    <filterColumn colId="1" hiddenButton="1"/>
    <filterColumn colId="2" hiddenButton="1"/>
    <filterColumn colId="3" hiddenButton="1"/>
    <filterColumn colId="4" hiddenButton="1"/>
    <filterColumn colId="5" hiddenButton="1"/>
  </autoFilter>
  <tableColumns count="6">
    <tableColumn id="1" xr3:uid="{E6F03100-894A-407C-A30A-7134E61E502A}" name="Current" dataDxfId="172"/>
    <tableColumn id="2" xr3:uid="{B683DAE6-328A-421D-B642-0A63A8CCB74A}" name="2020" dataDxfId="171"/>
    <tableColumn id="3" xr3:uid="{7550380F-6E1A-4C42-9886-62F484498688}" name="2021" dataDxfId="170"/>
    <tableColumn id="4" xr3:uid="{8330F466-9447-4C19-A7A8-F4B48B2FE55A}" name="2022" dataDxfId="169"/>
    <tableColumn id="5" xr3:uid="{46737FC2-CD29-42C7-9C01-EC17B3EBC0B6}" name="2023" dataDxfId="168"/>
    <tableColumn id="6" xr3:uid="{55A8EFB8-75DC-49BA-8438-3A646AE3888E}" name="2024" dataDxfId="167"/>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071B928-8209-4152-9A93-5CA2BCDB9E4B}" name="Table20" displayName="Table20" ref="H10:N15" totalsRowShown="0" headerRowDxfId="166" dataDxfId="164" headerRowBorderDxfId="165" tableBorderDxfId="163" totalsRowBorderDxfId="162">
  <autoFilter ref="H10:N15" xr:uid="{E071B928-8209-4152-9A93-5CA2BCDB9E4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E1A1782-0EE2-4A5A-B9A5-9CAC0472216E}" name="Forecast" dataDxfId="161">
      <calculatedColumnFormula>H3</calculatedColumnFormula>
    </tableColumn>
    <tableColumn id="2" xr3:uid="{7EE7FB2B-6877-45A7-9384-918838995B20}" name="2025" dataDxfId="160"/>
    <tableColumn id="3" xr3:uid="{873391FC-F6AD-4268-81F8-E7ED6DC53434}" name="2026" dataDxfId="159"/>
    <tableColumn id="4" xr3:uid="{385358B6-807D-472D-A189-656161BD4EF3}" name="2027" dataDxfId="158"/>
    <tableColumn id="5" xr3:uid="{2B12AE4E-3D83-447E-9A49-E4A5324E2490}" name="2028" dataDxfId="157"/>
    <tableColumn id="6" xr3:uid="{C3684CA5-0CB8-490F-82AD-D77629E1D360}" name="2029" dataDxfId="156"/>
    <tableColumn id="7" xr3:uid="{7771A889-124A-4A61-98B5-5CBED19AEC05}" name="2030" dataDxfId="155"/>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A5D6F74-AAB9-4093-92BA-168111D76D2B}" name="Table8" displayName="Table8" ref="A12:B22" totalsRowShown="0" headerRowDxfId="154" dataDxfId="153">
  <autoFilter ref="A12:B22" xr:uid="{8A5D6F74-AAB9-4093-92BA-168111D76D2B}">
    <filterColumn colId="0" hiddenButton="1"/>
    <filterColumn colId="1" hiddenButton="1"/>
  </autoFilter>
  <tableColumns count="2">
    <tableColumn id="1" xr3:uid="{B18960F6-8675-4192-9164-15214DA1453A}" name="Metrics" dataDxfId="152"/>
    <tableColumn id="2" xr3:uid="{130E9628-66BD-4109-AB42-233BBE89185F}" name="Value" dataDxfId="151"/>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CC5BB36-490B-478A-805A-B131254322BB}" name="Table9" displayName="Table9" ref="A2:G9" totalsRowShown="0" headerRowDxfId="150" dataDxfId="149" headerRowCellStyle="Percent">
  <autoFilter ref="A2:G9" xr:uid="{ECC5BB36-490B-478A-805A-B131254322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55C25CD-86E9-420B-885E-EA9BAD1E5130}" name="Particulars" dataDxfId="148"/>
    <tableColumn id="2" xr3:uid="{83B1CB51-F6A2-4D42-A917-A29CDA67E550}" name="2025" dataDxfId="147"/>
    <tableColumn id="3" xr3:uid="{521F8056-8284-44D5-B6A1-26309387842E}" name="2026" dataDxfId="146"/>
    <tableColumn id="4" xr3:uid="{892F029E-531C-4DD1-824C-E7825584E15C}" name="2027" dataDxfId="145"/>
    <tableColumn id="5" xr3:uid="{9C4C7525-6949-42DD-8845-3F5E04E05C45}" name="2028" dataDxfId="144"/>
    <tableColumn id="6" xr3:uid="{1D362FF9-F16E-4C64-8BBC-62D4E748D4CB}" name="2029" dataDxfId="143"/>
    <tableColumn id="7" xr3:uid="{BDF6CC5A-FA87-4920-946C-B96A7DFB8522}" name="2030" dataDxfId="142"/>
  </tableColumns>
  <tableStyleInfo name="TableStyleMedium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18C4E3C-5398-4AF7-9818-8D23FD340441}" name="Table10" displayName="Table10" ref="I2:O9" totalsRowShown="0" headerRowDxfId="141" dataDxfId="140" tableBorderDxfId="139" headerRowCellStyle="Percent">
  <autoFilter ref="I2:O9" xr:uid="{F18C4E3C-5398-4AF7-9818-8D23FD34044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4A38AED-3CF5-4D36-B9BF-34510CEDEA9F}" name="Particulars" dataDxfId="138"/>
    <tableColumn id="2" xr3:uid="{A7ECC82D-365A-497D-AD6F-A25CE4927278}" name="2025" dataDxfId="137" dataCellStyle="Comma"/>
    <tableColumn id="3" xr3:uid="{701A6949-183E-4B59-AB0D-06AD918CF61C}" name="2026" dataDxfId="136" dataCellStyle="Comma"/>
    <tableColumn id="4" xr3:uid="{9CD83BC2-87FB-4743-B5BE-30C8B4A28161}" name="2027" dataDxfId="135" dataCellStyle="Comma"/>
    <tableColumn id="5" xr3:uid="{6207061B-E197-4831-99EC-0BB6A6B26A2A}" name="2028" dataDxfId="134" dataCellStyle="Comma"/>
    <tableColumn id="6" xr3:uid="{9277C2DB-0B57-4EAE-98B1-30E775C660A7}" name="2029" dataDxfId="133" dataCellStyle="Comma"/>
    <tableColumn id="7" xr3:uid="{62603D0C-D557-4C31-981B-B337BDB29C72}" name="2030" dataDxfId="132" dataCellStyle="Comma"/>
  </tableColumns>
  <tableStyleInfo name="TableStyleMedium1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767A9DD-6833-4BB0-8FEE-E5B4AF0CA223}" name="Table814" displayName="Table814" ref="I12:J22" totalsRowShown="0" headerRowDxfId="131" dataDxfId="130" tableBorderDxfId="129">
  <autoFilter ref="I12:J22" xr:uid="{3767A9DD-6833-4BB0-8FEE-E5B4AF0CA223}">
    <filterColumn colId="0" hiddenButton="1"/>
    <filterColumn colId="1" hiddenButton="1"/>
  </autoFilter>
  <tableColumns count="2">
    <tableColumn id="1" xr3:uid="{818D7C91-804B-4DCC-8CA0-8A04D7753744}" name="Metrics" dataDxfId="128"/>
    <tableColumn id="2" xr3:uid="{9E79AA6C-9AE1-46B0-AB71-40418E56965C}" name="Value" dataDxfId="127"/>
  </tableColumns>
  <tableStyleInfo name="TableStyleMedium1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DE78591-B907-4B94-B01B-FEAEE5CBF74D}" name="Table832" displayName="Table832" ref="Q12:R22" totalsRowShown="0" headerRowDxfId="126" dataDxfId="125">
  <autoFilter ref="Q12:R22" xr:uid="{9DE78591-B907-4B94-B01B-FEAEE5CBF74D}">
    <filterColumn colId="0" hiddenButton="1"/>
    <filterColumn colId="1" hiddenButton="1"/>
  </autoFilter>
  <tableColumns count="2">
    <tableColumn id="1" xr3:uid="{499ADE38-F18B-4962-9873-7121BB27C0C9}" name="Metrics" dataDxfId="124"/>
    <tableColumn id="2" xr3:uid="{1379D59C-B2F7-4619-8DD2-7D710F5AF0A2}" name="Value" dataDxfId="123"/>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850CD5D-3AE5-454F-9A8D-552A8736FA0B}" name="Table933" displayName="Table933" ref="Q2:W9" totalsRowShown="0" headerRowDxfId="122" dataDxfId="121" headerRowCellStyle="Percent">
  <autoFilter ref="Q2:W9" xr:uid="{F850CD5D-3AE5-454F-9A8D-552A8736FA0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1C4D452-CC61-4681-8EC9-4C2158959EB8}" name="Particulars" dataDxfId="120"/>
    <tableColumn id="2" xr3:uid="{9015F3FA-73F9-490C-9F3E-8591991DA5CA}" name="2025" dataDxfId="119"/>
    <tableColumn id="3" xr3:uid="{F8E3F468-C836-4213-8EC0-94B23C32F7B9}" name="2026" dataDxfId="118"/>
    <tableColumn id="4" xr3:uid="{192375E5-426F-4C61-9C53-54B368B493D2}" name="2027" dataDxfId="117"/>
    <tableColumn id="5" xr3:uid="{3B4D0807-B3C6-4C93-913B-66D2D31B4088}" name="2028" dataDxfId="116"/>
    <tableColumn id="6" xr3:uid="{884958BC-44D6-435C-8B2F-6A087DAE1C04}" name="2029" dataDxfId="115"/>
    <tableColumn id="7" xr3:uid="{95CE5316-2D9F-4979-A0B3-62F356ACCA4D}" name="2030" dataDxfId="114"/>
  </tableColumns>
  <tableStyleInfo name="TableStyleMedium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8659128-4D1D-4A8E-98A4-FE2B661042C2}" name="Table1034" displayName="Table1034" ref="Y2:AE9" totalsRowShown="0" headerRowDxfId="113" dataDxfId="112" tableBorderDxfId="111" headerRowCellStyle="Percent">
  <autoFilter ref="Y2:AE9" xr:uid="{A8659128-4D1D-4A8E-98A4-FE2B661042C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4BF130A-D6FE-45AD-A926-80B777CBF304}" name="Particulars" dataDxfId="110"/>
    <tableColumn id="2" xr3:uid="{7FF6CB0A-C268-44B1-B5B7-777120780E45}" name="2025" dataDxfId="109" dataCellStyle="Comma"/>
    <tableColumn id="3" xr3:uid="{5ADDAE22-7581-467C-9432-9BEE3AECBD3E}" name="2026" dataDxfId="108" dataCellStyle="Comma"/>
    <tableColumn id="4" xr3:uid="{598B0B96-2FD5-4D75-B820-25675DB7A626}" name="2027" dataDxfId="107" dataCellStyle="Comma"/>
    <tableColumn id="5" xr3:uid="{C3B19F27-5C3D-4CA6-9A98-A24D693C08E7}" name="2028" dataDxfId="106" dataCellStyle="Comma"/>
    <tableColumn id="6" xr3:uid="{E87CBACD-3EF8-4961-B9FC-B1735F241D05}" name="2029" dataDxfId="105" dataCellStyle="Comma"/>
    <tableColumn id="7" xr3:uid="{10B1D3A7-5A39-424C-A5DC-6E6B507C01A8}" name="2030" dataDxfId="104" dataCellStyle="Comma"/>
  </tableColumns>
  <tableStyleInfo name="TableStyleMedium1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21FBFB2-BC44-4A50-9D2A-1CBB3EC7E928}" name="Table81435" displayName="Table81435" ref="Y12:Z22" totalsRowShown="0" headerRowDxfId="103" dataDxfId="102" tableBorderDxfId="101">
  <autoFilter ref="Y12:Z22" xr:uid="{921FBFB2-BC44-4A50-9D2A-1CBB3EC7E928}">
    <filterColumn colId="0" hiddenButton="1"/>
    <filterColumn colId="1" hiddenButton="1"/>
  </autoFilter>
  <tableColumns count="2">
    <tableColumn id="1" xr3:uid="{376D706E-233C-4AEE-A8B2-582735AAFC69}" name="Metrics" dataDxfId="100"/>
    <tableColumn id="2" xr3:uid="{DEBF46D7-E8A8-4371-921C-B346F110BB1A}" name="Value" dataDxfId="99"/>
  </tableColumns>
  <tableStyleInfo name="TableStyleMedium1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EE7406F-FF14-45D0-96BB-8BCB48661BB9}" name="Table83236" displayName="Table83236" ref="AG12:AH22" totalsRowShown="0" headerRowDxfId="98" dataDxfId="97">
  <autoFilter ref="AG12:AH22" xr:uid="{AEE7406F-FF14-45D0-96BB-8BCB48661BB9}">
    <filterColumn colId="0" hiddenButton="1"/>
    <filterColumn colId="1" hiddenButton="1"/>
  </autoFilter>
  <tableColumns count="2">
    <tableColumn id="1" xr3:uid="{C1A4C98A-DAA3-42CA-9B4E-9F1669965D01}" name="Metrics" dataDxfId="96"/>
    <tableColumn id="2" xr3:uid="{8B1EE40E-2937-46A6-A8B7-05D746F7441D}" name="Value" dataDxfId="95"/>
  </tableColumns>
  <tableStyleInfo name="TableStyleMedium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A880266B-1B29-4585-8257-AE6436027944}" name="Table93337" displayName="Table93337" ref="AG2:AM9" totalsRowShown="0" headerRowDxfId="94" dataDxfId="93" headerRowCellStyle="Percent">
  <autoFilter ref="AG2:AM9" xr:uid="{A880266B-1B29-4585-8257-AE643602794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0E1C786-E5F7-4D3E-B113-8485D416E0D5}" name="Particulars" dataDxfId="92"/>
    <tableColumn id="2" xr3:uid="{4B7C80BB-D448-455C-8737-4342D86AE686}" name="2025" dataDxfId="91"/>
    <tableColumn id="3" xr3:uid="{EBE4F212-97DA-49D8-8B97-93804B1BA197}" name="2026" dataDxfId="90"/>
    <tableColumn id="4" xr3:uid="{E658EB4D-3577-4BC2-9EC7-DBE631AB5620}" name="2027" dataDxfId="89"/>
    <tableColumn id="5" xr3:uid="{556E3582-E1D7-4B19-9866-64A52A7EE557}" name="2028" dataDxfId="88"/>
    <tableColumn id="6" xr3:uid="{0D503130-D5B3-43A5-97EF-20A82C3C8C6E}" name="2029" dataDxfId="87"/>
    <tableColumn id="7" xr3:uid="{E92E0CB8-C901-47B4-A21D-10613F521E0E}" name="2030" dataDxfId="86"/>
  </tableColumns>
  <tableStyleInfo name="TableStyleMedium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C6ED916-3809-4A1B-AE82-601013D21B5F}" name="Table21" displayName="Table21" ref="A21:E26" totalsRowShown="0" headerRowDxfId="85" dataDxfId="84" tableBorderDxfId="83">
  <autoFilter ref="A21:E26" xr:uid="{DC6ED916-3809-4A1B-AE82-601013D21B5F}">
    <filterColumn colId="0" hiddenButton="1"/>
    <filterColumn colId="1" hiddenButton="1"/>
    <filterColumn colId="2" hiddenButton="1"/>
    <filterColumn colId="3" hiddenButton="1"/>
    <filterColumn colId="4" hiddenButton="1"/>
  </autoFilter>
  <tableColumns count="5">
    <tableColumn id="1" xr3:uid="{1FE737CC-155B-45EE-840D-A819CF2EECAB}" name="Company" dataDxfId="82">
      <calculatedColumnFormula>H3</calculatedColumnFormula>
    </tableColumn>
    <tableColumn id="2" xr3:uid="{64E6FFDB-B7C5-46F2-9557-BD45215CBE4B}" name="EBITDA" dataDxfId="81"/>
    <tableColumn id="3" xr3:uid="{E8D06C8E-9833-4691-AA99-C32625FDF719}" name="Net Income" dataDxfId="80"/>
    <tableColumn id="4" xr3:uid="{21B43071-8756-43EC-8721-2C45582974CD}" name="Revenue" dataDxfId="79"/>
    <tableColumn id="5" xr3:uid="{728E381C-73F5-4F0A-A527-989C616E07E1}" name="Book Value" dataDxfId="78"/>
  </tableColumns>
  <tableStyleInfo name="TableStyleDark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182C21B-69A5-40FD-B8B9-3DC0FC7E0885}" name="Table24" displayName="Table24" ref="H12:N17" totalsRowShown="0" headerRowDxfId="77" dataDxfId="76">
  <autoFilter ref="H12:N17" xr:uid="{8182C21B-69A5-40FD-B8B9-3DC0FC7E088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5497027-366B-45DE-A081-FB60809EF654}" name="Company" dataDxfId="75">
      <calculatedColumnFormula>H3</calculatedColumnFormula>
    </tableColumn>
    <tableColumn id="2" xr3:uid="{83735EF9-BDD8-4FE7-9AB1-59A907904FFD}" name="Target Price" dataDxfId="74">
      <calculatedColumnFormula>AVERAGE(I3:L3)</calculatedColumnFormula>
    </tableColumn>
    <tableColumn id="3" xr3:uid="{901DED6B-BA11-4F0C-893C-A12F1158BDCC}" name="CMP" dataDxfId="73" dataCellStyle="Comma"/>
    <tableColumn id="4" xr3:uid="{2073D967-7488-4B13-A435-FC3F0DA330B6}" name="U/D" dataDxfId="72" dataCellStyle="Percent">
      <calculatedColumnFormula>(Table24[[#This Row],[Target Price]]-J13)/J13</calculatedColumnFormula>
    </tableColumn>
    <tableColumn id="5" xr3:uid="{CB020739-9640-4FAE-99CF-171926DED4AB}" name="Mcap (TP)" dataDxfId="71" dataCellStyle="Comma">
      <calculatedColumnFormula>Table24[[#This Row],[Target Price]]*M3</calculatedColumnFormula>
    </tableColumn>
    <tableColumn id="6" xr3:uid="{63DAE7C7-F770-4A57-99C2-4AB526A25337}" name="Mcap (CMP)" dataDxfId="70" dataCellStyle="Comma">
      <calculatedColumnFormula>Table24[[#This Row],[CMP]]*M3</calculatedColumnFormula>
    </tableColumn>
    <tableColumn id="7" xr3:uid="{08B032FD-1098-4EED-B73E-A7FC595D23DA}" name="Gap" dataDxfId="69" dataCellStyle="Comma">
      <calculatedColumnFormula>Table24[[#This Row],[Mcap (TP)]]-M13</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8.xml"/><Relationship Id="rId3" Type="http://schemas.openxmlformats.org/officeDocument/2006/relationships/table" Target="../tables/table23.xml"/><Relationship Id="rId7" Type="http://schemas.openxmlformats.org/officeDocument/2006/relationships/table" Target="../tables/table27.xml"/><Relationship Id="rId2" Type="http://schemas.openxmlformats.org/officeDocument/2006/relationships/table" Target="../tables/table22.xml"/><Relationship Id="rId1" Type="http://schemas.openxmlformats.org/officeDocument/2006/relationships/table" Target="../tables/table21.xml"/><Relationship Id="rId6" Type="http://schemas.openxmlformats.org/officeDocument/2006/relationships/table" Target="../tables/table26.xml"/><Relationship Id="rId5" Type="http://schemas.openxmlformats.org/officeDocument/2006/relationships/table" Target="../tables/table25.xml"/><Relationship Id="rId10" Type="http://schemas.openxmlformats.org/officeDocument/2006/relationships/table" Target="../tables/table30.xml"/><Relationship Id="rId4" Type="http://schemas.openxmlformats.org/officeDocument/2006/relationships/table" Target="../tables/table24.xml"/><Relationship Id="rId9" Type="http://schemas.openxmlformats.org/officeDocument/2006/relationships/table" Target="../tables/table29.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election activeCell="J4" sqref="J4"/>
    </sheetView>
  </sheetViews>
  <sheetFormatPr defaultRowHeight="14.4" x14ac:dyDescent="0.3"/>
  <cols>
    <col min="1" max="1" width="16.44140625" style="1" bestFit="1" customWidth="1"/>
    <col min="2" max="3" width="29.109375" style="3" customWidth="1"/>
    <col min="4" max="6" width="21.21875" style="1" customWidth="1"/>
    <col min="7" max="16384" width="8.88671875" style="1"/>
  </cols>
  <sheetData>
    <row r="1" spans="1:6" s="2" customFormat="1" ht="43.2" x14ac:dyDescent="0.3">
      <c r="A1" s="15" t="s">
        <v>0</v>
      </c>
      <c r="B1" s="16" t="e" vm="1">
        <v>#VALUE!</v>
      </c>
      <c r="C1" s="17" t="e" vm="2">
        <v>#VALUE!</v>
      </c>
      <c r="D1" s="86" t="e" vm="3">
        <v>#VALUE!</v>
      </c>
      <c r="E1" s="86" t="e" vm="4">
        <v>#VALUE!</v>
      </c>
      <c r="F1" s="86" t="e" vm="5">
        <v>#VALUE!</v>
      </c>
    </row>
    <row r="2" spans="1:6" s="2" customFormat="1" ht="43.2" x14ac:dyDescent="0.3">
      <c r="A2" s="4" t="s">
        <v>1</v>
      </c>
      <c r="B2" s="5" t="str" cm="1">
        <f t="array" aca="1" ref="B2" ca="1">_FV(B1,"Official name",TRUE)</f>
        <v>ACCENTURE PUBLIC LIMITED COMPANY</v>
      </c>
      <c r="C2" s="5" t="str" cm="1">
        <f t="array" aca="1" ref="C2" ca="1">_FV(C1,"Official name",TRUE)</f>
        <v>INTERNATIONAL BUSINESS MACHINES CORPORATION</v>
      </c>
      <c r="D2" s="5" t="str" cm="1">
        <f t="array" aca="1" ref="D2" ca="1">_FV(D1,"Official name",TRUE)</f>
        <v>ALPHABET INC.</v>
      </c>
      <c r="E2" s="5" t="str" cm="1">
        <f t="array" aca="1" ref="E2" ca="1">_FV(E1,"Official name",TRUE)</f>
        <v>MICROSOFT CORPORATION</v>
      </c>
      <c r="F2" s="5" t="str" cm="1">
        <f t="array" aca="1" ref="F2" ca="1">_FV(F1,"Official name",TRUE)</f>
        <v>ORACLE CORPORATION</v>
      </c>
    </row>
    <row r="3" spans="1:6" x14ac:dyDescent="0.3">
      <c r="A3" s="6" t="s">
        <v>2</v>
      </c>
      <c r="B3" s="7" cm="1">
        <f t="array" aca="1" ref="B3" ca="1">_FV(B1,"Price")</f>
        <v>244.16</v>
      </c>
      <c r="C3" s="7" cm="1">
        <f t="array" aca="1" ref="C3" ca="1">_FV(C1,"Price")</f>
        <v>289.86</v>
      </c>
      <c r="D3" s="7" cm="1">
        <f t="array" aca="1" ref="D3" ca="1">_FV(D1,"Price")</f>
        <v>300.64</v>
      </c>
      <c r="E3" s="7" cm="1">
        <f t="array" aca="1" ref="E3" ca="1">_FV(E1,"Price")</f>
        <v>493.82499999999999</v>
      </c>
      <c r="F3" s="7" cm="1">
        <f t="array" aca="1" ref="F3" ca="1">_FV(F1,"Price")</f>
        <v>227.38499999999999</v>
      </c>
    </row>
    <row r="4" spans="1:6" x14ac:dyDescent="0.3">
      <c r="A4" s="6" t="s">
        <v>3</v>
      </c>
      <c r="B4" s="8" cm="1">
        <f t="array" aca="1" ref="B4" ca="1">_FV(B1,"Change (%)",TRUE)</f>
        <v>1.7333000000000001E-2</v>
      </c>
      <c r="C4" s="8" cm="1">
        <f t="array" aca="1" ref="C4" ca="1">_FV(C1,"Change (%)",TRUE)</f>
        <v>-3.1040000000000001E-4</v>
      </c>
      <c r="D4" s="8" cm="1">
        <f t="array" aca="1" ref="D4" ca="1">_FV(D1,"Change (%)",TRUE)</f>
        <v>5.7549000000000003E-2</v>
      </c>
      <c r="E4" s="8" cm="1">
        <f t="array" aca="1" ref="E4" ca="1">_FV(E1,"Change (%)",TRUE)</f>
        <v>7.0879999999999999E-5</v>
      </c>
      <c r="F4" s="8" cm="1">
        <f t="array" aca="1" ref="F4" ca="1">_FV(F1,"Change (%)",TRUE)</f>
        <v>3.1271E-2</v>
      </c>
    </row>
    <row r="5" spans="1:6" x14ac:dyDescent="0.3">
      <c r="A5" s="6" t="s">
        <v>4</v>
      </c>
      <c r="B5" s="9" cm="1">
        <f t="array" aca="1" ref="B5" ca="1">_FV(B1,"Shares outstanding",TRUE)</f>
        <v>620138900</v>
      </c>
      <c r="C5" s="9" cm="1">
        <f t="array" aca="1" ref="C5" ca="1">_FV(C1,"Shares outstanding",TRUE)</f>
        <v>934735200</v>
      </c>
      <c r="D5" s="9" cm="1">
        <f t="array" aca="1" ref="D5" ca="1">_FV(D1,"Shares outstanding",TRUE)</f>
        <v>12067000000</v>
      </c>
      <c r="E5" s="9" cm="1">
        <f t="array" aca="1" ref="E5" ca="1">_FV(E1,"Shares outstanding",TRUE)</f>
        <v>7432377000</v>
      </c>
      <c r="F5" s="9" cm="1">
        <f t="array" aca="1" ref="F5" ca="1">_FV(F1,"Shares outstanding",TRUE)</f>
        <v>2850793000</v>
      </c>
    </row>
    <row r="6" spans="1:6" x14ac:dyDescent="0.3">
      <c r="A6" s="6" t="s">
        <v>5</v>
      </c>
      <c r="B6" s="10">
        <f ca="1">B5/1000000</f>
        <v>620.13890000000004</v>
      </c>
      <c r="C6" s="10">
        <f ca="1">C5/1000000</f>
        <v>934.73519999999996</v>
      </c>
      <c r="D6" s="10">
        <f t="shared" ref="D6:F6" ca="1" si="0">D5/1000000</f>
        <v>12067</v>
      </c>
      <c r="E6" s="10">
        <f t="shared" ca="1" si="0"/>
        <v>7432.3770000000004</v>
      </c>
      <c r="F6" s="10">
        <f t="shared" ca="1" si="0"/>
        <v>2850.7930000000001</v>
      </c>
    </row>
    <row r="7" spans="1:6" x14ac:dyDescent="0.3">
      <c r="A7" s="6" t="s">
        <v>6</v>
      </c>
      <c r="B7" s="11" cm="1">
        <f t="array" aca="1" ref="B7" ca="1">_FV(B1,"Market cap",TRUE)</f>
        <v>151413113824</v>
      </c>
      <c r="C7" s="11" cm="1">
        <f t="array" aca="1" ref="C7" ca="1">_FV(C1,"Market cap",TRUE)</f>
        <v>270942345072</v>
      </c>
      <c r="D7" s="11" cm="1">
        <f t="array" aca="1" ref="D7" ca="1">_FV(D1,"Market cap",TRUE)</f>
        <v>3434084000000</v>
      </c>
      <c r="E7" s="11" cm="1">
        <f t="array" aca="1" ref="E7" ca="1">_FV(E1,"Market cap",TRUE)</f>
        <v>3670293572025</v>
      </c>
      <c r="F7" s="11" cm="1">
        <f t="array" aca="1" ref="F7" ca="1">_FV(F1,"Market cap",TRUE)</f>
        <v>648227566305</v>
      </c>
    </row>
    <row r="8" spans="1:6" x14ac:dyDescent="0.3">
      <c r="A8" s="6" t="s">
        <v>5</v>
      </c>
      <c r="B8" s="12">
        <f ca="1">B7/1000000</f>
        <v>151413.113824</v>
      </c>
      <c r="C8" s="12">
        <f ca="1">C7/1000000</f>
        <v>270942.345072</v>
      </c>
      <c r="D8" s="12">
        <f t="shared" ref="D8:F8" ca="1" si="1">D7/1000000</f>
        <v>3434084</v>
      </c>
      <c r="E8" s="12">
        <f t="shared" ca="1" si="1"/>
        <v>3670293.5720250001</v>
      </c>
      <c r="F8" s="12">
        <f t="shared" ca="1" si="1"/>
        <v>648227.56630499999</v>
      </c>
    </row>
    <row r="9" spans="1:6" x14ac:dyDescent="0.3">
      <c r="A9" s="6" t="s">
        <v>7</v>
      </c>
      <c r="B9" s="13" cm="1">
        <f t="array" aca="1" ref="B9" ca="1">_FV(B1,"Beta")</f>
        <v>1.2607999999999999</v>
      </c>
      <c r="C9" s="13" cm="1">
        <f t="array" aca="1" ref="C9" ca="1">_FV(C1,"Beta")</f>
        <v>0.69679999999999997</v>
      </c>
      <c r="D9" s="13" cm="1">
        <f t="array" aca="1" ref="D9" ca="1">_FV(D1,"Beta")</f>
        <v>1.0732999999999999</v>
      </c>
      <c r="E9" s="13" cm="1">
        <f t="array" aca="1" ref="E9" ca="1">_FV(E1,"Beta")</f>
        <v>1.0728</v>
      </c>
      <c r="F9" s="13" cm="1">
        <f t="array" aca="1" ref="F9" ca="1">_FV(F1,"Beta")</f>
        <v>1.6774</v>
      </c>
    </row>
    <row r="10" spans="1:6" x14ac:dyDescent="0.3">
      <c r="A10" s="6" t="s">
        <v>8</v>
      </c>
      <c r="B10" s="13" cm="1">
        <f t="array" aca="1" ref="B10" ca="1">_FV(B1,"P/E",TRUE)</f>
        <v>20.102399999999999</v>
      </c>
      <c r="C10" s="13" cm="1">
        <f t="array" aca="1" ref="C10" ca="1">_FV(C1,"P/E",TRUE)</f>
        <v>35.913800000000002</v>
      </c>
      <c r="D10" s="13" cm="1">
        <f t="array" aca="1" ref="D10" ca="1">_FV(D1,"P/E",TRUE)</f>
        <v>29.6463</v>
      </c>
      <c r="E10" s="13" cm="1">
        <f t="array" aca="1" ref="E10" ca="1">_FV(E1,"P/E",TRUE)</f>
        <v>35.1342</v>
      </c>
      <c r="F10" s="13" cm="1">
        <f t="array" aca="1" ref="F10" ca="1">_FV(F1,"P/E",TRUE)</f>
        <v>52.629300000000001</v>
      </c>
    </row>
    <row r="11" spans="1:6" x14ac:dyDescent="0.3">
      <c r="A11" s="6" t="s">
        <v>9</v>
      </c>
      <c r="B11" s="14" cm="1">
        <f t="array" aca="1" ref="B11" ca="1">_FV(B1,"Year incorporated",TRUE)</f>
        <v>2009</v>
      </c>
      <c r="C11" s="14" cm="1">
        <f t="array" aca="1" ref="C11" ca="1">_FV(C1,"Year incorporated",TRUE)</f>
        <v>1911</v>
      </c>
      <c r="D11" s="14" cm="1">
        <f t="array" aca="1" ref="D11" ca="1">_FV(D1,"Year incorporated",TRUE)</f>
        <v>2015</v>
      </c>
      <c r="E11" s="14" cm="1">
        <f t="array" aca="1" ref="E11" ca="1">_FV(E1,"Year incorporated",TRUE)</f>
        <v>1993</v>
      </c>
      <c r="F11" s="14" cm="1">
        <f t="array" aca="1" ref="F11" ca="1">_FV(F1,"Year incorporated",TRUE)</f>
        <v>2005</v>
      </c>
    </row>
  </sheetData>
  <conditionalFormatting sqref="B4:F4">
    <cfRule type="cellIs" dxfId="17" priority="1" operator="lessThan">
      <formula>0</formula>
    </cfRule>
    <cfRule type="cellIs" dxfId="16" priority="2"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D538B-88B7-4C90-9AC6-1C57F6602C55}">
  <dimension ref="A1:AK41"/>
  <sheetViews>
    <sheetView topLeftCell="AF21" workbookViewId="0">
      <selection activeCell="AE37" sqref="AE37:AK41"/>
    </sheetView>
  </sheetViews>
  <sheetFormatPr defaultRowHeight="14.4" x14ac:dyDescent="0.3"/>
  <cols>
    <col min="1" max="1" width="29.88671875" style="1" bestFit="1" customWidth="1"/>
    <col min="2" max="6" width="9.88671875" style="1" bestFit="1" customWidth="1"/>
    <col min="7" max="7" width="8.88671875" style="1"/>
    <col min="8" max="8" width="29.88671875" style="1" bestFit="1" customWidth="1"/>
    <col min="9" max="13" width="9.88671875" style="1" bestFit="1" customWidth="1"/>
    <col min="14" max="14" width="8.88671875" style="1"/>
    <col min="15" max="15" width="29.88671875" style="1" bestFit="1" customWidth="1"/>
    <col min="16" max="16" width="10.88671875" style="1" bestFit="1" customWidth="1"/>
    <col min="17" max="18" width="11" style="1" bestFit="1" customWidth="1"/>
    <col min="19" max="19" width="10.88671875" style="1" bestFit="1" customWidth="1"/>
    <col min="20" max="20" width="11" style="1" bestFit="1" customWidth="1"/>
    <col min="21" max="21" width="11" style="1" customWidth="1"/>
    <col min="22" max="22" width="8.88671875" style="1"/>
    <col min="23" max="23" width="29.88671875" style="1" bestFit="1" customWidth="1"/>
    <col min="24" max="26" width="10.88671875" style="1" bestFit="1" customWidth="1"/>
    <col min="27" max="28" width="10.88671875" style="3" bestFit="1" customWidth="1"/>
    <col min="29" max="29" width="10.88671875" style="3" customWidth="1"/>
    <col min="30" max="30" width="12.33203125" style="3" bestFit="1" customWidth="1"/>
    <col min="31" max="31" width="29.88671875" style="3" bestFit="1" customWidth="1"/>
    <col min="32" max="33" width="11" style="3" bestFit="1" customWidth="1"/>
    <col min="34" max="36" width="11" style="1" bestFit="1" customWidth="1"/>
    <col min="37" max="37" width="9.88671875" style="1" bestFit="1" customWidth="1"/>
    <col min="38" max="16384" width="8.88671875" style="1"/>
  </cols>
  <sheetData>
    <row r="1" spans="1:36" x14ac:dyDescent="0.3">
      <c r="A1" s="18" t="s">
        <v>10</v>
      </c>
      <c r="F1" s="19" t="s">
        <v>40</v>
      </c>
      <c r="H1" s="18" t="s">
        <v>10</v>
      </c>
      <c r="M1" s="19" t="s">
        <v>41</v>
      </c>
      <c r="O1" s="18" t="s">
        <v>10</v>
      </c>
      <c r="T1" s="19" t="s">
        <v>126</v>
      </c>
      <c r="U1" s="19"/>
      <c r="W1" s="18" t="s">
        <v>10</v>
      </c>
      <c r="AA1" s="1"/>
      <c r="AB1" s="19" t="s">
        <v>127</v>
      </c>
      <c r="AC1" s="19"/>
      <c r="AE1" s="18" t="s">
        <v>10</v>
      </c>
      <c r="AF1" s="1"/>
      <c r="AG1" s="1"/>
      <c r="AJ1" s="19" t="s">
        <v>128</v>
      </c>
    </row>
    <row r="2" spans="1:36" ht="15" thickBot="1" x14ac:dyDescent="0.35">
      <c r="A2" s="1" t="s">
        <v>11</v>
      </c>
      <c r="B2" s="20" t="s">
        <v>12</v>
      </c>
      <c r="C2" s="20" t="s">
        <v>13</v>
      </c>
      <c r="D2" s="20" t="s">
        <v>14</v>
      </c>
      <c r="E2" s="20" t="s">
        <v>15</v>
      </c>
      <c r="F2" s="20" t="s">
        <v>16</v>
      </c>
      <c r="H2" s="1" t="s">
        <v>11</v>
      </c>
      <c r="I2" s="20" t="s">
        <v>12</v>
      </c>
      <c r="J2" s="20" t="s">
        <v>13</v>
      </c>
      <c r="K2" s="20" t="s">
        <v>14</v>
      </c>
      <c r="L2" s="20" t="s">
        <v>15</v>
      </c>
      <c r="M2" s="20" t="s">
        <v>16</v>
      </c>
      <c r="O2" s="1" t="s">
        <v>11</v>
      </c>
      <c r="P2" s="20" t="s">
        <v>12</v>
      </c>
      <c r="Q2" s="20" t="s">
        <v>13</v>
      </c>
      <c r="R2" s="20" t="s">
        <v>14</v>
      </c>
      <c r="S2" s="20" t="s">
        <v>15</v>
      </c>
      <c r="T2" s="20" t="s">
        <v>16</v>
      </c>
      <c r="U2" s="20"/>
      <c r="W2" s="1" t="s">
        <v>11</v>
      </c>
      <c r="X2" s="20" t="s">
        <v>12</v>
      </c>
      <c r="Y2" s="20" t="s">
        <v>13</v>
      </c>
      <c r="Z2" s="20" t="s">
        <v>14</v>
      </c>
      <c r="AA2" s="20" t="s">
        <v>15</v>
      </c>
      <c r="AB2" s="20" t="s">
        <v>16</v>
      </c>
      <c r="AC2" s="20"/>
      <c r="AE2" s="105" t="s">
        <v>11</v>
      </c>
      <c r="AF2" s="106" t="s">
        <v>12</v>
      </c>
      <c r="AG2" s="106" t="s">
        <v>13</v>
      </c>
      <c r="AH2" s="106" t="s">
        <v>14</v>
      </c>
      <c r="AI2" s="106" t="s">
        <v>15</v>
      </c>
      <c r="AJ2" s="106" t="s">
        <v>16</v>
      </c>
    </row>
    <row r="3" spans="1:36" ht="15" thickTop="1" x14ac:dyDescent="0.3">
      <c r="A3" s="1" t="s">
        <v>17</v>
      </c>
      <c r="B3" s="21">
        <v>44327.038999999997</v>
      </c>
      <c r="C3" s="21">
        <v>50533.389000000003</v>
      </c>
      <c r="D3" s="21">
        <v>61594.305</v>
      </c>
      <c r="E3" s="21">
        <v>64111.745000000003</v>
      </c>
      <c r="F3" s="21">
        <v>64896.464</v>
      </c>
      <c r="H3" s="1" t="s">
        <v>17</v>
      </c>
      <c r="I3" s="21">
        <v>55179</v>
      </c>
      <c r="J3" s="21">
        <v>57350</v>
      </c>
      <c r="K3" s="21">
        <v>60530</v>
      </c>
      <c r="L3" s="21">
        <v>61860</v>
      </c>
      <c r="M3" s="21">
        <v>62753</v>
      </c>
      <c r="O3" s="1" t="s">
        <v>17</v>
      </c>
      <c r="P3" s="21">
        <v>182527</v>
      </c>
      <c r="Q3" s="21">
        <v>257637</v>
      </c>
      <c r="R3" s="21">
        <v>282836</v>
      </c>
      <c r="S3" s="21">
        <v>307394</v>
      </c>
      <c r="T3" s="21">
        <v>350018</v>
      </c>
      <c r="U3" s="21"/>
      <c r="W3" s="1" t="s">
        <v>17</v>
      </c>
      <c r="X3" s="21">
        <v>168088</v>
      </c>
      <c r="Y3" s="21">
        <v>198270</v>
      </c>
      <c r="Z3" s="21">
        <v>211915</v>
      </c>
      <c r="AA3" s="21">
        <v>245122</v>
      </c>
      <c r="AB3" s="21">
        <v>281724</v>
      </c>
      <c r="AC3" s="21"/>
      <c r="AE3" s="107" t="s">
        <v>17</v>
      </c>
      <c r="AF3" s="108">
        <v>40479</v>
      </c>
      <c r="AG3" s="108">
        <v>42440</v>
      </c>
      <c r="AH3" s="108">
        <v>49954</v>
      </c>
      <c r="AI3" s="108">
        <v>52961</v>
      </c>
      <c r="AJ3" s="108">
        <v>57399</v>
      </c>
    </row>
    <row r="4" spans="1:36" x14ac:dyDescent="0.3">
      <c r="A4" s="1" t="s">
        <v>18</v>
      </c>
      <c r="B4" s="21">
        <v>30350.881000000001</v>
      </c>
      <c r="C4" s="21">
        <v>34169.260999999999</v>
      </c>
      <c r="D4" s="21">
        <v>41892.766000000003</v>
      </c>
      <c r="E4" s="21">
        <v>43380.137999999999</v>
      </c>
      <c r="F4" s="21">
        <v>43734.146999999997</v>
      </c>
      <c r="H4" s="1" t="s">
        <v>18</v>
      </c>
      <c r="I4" s="21">
        <v>24314</v>
      </c>
      <c r="J4" s="21">
        <v>25865</v>
      </c>
      <c r="K4" s="21">
        <v>27842</v>
      </c>
      <c r="L4" s="21">
        <v>27560</v>
      </c>
      <c r="M4" s="21">
        <v>27201</v>
      </c>
      <c r="O4" s="1" t="s">
        <v>18</v>
      </c>
      <c r="P4" s="21">
        <v>84732</v>
      </c>
      <c r="Q4" s="21">
        <v>110939</v>
      </c>
      <c r="R4" s="21">
        <v>126203</v>
      </c>
      <c r="S4" s="21">
        <v>133332</v>
      </c>
      <c r="T4" s="21">
        <v>146306</v>
      </c>
      <c r="U4" s="21"/>
      <c r="W4" s="1" t="s">
        <v>18</v>
      </c>
      <c r="X4" s="21">
        <v>52232</v>
      </c>
      <c r="Y4" s="21">
        <v>62650</v>
      </c>
      <c r="Z4" s="21">
        <v>65863</v>
      </c>
      <c r="AA4" s="21">
        <v>74114</v>
      </c>
      <c r="AB4" s="21">
        <v>87831</v>
      </c>
      <c r="AC4" s="21"/>
      <c r="AE4" s="109" t="s">
        <v>18</v>
      </c>
      <c r="AF4" s="110">
        <v>0</v>
      </c>
      <c r="AG4" s="110">
        <v>0</v>
      </c>
      <c r="AH4" s="110">
        <v>0</v>
      </c>
      <c r="AI4" s="110">
        <v>0</v>
      </c>
      <c r="AJ4" s="110">
        <v>0</v>
      </c>
    </row>
    <row r="5" spans="1:36" x14ac:dyDescent="0.3">
      <c r="A5" s="1" t="s">
        <v>19</v>
      </c>
      <c r="B5" s="21">
        <f>4625.929+2836.585</f>
        <v>7462.5140000000001</v>
      </c>
      <c r="C5" s="21">
        <f>5288.237+3454.362</f>
        <v>8742.5990000000002</v>
      </c>
      <c r="D5" s="21">
        <f>6108.401+4225.957</f>
        <v>10334.358</v>
      </c>
      <c r="E5" s="21">
        <f>6582.629+4275.943+1063.146</f>
        <v>11921.718000000001</v>
      </c>
      <c r="F5" s="21">
        <f>6846.714+4281.316+438.44</f>
        <v>11566.47</v>
      </c>
      <c r="H5" s="1" t="s">
        <v>19</v>
      </c>
      <c r="I5" s="21">
        <f>28293-1288</f>
        <v>27005</v>
      </c>
      <c r="J5" s="21">
        <f>26649-1155</f>
        <v>25494</v>
      </c>
      <c r="K5" s="21">
        <f>31531-1216</f>
        <v>30315</v>
      </c>
      <c r="L5" s="21">
        <f>25610-1607</f>
        <v>24003</v>
      </c>
      <c r="M5" s="21">
        <f>29754-1712</f>
        <v>28042</v>
      </c>
      <c r="O5" s="1" t="s">
        <v>19</v>
      </c>
      <c r="P5" s="21">
        <f>141303-84732-6858</f>
        <v>49713</v>
      </c>
      <c r="Q5" s="21">
        <f>178923-110939-12020</f>
        <v>55964</v>
      </c>
      <c r="R5" s="21">
        <f>207994-126203+3514</f>
        <v>85305</v>
      </c>
      <c r="S5" s="21">
        <f>223101-133332-1424</f>
        <v>88345</v>
      </c>
      <c r="T5" s="21">
        <f>237628-146306-7425</f>
        <v>83897</v>
      </c>
      <c r="U5" s="21"/>
      <c r="W5" s="1" t="s">
        <v>19</v>
      </c>
      <c r="X5" s="21">
        <f>20716+20117+5107-1186</f>
        <v>44754</v>
      </c>
      <c r="Y5" s="21">
        <f>24512+21825+5900-333</f>
        <v>51904</v>
      </c>
      <c r="Z5" s="21">
        <f>27195+22759+7575-788</f>
        <v>56741</v>
      </c>
      <c r="AA5" s="21">
        <f>29510+24456+7609+1646</f>
        <v>63221</v>
      </c>
      <c r="AB5" s="21">
        <f>32488+25654+7223+4901</f>
        <v>70266</v>
      </c>
      <c r="AC5" s="21"/>
      <c r="AE5" s="111" t="s">
        <v>19</v>
      </c>
      <c r="AF5" s="112">
        <f>25266-1379-282</f>
        <v>23605</v>
      </c>
      <c r="AG5" s="112">
        <f>31514+522-1150</f>
        <v>30886</v>
      </c>
      <c r="AH5" s="112">
        <f>36861+462-3582</f>
        <v>33741</v>
      </c>
      <c r="AI5" s="112">
        <f>37608-3010+98</f>
        <v>34696</v>
      </c>
      <c r="AJ5" s="112">
        <f>39721-2307-60</f>
        <v>37354</v>
      </c>
    </row>
    <row r="6" spans="1:36" x14ac:dyDescent="0.3">
      <c r="A6" s="18" t="s">
        <v>20</v>
      </c>
      <c r="B6" s="22">
        <f>B3-B4-B5</f>
        <v>6513.6439999999957</v>
      </c>
      <c r="C6" s="22">
        <f t="shared" ref="C6:F6" si="0">C3-C4-C5</f>
        <v>7621.5290000000041</v>
      </c>
      <c r="D6" s="22">
        <f t="shared" si="0"/>
        <v>9367.1809999999969</v>
      </c>
      <c r="E6" s="22">
        <f t="shared" si="0"/>
        <v>8809.8890000000029</v>
      </c>
      <c r="F6" s="22">
        <f t="shared" si="0"/>
        <v>9595.8470000000034</v>
      </c>
      <c r="G6" s="18"/>
      <c r="H6" s="18" t="s">
        <v>20</v>
      </c>
      <c r="I6" s="22">
        <f>I3-I4-I5</f>
        <v>3860</v>
      </c>
      <c r="J6" s="22">
        <f t="shared" ref="J6:M6" si="1">J3-J4-J5</f>
        <v>5991</v>
      </c>
      <c r="K6" s="22">
        <f t="shared" si="1"/>
        <v>2373</v>
      </c>
      <c r="L6" s="22">
        <f t="shared" si="1"/>
        <v>10297</v>
      </c>
      <c r="M6" s="22">
        <f t="shared" si="1"/>
        <v>7510</v>
      </c>
      <c r="O6" s="18" t="s">
        <v>20</v>
      </c>
      <c r="P6" s="22">
        <f>P3-P4-P5</f>
        <v>48082</v>
      </c>
      <c r="Q6" s="22">
        <f t="shared" ref="Q6:T6" si="2">Q3-Q4-Q5</f>
        <v>90734</v>
      </c>
      <c r="R6" s="22">
        <f t="shared" si="2"/>
        <v>71328</v>
      </c>
      <c r="S6" s="22">
        <f t="shared" si="2"/>
        <v>85717</v>
      </c>
      <c r="T6" s="22">
        <f t="shared" si="2"/>
        <v>119815</v>
      </c>
      <c r="U6" s="22"/>
      <c r="V6" s="18"/>
      <c r="W6" s="18" t="s">
        <v>20</v>
      </c>
      <c r="X6" s="22">
        <f>X3-X4-X5</f>
        <v>71102</v>
      </c>
      <c r="Y6" s="22">
        <f t="shared" ref="Y6:AB6" si="3">Y3-Y4-Y5</f>
        <v>83716</v>
      </c>
      <c r="Z6" s="22">
        <f t="shared" si="3"/>
        <v>89311</v>
      </c>
      <c r="AA6" s="22">
        <f t="shared" si="3"/>
        <v>107787</v>
      </c>
      <c r="AB6" s="22">
        <f t="shared" si="3"/>
        <v>123627</v>
      </c>
      <c r="AC6" s="22"/>
      <c r="AE6" s="113" t="s">
        <v>20</v>
      </c>
      <c r="AF6" s="114">
        <f>AF3-AF5-AF4</f>
        <v>16874</v>
      </c>
      <c r="AG6" s="114">
        <f t="shared" ref="AG6:AJ6" si="4">AG3-AG5-AG4</f>
        <v>11554</v>
      </c>
      <c r="AH6" s="114">
        <f t="shared" si="4"/>
        <v>16213</v>
      </c>
      <c r="AI6" s="114">
        <f t="shared" si="4"/>
        <v>18265</v>
      </c>
      <c r="AJ6" s="114">
        <f t="shared" si="4"/>
        <v>20045</v>
      </c>
    </row>
    <row r="7" spans="1:36" x14ac:dyDescent="0.3">
      <c r="A7" s="1" t="s">
        <v>21</v>
      </c>
      <c r="B7" s="21">
        <v>1773.124</v>
      </c>
      <c r="C7" s="21">
        <v>1891.242</v>
      </c>
      <c r="D7" s="21">
        <v>2088.2159999999999</v>
      </c>
      <c r="E7" s="21">
        <v>2281.085</v>
      </c>
      <c r="F7" s="21">
        <v>2168.038</v>
      </c>
      <c r="H7" s="1" t="s">
        <v>21</v>
      </c>
      <c r="I7" s="21">
        <f>4227+2468</f>
        <v>6695</v>
      </c>
      <c r="J7" s="21">
        <f>3888+2529</f>
        <v>6417</v>
      </c>
      <c r="K7" s="21">
        <f>2407+2395</f>
        <v>4802</v>
      </c>
      <c r="L7" s="21">
        <f>2109+2287</f>
        <v>4396</v>
      </c>
      <c r="M7" s="21">
        <f>2168+2499</f>
        <v>4667</v>
      </c>
      <c r="O7" s="1" t="s">
        <v>21</v>
      </c>
      <c r="P7" s="21">
        <f>12905+792</f>
        <v>13697</v>
      </c>
      <c r="Q7" s="21">
        <f>11555+886</f>
        <v>12441</v>
      </c>
      <c r="R7" s="21">
        <f>15287+641</f>
        <v>15928</v>
      </c>
      <c r="S7" s="21">
        <v>11946</v>
      </c>
      <c r="T7" s="21">
        <v>15311</v>
      </c>
      <c r="U7" s="21"/>
      <c r="W7" s="1" t="s">
        <v>21</v>
      </c>
      <c r="X7" s="21">
        <v>11686</v>
      </c>
      <c r="Y7" s="21">
        <v>14460</v>
      </c>
      <c r="Z7" s="21">
        <v>13861</v>
      </c>
      <c r="AA7" s="21">
        <v>22287</v>
      </c>
      <c r="AB7" s="21">
        <v>34153</v>
      </c>
      <c r="AC7" s="21"/>
      <c r="AE7" s="111" t="s">
        <v>21</v>
      </c>
      <c r="AF7" s="112">
        <v>1379</v>
      </c>
      <c r="AG7" s="112">
        <v>1150</v>
      </c>
      <c r="AH7" s="112">
        <v>3582</v>
      </c>
      <c r="AI7" s="112">
        <v>3010</v>
      </c>
      <c r="AJ7" s="112">
        <v>2307</v>
      </c>
    </row>
    <row r="8" spans="1:36" x14ac:dyDescent="0.3">
      <c r="A8" s="1" t="s">
        <v>22</v>
      </c>
      <c r="B8" s="21">
        <v>33.070999999999998</v>
      </c>
      <c r="C8" s="21">
        <v>59.491999999999997</v>
      </c>
      <c r="D8" s="21">
        <v>47.32</v>
      </c>
      <c r="E8" s="21">
        <v>47.524999999999999</v>
      </c>
      <c r="F8" s="21">
        <v>58.969000000000001</v>
      </c>
      <c r="H8" s="1" t="s">
        <v>22</v>
      </c>
      <c r="I8" s="21">
        <v>1288</v>
      </c>
      <c r="J8" s="21">
        <v>1155</v>
      </c>
      <c r="K8" s="21">
        <v>1216</v>
      </c>
      <c r="L8" s="21">
        <v>1607</v>
      </c>
      <c r="M8" s="21">
        <v>1712</v>
      </c>
      <c r="O8" s="1" t="s">
        <v>22</v>
      </c>
      <c r="P8" s="21">
        <v>135</v>
      </c>
      <c r="Q8" s="21">
        <v>346</v>
      </c>
      <c r="R8" s="21">
        <v>357</v>
      </c>
      <c r="S8" s="21">
        <v>308</v>
      </c>
      <c r="T8" s="21">
        <v>268</v>
      </c>
      <c r="U8" s="21"/>
      <c r="W8" s="1" t="s">
        <v>22</v>
      </c>
      <c r="X8" s="21">
        <v>2330</v>
      </c>
      <c r="Y8" s="21">
        <v>2047</v>
      </c>
      <c r="Z8" s="21">
        <v>1995</v>
      </c>
      <c r="AA8" s="21">
        <v>2983</v>
      </c>
      <c r="AB8" s="21">
        <v>2425</v>
      </c>
      <c r="AC8" s="21"/>
      <c r="AE8" s="109" t="s">
        <v>22</v>
      </c>
      <c r="AF8" s="110">
        <v>2496</v>
      </c>
      <c r="AG8" s="110">
        <v>2755</v>
      </c>
      <c r="AH8" s="110">
        <v>3505</v>
      </c>
      <c r="AI8" s="110">
        <v>3514</v>
      </c>
      <c r="AJ8" s="110">
        <v>3578</v>
      </c>
    </row>
    <row r="9" spans="1:36" x14ac:dyDescent="0.3">
      <c r="A9" s="1" t="s">
        <v>23</v>
      </c>
      <c r="B9" s="21">
        <v>1589.018</v>
      </c>
      <c r="C9" s="21">
        <v>1770.5709999999999</v>
      </c>
      <c r="D9" s="21">
        <v>2207.2069999999999</v>
      </c>
      <c r="E9" s="21">
        <v>2135.8020000000001</v>
      </c>
      <c r="F9" s="21">
        <v>2280.1260000000002</v>
      </c>
      <c r="G9" s="18"/>
      <c r="H9" s="1" t="s">
        <v>23</v>
      </c>
      <c r="I9" s="21">
        <v>-1360</v>
      </c>
      <c r="J9" s="21">
        <v>124</v>
      </c>
      <c r="K9" s="21">
        <v>-626</v>
      </c>
      <c r="L9" s="21">
        <v>1176</v>
      </c>
      <c r="M9" s="21">
        <v>-218</v>
      </c>
      <c r="O9" s="1" t="s">
        <v>23</v>
      </c>
      <c r="P9" s="21">
        <v>7813</v>
      </c>
      <c r="Q9" s="21">
        <v>14701</v>
      </c>
      <c r="R9" s="21">
        <v>11356</v>
      </c>
      <c r="S9" s="21">
        <v>11922</v>
      </c>
      <c r="T9" s="21">
        <v>19697</v>
      </c>
      <c r="U9" s="21"/>
      <c r="V9" s="18"/>
      <c r="W9" s="1" t="s">
        <v>23</v>
      </c>
      <c r="X9" s="21">
        <v>9831</v>
      </c>
      <c r="Y9" s="21">
        <v>10978</v>
      </c>
      <c r="Z9" s="21">
        <v>16950</v>
      </c>
      <c r="AA9" s="21">
        <v>19651</v>
      </c>
      <c r="AB9" s="21">
        <v>21795</v>
      </c>
      <c r="AC9" s="21"/>
      <c r="AE9" s="111" t="s">
        <v>23</v>
      </c>
      <c r="AF9" s="112">
        <v>747</v>
      </c>
      <c r="AG9" s="112">
        <v>932</v>
      </c>
      <c r="AH9" s="112">
        <v>623</v>
      </c>
      <c r="AI9" s="112">
        <v>1274</v>
      </c>
      <c r="AJ9" s="112">
        <v>1717</v>
      </c>
    </row>
    <row r="10" spans="1:36" x14ac:dyDescent="0.3">
      <c r="A10" s="18" t="s">
        <v>24</v>
      </c>
      <c r="B10" s="22">
        <f>B6-B7-B8-B9</f>
        <v>3118.4309999999959</v>
      </c>
      <c r="C10" s="22">
        <f t="shared" ref="C10:F10" si="5">C6-C7-C8-C9</f>
        <v>3900.2240000000038</v>
      </c>
      <c r="D10" s="22">
        <f t="shared" si="5"/>
        <v>5024.4379999999965</v>
      </c>
      <c r="E10" s="22">
        <f t="shared" si="5"/>
        <v>4345.4770000000026</v>
      </c>
      <c r="F10" s="22">
        <f t="shared" si="5"/>
        <v>5088.7140000000027</v>
      </c>
      <c r="G10" s="18"/>
      <c r="H10" s="18" t="s">
        <v>24</v>
      </c>
      <c r="I10" s="22">
        <f>I6-I7-I8-I9</f>
        <v>-2763</v>
      </c>
      <c r="J10" s="22">
        <f t="shared" ref="J10:M10" si="6">J6-J7-J8-J9</f>
        <v>-1705</v>
      </c>
      <c r="K10" s="22">
        <f t="shared" si="6"/>
        <v>-3019</v>
      </c>
      <c r="L10" s="22">
        <f t="shared" si="6"/>
        <v>3118</v>
      </c>
      <c r="M10" s="22">
        <f t="shared" si="6"/>
        <v>1349</v>
      </c>
      <c r="O10" s="18" t="s">
        <v>24</v>
      </c>
      <c r="P10" s="22">
        <f>P6-P7-P8-P9</f>
        <v>26437</v>
      </c>
      <c r="Q10" s="22">
        <f t="shared" ref="Q10:T10" si="7">Q6-Q7-Q8-Q9</f>
        <v>63246</v>
      </c>
      <c r="R10" s="22">
        <f t="shared" si="7"/>
        <v>43687</v>
      </c>
      <c r="S10" s="22">
        <f t="shared" si="7"/>
        <v>61541</v>
      </c>
      <c r="T10" s="22">
        <f t="shared" si="7"/>
        <v>84539</v>
      </c>
      <c r="U10" s="22"/>
      <c r="V10" s="18"/>
      <c r="W10" s="18" t="s">
        <v>24</v>
      </c>
      <c r="X10" s="22">
        <f>X6-X7-X8-X9</f>
        <v>47255</v>
      </c>
      <c r="Y10" s="22">
        <f t="shared" ref="Y10:AB10" si="8">Y6-Y7-Y8-Y9</f>
        <v>56231</v>
      </c>
      <c r="Z10" s="22">
        <f t="shared" si="8"/>
        <v>56505</v>
      </c>
      <c r="AA10" s="22">
        <f t="shared" si="8"/>
        <v>62866</v>
      </c>
      <c r="AB10" s="22">
        <f t="shared" si="8"/>
        <v>65254</v>
      </c>
      <c r="AC10" s="22"/>
      <c r="AE10" s="113" t="s">
        <v>24</v>
      </c>
      <c r="AF10" s="114">
        <f>AF6-AF7-AF8-AF9</f>
        <v>12252</v>
      </c>
      <c r="AG10" s="114">
        <f t="shared" ref="AG10:AJ10" si="9">AG6-AG7-AG8-AG9</f>
        <v>6717</v>
      </c>
      <c r="AH10" s="114">
        <f t="shared" si="9"/>
        <v>8503</v>
      </c>
      <c r="AI10" s="114">
        <f t="shared" si="9"/>
        <v>10467</v>
      </c>
      <c r="AJ10" s="114">
        <f t="shared" si="9"/>
        <v>12443</v>
      </c>
    </row>
    <row r="11" spans="1:36" x14ac:dyDescent="0.3">
      <c r="AA11" s="1"/>
      <c r="AB11" s="1"/>
      <c r="AC11" s="1"/>
      <c r="AE11" s="1"/>
      <c r="AF11" s="1"/>
      <c r="AG11" s="1"/>
    </row>
    <row r="12" spans="1:36" x14ac:dyDescent="0.3">
      <c r="A12" s="18" t="s">
        <v>25</v>
      </c>
      <c r="H12" s="18" t="s">
        <v>25</v>
      </c>
      <c r="O12" s="18" t="s">
        <v>25</v>
      </c>
      <c r="W12" s="18" t="s">
        <v>25</v>
      </c>
      <c r="AA12" s="1"/>
      <c r="AB12" s="1"/>
      <c r="AC12" s="1"/>
      <c r="AE12" s="18" t="s">
        <v>25</v>
      </c>
      <c r="AF12" s="1"/>
      <c r="AG12" s="1"/>
    </row>
    <row r="13" spans="1:36" ht="15" thickBot="1" x14ac:dyDescent="0.35">
      <c r="A13" s="1" t="s">
        <v>11</v>
      </c>
      <c r="B13" s="20" t="s">
        <v>12</v>
      </c>
      <c r="C13" s="20" t="s">
        <v>13</v>
      </c>
      <c r="D13" s="20" t="s">
        <v>14</v>
      </c>
      <c r="E13" s="20" t="s">
        <v>15</v>
      </c>
      <c r="F13" s="20" t="s">
        <v>16</v>
      </c>
      <c r="H13" s="1" t="s">
        <v>11</v>
      </c>
      <c r="I13" s="20" t="s">
        <v>12</v>
      </c>
      <c r="J13" s="20" t="s">
        <v>13</v>
      </c>
      <c r="K13" s="20" t="s">
        <v>14</v>
      </c>
      <c r="L13" s="20" t="s">
        <v>15</v>
      </c>
      <c r="M13" s="20" t="s">
        <v>16</v>
      </c>
      <c r="O13" s="1" t="s">
        <v>11</v>
      </c>
      <c r="P13" s="20" t="s">
        <v>12</v>
      </c>
      <c r="Q13" s="20" t="s">
        <v>13</v>
      </c>
      <c r="R13" s="20" t="s">
        <v>14</v>
      </c>
      <c r="S13" s="20" t="s">
        <v>15</v>
      </c>
      <c r="T13" s="20" t="s">
        <v>16</v>
      </c>
      <c r="U13" s="20"/>
      <c r="W13" s="1" t="s">
        <v>11</v>
      </c>
      <c r="X13" s="20" t="s">
        <v>12</v>
      </c>
      <c r="Y13" s="20" t="s">
        <v>13</v>
      </c>
      <c r="Z13" s="20" t="s">
        <v>14</v>
      </c>
      <c r="AA13" s="20" t="s">
        <v>15</v>
      </c>
      <c r="AB13" s="20" t="s">
        <v>16</v>
      </c>
      <c r="AC13" s="20"/>
      <c r="AE13" s="105" t="s">
        <v>11</v>
      </c>
      <c r="AF13" s="106" t="s">
        <v>12</v>
      </c>
      <c r="AG13" s="106" t="s">
        <v>13</v>
      </c>
      <c r="AH13" s="106" t="s">
        <v>14</v>
      </c>
      <c r="AI13" s="106" t="s">
        <v>15</v>
      </c>
      <c r="AJ13" s="106" t="s">
        <v>16</v>
      </c>
    </row>
    <row r="14" spans="1:36" ht="15" thickTop="1" x14ac:dyDescent="0.3">
      <c r="A14" s="1" t="s">
        <v>26</v>
      </c>
      <c r="B14" s="21">
        <v>8415.33</v>
      </c>
      <c r="C14" s="21">
        <v>8168.174</v>
      </c>
      <c r="D14" s="21">
        <v>7889.8329999999996</v>
      </c>
      <c r="E14" s="21">
        <v>9045.0319999999992</v>
      </c>
      <c r="F14" s="21">
        <v>5004.4690000000001</v>
      </c>
      <c r="H14" s="1" t="s">
        <v>26</v>
      </c>
      <c r="I14" s="21">
        <v>13212</v>
      </c>
      <c r="J14" s="21">
        <v>6650</v>
      </c>
      <c r="K14" s="21">
        <v>7886</v>
      </c>
      <c r="L14" s="21">
        <v>13068</v>
      </c>
      <c r="M14" s="21">
        <v>13947</v>
      </c>
      <c r="O14" s="1" t="s">
        <v>26</v>
      </c>
      <c r="P14" s="21">
        <v>136694</v>
      </c>
      <c r="Q14" s="21">
        <v>139649</v>
      </c>
      <c r="R14" s="21">
        <v>113762</v>
      </c>
      <c r="S14" s="21">
        <v>110916</v>
      </c>
      <c r="T14" s="21">
        <v>95657</v>
      </c>
      <c r="U14" s="21"/>
      <c r="W14" s="1" t="s">
        <v>26</v>
      </c>
      <c r="X14" s="21">
        <v>130334</v>
      </c>
      <c r="Y14" s="21">
        <v>104757</v>
      </c>
      <c r="Z14" s="21">
        <v>111262</v>
      </c>
      <c r="AA14" s="21">
        <v>75543</v>
      </c>
      <c r="AB14" s="21">
        <v>94565</v>
      </c>
      <c r="AC14" s="21"/>
      <c r="AE14" s="107" t="s">
        <v>26</v>
      </c>
      <c r="AF14" s="108">
        <v>30098</v>
      </c>
      <c r="AG14" s="108">
        <v>21383</v>
      </c>
      <c r="AH14" s="108">
        <v>9765</v>
      </c>
      <c r="AI14" s="108">
        <v>10454</v>
      </c>
      <c r="AJ14" s="108">
        <v>10786</v>
      </c>
    </row>
    <row r="15" spans="1:36" s="18" customFormat="1" x14ac:dyDescent="0.3">
      <c r="A15" s="18" t="s">
        <v>27</v>
      </c>
      <c r="B15" s="22">
        <v>7846.8919999999998</v>
      </c>
      <c r="C15" s="22">
        <v>9728.2119999999995</v>
      </c>
      <c r="D15" s="22">
        <v>11776.775</v>
      </c>
      <c r="E15" s="22">
        <v>12227.186</v>
      </c>
      <c r="F15" s="22">
        <v>13664.847</v>
      </c>
      <c r="H15" s="18" t="s">
        <v>27</v>
      </c>
      <c r="I15" s="22">
        <f>7132+10892+714</f>
        <v>18738</v>
      </c>
      <c r="J15" s="22">
        <f>6754+7221+793+1002</f>
        <v>15770</v>
      </c>
      <c r="K15" s="22">
        <f>6541+6851+939+817</f>
        <v>15148</v>
      </c>
      <c r="L15" s="22">
        <f>7214+6102+692+640</f>
        <v>14648</v>
      </c>
      <c r="M15" s="22">
        <f>6804+6259+900+947</f>
        <v>14910</v>
      </c>
      <c r="O15" s="18" t="s">
        <v>129</v>
      </c>
      <c r="P15" s="22">
        <v>319616</v>
      </c>
      <c r="Q15" s="22">
        <v>365264</v>
      </c>
      <c r="R15" s="22">
        <v>359268</v>
      </c>
      <c r="S15" s="22">
        <v>402392</v>
      </c>
      <c r="T15" s="22">
        <v>450256</v>
      </c>
      <c r="U15" s="22"/>
      <c r="W15" s="18" t="s">
        <v>129</v>
      </c>
      <c r="X15" s="22">
        <v>333779</v>
      </c>
      <c r="Y15" s="22">
        <v>364840</v>
      </c>
      <c r="Z15" s="22">
        <v>411976</v>
      </c>
      <c r="AA15" s="22">
        <v>512163</v>
      </c>
      <c r="AB15" s="22">
        <v>619003</v>
      </c>
      <c r="AC15" s="22"/>
      <c r="AD15" s="68"/>
      <c r="AE15" s="113" t="s">
        <v>129</v>
      </c>
      <c r="AF15" s="114">
        <v>131107</v>
      </c>
      <c r="AG15" s="114">
        <v>109297</v>
      </c>
      <c r="AH15" s="114">
        <v>134384</v>
      </c>
      <c r="AI15" s="114">
        <v>140976</v>
      </c>
      <c r="AJ15" s="114">
        <v>168361</v>
      </c>
    </row>
    <row r="16" spans="1:36" x14ac:dyDescent="0.3">
      <c r="A16" s="1" t="s">
        <v>28</v>
      </c>
      <c r="B16" s="21">
        <v>0</v>
      </c>
      <c r="C16" s="21">
        <v>0</v>
      </c>
      <c r="D16" s="21">
        <v>0</v>
      </c>
      <c r="E16" s="21">
        <v>0</v>
      </c>
      <c r="F16" s="21">
        <v>0</v>
      </c>
      <c r="H16" s="1" t="s">
        <v>28</v>
      </c>
      <c r="I16" s="21">
        <v>1839</v>
      </c>
      <c r="J16" s="21">
        <v>1649</v>
      </c>
      <c r="K16" s="21">
        <v>1552</v>
      </c>
      <c r="L16" s="21">
        <v>1161</v>
      </c>
      <c r="M16" s="21">
        <v>1289</v>
      </c>
      <c r="O16" s="1" t="s">
        <v>28</v>
      </c>
      <c r="P16" s="21">
        <v>728</v>
      </c>
      <c r="Q16" s="21">
        <v>1170</v>
      </c>
      <c r="R16" s="21">
        <v>2670</v>
      </c>
      <c r="S16" s="21">
        <v>0</v>
      </c>
      <c r="T16" s="21">
        <v>0</v>
      </c>
      <c r="U16" s="21"/>
      <c r="W16" s="1" t="s">
        <v>28</v>
      </c>
      <c r="X16" s="21">
        <v>2636</v>
      </c>
      <c r="Y16" s="21">
        <v>3742</v>
      </c>
      <c r="Z16" s="21">
        <v>2500</v>
      </c>
      <c r="AA16" s="21">
        <v>1246</v>
      </c>
      <c r="AB16" s="21">
        <v>938</v>
      </c>
      <c r="AC16" s="21"/>
      <c r="AE16" s="111" t="s">
        <v>28</v>
      </c>
      <c r="AF16" s="112">
        <v>0</v>
      </c>
      <c r="AG16" s="112">
        <v>0</v>
      </c>
      <c r="AH16" s="112">
        <v>0</v>
      </c>
      <c r="AI16" s="112">
        <v>0</v>
      </c>
      <c r="AJ16" s="112">
        <v>0</v>
      </c>
    </row>
    <row r="17" spans="1:36" x14ac:dyDescent="0.3">
      <c r="A17" s="18" t="s">
        <v>29</v>
      </c>
      <c r="B17" s="22">
        <v>17749.756000000001</v>
      </c>
      <c r="C17" s="22">
        <v>19666.510999999999</v>
      </c>
      <c r="D17" s="22">
        <v>21610.870999999999</v>
      </c>
      <c r="E17" s="22">
        <v>23381.931</v>
      </c>
      <c r="F17" s="22">
        <v>20857.780999999999</v>
      </c>
      <c r="G17" s="18"/>
      <c r="H17" s="18" t="s">
        <v>29</v>
      </c>
      <c r="I17" s="22">
        <v>39165</v>
      </c>
      <c r="J17" s="22">
        <v>29539</v>
      </c>
      <c r="K17" s="22">
        <v>29118</v>
      </c>
      <c r="L17" s="22">
        <v>32908</v>
      </c>
      <c r="M17" s="22">
        <v>34482</v>
      </c>
      <c r="O17" s="18" t="s">
        <v>29</v>
      </c>
      <c r="P17" s="22">
        <v>174296</v>
      </c>
      <c r="Q17" s="22">
        <v>188143</v>
      </c>
      <c r="R17" s="22">
        <v>164795</v>
      </c>
      <c r="S17" s="22">
        <v>171530</v>
      </c>
      <c r="T17" s="22">
        <v>163711</v>
      </c>
      <c r="U17" s="22"/>
      <c r="V17" s="18"/>
      <c r="W17" s="18" t="s">
        <v>29</v>
      </c>
      <c r="X17" s="22">
        <v>184406</v>
      </c>
      <c r="Y17" s="22">
        <v>169684</v>
      </c>
      <c r="Z17" s="22">
        <v>184257</v>
      </c>
      <c r="AA17" s="22">
        <v>159734</v>
      </c>
      <c r="AB17" s="22">
        <v>191131</v>
      </c>
      <c r="AC17" s="22"/>
      <c r="AE17" s="113" t="s">
        <v>29</v>
      </c>
      <c r="AF17" s="114">
        <v>55567</v>
      </c>
      <c r="AG17" s="114">
        <v>31633</v>
      </c>
      <c r="AH17" s="114">
        <v>21004</v>
      </c>
      <c r="AI17" s="114">
        <v>22554</v>
      </c>
      <c r="AJ17" s="114">
        <v>24579</v>
      </c>
    </row>
    <row r="18" spans="1:36" x14ac:dyDescent="0.3">
      <c r="A18" s="1" t="s">
        <v>30</v>
      </c>
      <c r="B18" s="21">
        <v>1545.568</v>
      </c>
      <c r="C18" s="21">
        <v>1639.105</v>
      </c>
      <c r="D18" s="21">
        <v>1659.14</v>
      </c>
      <c r="E18" s="21">
        <v>1530.0070000000001</v>
      </c>
      <c r="F18" s="21">
        <v>1521.1189999999999</v>
      </c>
      <c r="H18" s="1" t="s">
        <v>30</v>
      </c>
      <c r="I18" s="21">
        <v>10040</v>
      </c>
      <c r="J18" s="21">
        <v>5694</v>
      </c>
      <c r="K18" s="21">
        <v>5334</v>
      </c>
      <c r="L18" s="21">
        <v>5501</v>
      </c>
      <c r="M18" s="21">
        <v>5731</v>
      </c>
      <c r="O18" s="1" t="s">
        <v>30</v>
      </c>
      <c r="P18" s="21">
        <v>84749</v>
      </c>
      <c r="Q18" s="21">
        <v>97599</v>
      </c>
      <c r="R18" s="21">
        <v>112668</v>
      </c>
      <c r="S18" s="21">
        <v>134345</v>
      </c>
      <c r="T18" s="21">
        <v>171036</v>
      </c>
      <c r="U18" s="21"/>
      <c r="W18" s="1" t="s">
        <v>30</v>
      </c>
      <c r="X18" s="21">
        <v>59715</v>
      </c>
      <c r="Y18" s="21">
        <v>74398</v>
      </c>
      <c r="Z18" s="21">
        <v>95641</v>
      </c>
      <c r="AA18" s="21">
        <v>135591</v>
      </c>
      <c r="AB18" s="21">
        <v>204966</v>
      </c>
      <c r="AC18" s="21"/>
      <c r="AE18" s="111" t="s">
        <v>30</v>
      </c>
      <c r="AF18" s="112">
        <v>7049</v>
      </c>
      <c r="AG18" s="112">
        <v>9716</v>
      </c>
      <c r="AH18" s="112">
        <v>17069</v>
      </c>
      <c r="AI18" s="112">
        <v>21536</v>
      </c>
      <c r="AJ18" s="112">
        <v>43522</v>
      </c>
    </row>
    <row r="19" spans="1:36" x14ac:dyDescent="0.3">
      <c r="A19" s="1" t="s">
        <v>31</v>
      </c>
      <c r="B19" s="21">
        <v>1349.874</v>
      </c>
      <c r="C19" s="21">
        <v>2274.0569999999998</v>
      </c>
      <c r="D19" s="21">
        <v>2559.4850000000001</v>
      </c>
      <c r="E19" s="21">
        <v>2491.1729999999998</v>
      </c>
      <c r="F19" s="21">
        <v>2743.8069999999998</v>
      </c>
      <c r="H19" s="1" t="s">
        <v>31</v>
      </c>
      <c r="I19" s="21">
        <v>4908</v>
      </c>
      <c r="J19" s="21">
        <v>3955</v>
      </c>
      <c r="K19" s="21">
        <v>4051</v>
      </c>
      <c r="L19" s="21">
        <v>4132</v>
      </c>
      <c r="M19" s="21">
        <v>4032</v>
      </c>
      <c r="O19" s="1" t="s">
        <v>31</v>
      </c>
      <c r="P19" s="21">
        <v>5589</v>
      </c>
      <c r="Q19" s="21">
        <v>6037</v>
      </c>
      <c r="R19" s="21">
        <v>5128</v>
      </c>
      <c r="S19" s="21">
        <v>7493</v>
      </c>
      <c r="T19" s="21">
        <v>7987</v>
      </c>
      <c r="U19" s="21"/>
      <c r="W19" s="1" t="s">
        <v>31</v>
      </c>
      <c r="X19" s="21">
        <v>15163</v>
      </c>
      <c r="Y19" s="21">
        <v>19000</v>
      </c>
      <c r="Z19" s="21">
        <v>18095</v>
      </c>
      <c r="AA19" s="21">
        <v>21996</v>
      </c>
      <c r="AB19" s="21">
        <v>27724</v>
      </c>
      <c r="AC19" s="21"/>
      <c r="AE19" s="109" t="s">
        <v>31</v>
      </c>
      <c r="AF19" s="110">
        <v>745</v>
      </c>
      <c r="AG19" s="110">
        <v>1317</v>
      </c>
      <c r="AH19" s="110">
        <v>1204</v>
      </c>
      <c r="AI19" s="110">
        <v>2357</v>
      </c>
      <c r="AJ19" s="110">
        <v>5113</v>
      </c>
    </row>
    <row r="20" spans="1:36" x14ac:dyDescent="0.3">
      <c r="A20" s="18" t="s">
        <v>32</v>
      </c>
      <c r="B20" s="22">
        <v>12662.59</v>
      </c>
      <c r="C20" s="22">
        <v>15708.867</v>
      </c>
      <c r="D20" s="22">
        <v>17523.495999999999</v>
      </c>
      <c r="E20" s="22">
        <v>18009.038</v>
      </c>
      <c r="F20" s="22">
        <v>18976.127</v>
      </c>
      <c r="G20" s="18"/>
      <c r="H20" s="18" t="s">
        <v>32</v>
      </c>
      <c r="I20" s="22">
        <v>39869</v>
      </c>
      <c r="J20" s="22">
        <v>33619</v>
      </c>
      <c r="K20" s="22">
        <v>31505</v>
      </c>
      <c r="L20" s="22">
        <v>34122</v>
      </c>
      <c r="M20" s="22">
        <v>33142</v>
      </c>
      <c r="O20" s="18" t="s">
        <v>32</v>
      </c>
      <c r="P20" s="22">
        <v>56834</v>
      </c>
      <c r="Q20" s="22">
        <v>64254</v>
      </c>
      <c r="R20" s="22">
        <v>69300</v>
      </c>
      <c r="S20" s="22">
        <v>81814</v>
      </c>
      <c r="T20" s="22">
        <v>89122</v>
      </c>
      <c r="U20" s="22"/>
      <c r="V20" s="18"/>
      <c r="W20" s="18" t="s">
        <v>32</v>
      </c>
      <c r="X20" s="22">
        <v>88657</v>
      </c>
      <c r="Y20" s="22">
        <v>95082</v>
      </c>
      <c r="Z20" s="22">
        <v>104149</v>
      </c>
      <c r="AA20" s="22">
        <v>125286</v>
      </c>
      <c r="AB20" s="22">
        <v>141218</v>
      </c>
      <c r="AC20" s="22"/>
      <c r="AE20" s="115" t="s">
        <v>32</v>
      </c>
      <c r="AF20" s="116">
        <v>24164</v>
      </c>
      <c r="AG20" s="116">
        <v>19511</v>
      </c>
      <c r="AH20" s="116">
        <v>23090</v>
      </c>
      <c r="AI20" s="116">
        <v>31544</v>
      </c>
      <c r="AJ20" s="116">
        <v>32643</v>
      </c>
    </row>
    <row r="21" spans="1:36" x14ac:dyDescent="0.3">
      <c r="A21" s="1" t="s">
        <v>33</v>
      </c>
      <c r="B21" s="21">
        <f>7.82+54.052</f>
        <v>61.872</v>
      </c>
      <c r="C21" s="21">
        <f>12.08+53.473</f>
        <v>65.552999999999997</v>
      </c>
      <c r="D21" s="21">
        <f>9.175+45.893</f>
        <v>55.067999999999998</v>
      </c>
      <c r="E21" s="21">
        <f>104.81+43.093</f>
        <v>147.90300000000002</v>
      </c>
      <c r="F21" s="21">
        <f>946.229+78.628</f>
        <v>1024.857</v>
      </c>
      <c r="H21" s="1" t="s">
        <v>33</v>
      </c>
      <c r="I21" s="21">
        <f>7183+54355</f>
        <v>61538</v>
      </c>
      <c r="J21" s="21">
        <f>6787+44917</f>
        <v>51704</v>
      </c>
      <c r="K21" s="21">
        <f>4760+46189</f>
        <v>50949</v>
      </c>
      <c r="L21" s="21">
        <f>6426+50121</f>
        <v>56547</v>
      </c>
      <c r="M21" s="21">
        <f>5089+49884</f>
        <v>54973</v>
      </c>
      <c r="O21" s="1" t="s">
        <v>33</v>
      </c>
      <c r="P21" s="21">
        <f>13932</f>
        <v>13932</v>
      </c>
      <c r="Q21" s="21">
        <f>14817</f>
        <v>14817</v>
      </c>
      <c r="R21" s="21">
        <v>14701</v>
      </c>
      <c r="S21" s="21">
        <f>11870</f>
        <v>11870</v>
      </c>
      <c r="T21" s="21">
        <v>10883</v>
      </c>
      <c r="U21" s="21"/>
      <c r="W21" s="1" t="s">
        <v>33</v>
      </c>
      <c r="X21" s="21">
        <f>8072+50074</f>
        <v>58146</v>
      </c>
      <c r="Y21" s="21">
        <f>2749+47032</f>
        <v>49781</v>
      </c>
      <c r="Z21" s="21">
        <f>5247+41990</f>
        <v>47237</v>
      </c>
      <c r="AA21" s="21">
        <f>6693+2249+42688</f>
        <v>51630</v>
      </c>
      <c r="AB21" s="21">
        <f>2999+40152</f>
        <v>43151</v>
      </c>
      <c r="AC21" s="21"/>
      <c r="AE21" s="109" t="s">
        <v>33</v>
      </c>
      <c r="AF21" s="110">
        <f>75995</f>
        <v>75995</v>
      </c>
      <c r="AG21" s="110">
        <f>3749+72110</f>
        <v>75859</v>
      </c>
      <c r="AH21" s="110">
        <f>4061+86420</f>
        <v>90481</v>
      </c>
      <c r="AI21" s="110">
        <f>10605+76264</f>
        <v>86869</v>
      </c>
      <c r="AJ21" s="110">
        <f>7271+85297</f>
        <v>92568</v>
      </c>
    </row>
    <row r="22" spans="1:36" x14ac:dyDescent="0.3">
      <c r="A22" s="1" t="s">
        <v>34</v>
      </c>
      <c r="B22" s="21">
        <v>17499.172999999999</v>
      </c>
      <c r="C22" s="21">
        <v>20097.114000000001</v>
      </c>
      <c r="D22" s="21">
        <v>22747.088</v>
      </c>
      <c r="E22" s="21">
        <v>26458.593000000001</v>
      </c>
      <c r="F22" s="21">
        <v>29168.248</v>
      </c>
      <c r="H22" s="1" t="s">
        <v>34</v>
      </c>
      <c r="I22" s="21">
        <v>20727</v>
      </c>
      <c r="J22" s="21">
        <v>18996</v>
      </c>
      <c r="K22" s="21">
        <v>22021</v>
      </c>
      <c r="L22" s="21">
        <v>22613</v>
      </c>
      <c r="M22" s="21">
        <v>27393</v>
      </c>
      <c r="O22" s="1" t="s">
        <v>34</v>
      </c>
      <c r="P22" s="21">
        <v>222544</v>
      </c>
      <c r="Q22" s="21">
        <v>251635</v>
      </c>
      <c r="R22" s="21">
        <v>256144</v>
      </c>
      <c r="S22" s="21">
        <v>283379</v>
      </c>
      <c r="T22" s="21">
        <v>325084</v>
      </c>
      <c r="U22" s="21"/>
      <c r="W22" s="1" t="s">
        <v>34</v>
      </c>
      <c r="X22" s="21">
        <v>141988</v>
      </c>
      <c r="Y22" s="21">
        <v>166542</v>
      </c>
      <c r="Z22" s="21">
        <v>206223</v>
      </c>
      <c r="AA22" s="21">
        <v>268477</v>
      </c>
      <c r="AB22" s="21">
        <v>343479</v>
      </c>
      <c r="AC22" s="21"/>
      <c r="AE22" s="111" t="s">
        <v>34</v>
      </c>
      <c r="AF22" s="112">
        <v>5952</v>
      </c>
      <c r="AG22" s="112">
        <v>-5768</v>
      </c>
      <c r="AH22" s="112">
        <v>1556</v>
      </c>
      <c r="AI22" s="112">
        <v>9239</v>
      </c>
      <c r="AJ22" s="112">
        <v>20969</v>
      </c>
    </row>
    <row r="23" spans="1:36" x14ac:dyDescent="0.3">
      <c r="AA23" s="1"/>
      <c r="AB23" s="1"/>
      <c r="AC23" s="1"/>
      <c r="AE23" s="1"/>
      <c r="AF23" s="1"/>
      <c r="AG23" s="1"/>
    </row>
    <row r="24" spans="1:36" x14ac:dyDescent="0.3">
      <c r="A24" s="18" t="s">
        <v>35</v>
      </c>
      <c r="H24" s="18" t="s">
        <v>35</v>
      </c>
      <c r="O24" s="18" t="s">
        <v>35</v>
      </c>
      <c r="W24" s="18" t="s">
        <v>35</v>
      </c>
      <c r="AA24" s="1"/>
      <c r="AB24" s="1"/>
      <c r="AC24" s="1"/>
      <c r="AE24" s="18" t="s">
        <v>35</v>
      </c>
      <c r="AF24" s="1"/>
      <c r="AG24" s="1"/>
    </row>
    <row r="25" spans="1:36" ht="15" thickBot="1" x14ac:dyDescent="0.35">
      <c r="A25" s="1" t="s">
        <v>11</v>
      </c>
      <c r="B25" s="20" t="s">
        <v>12</v>
      </c>
      <c r="C25" s="20" t="s">
        <v>13</v>
      </c>
      <c r="D25" s="20" t="s">
        <v>14</v>
      </c>
      <c r="E25" s="20" t="s">
        <v>15</v>
      </c>
      <c r="F25" s="20" t="s">
        <v>16</v>
      </c>
      <c r="H25" s="1" t="s">
        <v>11</v>
      </c>
      <c r="I25" s="20" t="s">
        <v>12</v>
      </c>
      <c r="J25" s="20" t="s">
        <v>13</v>
      </c>
      <c r="K25" s="20" t="s">
        <v>14</v>
      </c>
      <c r="L25" s="20" t="s">
        <v>15</v>
      </c>
      <c r="M25" s="20" t="s">
        <v>16</v>
      </c>
      <c r="O25" s="1" t="s">
        <v>11</v>
      </c>
      <c r="P25" s="20" t="s">
        <v>12</v>
      </c>
      <c r="Q25" s="20" t="s">
        <v>13</v>
      </c>
      <c r="R25" s="20" t="s">
        <v>14</v>
      </c>
      <c r="S25" s="20" t="s">
        <v>15</v>
      </c>
      <c r="T25" s="20" t="s">
        <v>16</v>
      </c>
      <c r="U25" s="20"/>
      <c r="W25" s="1" t="s">
        <v>11</v>
      </c>
      <c r="X25" s="20" t="s">
        <v>12</v>
      </c>
      <c r="Y25" s="20" t="s">
        <v>13</v>
      </c>
      <c r="Z25" s="20" t="s">
        <v>14</v>
      </c>
      <c r="AA25" s="20" t="s">
        <v>15</v>
      </c>
      <c r="AB25" s="20" t="s">
        <v>16</v>
      </c>
      <c r="AC25" s="20"/>
      <c r="AE25" s="105" t="s">
        <v>11</v>
      </c>
      <c r="AF25" s="106" t="s">
        <v>12</v>
      </c>
      <c r="AG25" s="106" t="s">
        <v>13</v>
      </c>
      <c r="AH25" s="106" t="s">
        <v>14</v>
      </c>
      <c r="AI25" s="106" t="s">
        <v>15</v>
      </c>
      <c r="AJ25" s="106" t="s">
        <v>16</v>
      </c>
    </row>
    <row r="26" spans="1:36" ht="15" thickTop="1" x14ac:dyDescent="0.3">
      <c r="A26" s="1" t="s">
        <v>36</v>
      </c>
      <c r="B26" s="21">
        <v>8215.152</v>
      </c>
      <c r="C26" s="21">
        <v>8975.1479999999992</v>
      </c>
      <c r="D26" s="21">
        <v>9541.1290000000008</v>
      </c>
      <c r="E26" s="21">
        <v>9524.268</v>
      </c>
      <c r="F26" s="21">
        <v>9131.027</v>
      </c>
      <c r="H26" s="1" t="s">
        <v>36</v>
      </c>
      <c r="I26" s="21">
        <v>18197</v>
      </c>
      <c r="J26" s="21">
        <v>12796</v>
      </c>
      <c r="K26" s="21">
        <v>10435</v>
      </c>
      <c r="L26" s="21">
        <v>13931</v>
      </c>
      <c r="M26" s="21">
        <v>13445</v>
      </c>
      <c r="O26" s="1" t="s">
        <v>36</v>
      </c>
      <c r="P26" s="21">
        <v>65124</v>
      </c>
      <c r="Q26" s="21">
        <v>91652</v>
      </c>
      <c r="R26" s="21">
        <v>91495</v>
      </c>
      <c r="S26" s="21">
        <v>101746</v>
      </c>
      <c r="T26" s="21">
        <v>125299</v>
      </c>
      <c r="U26" s="21"/>
      <c r="W26" s="1" t="s">
        <v>36</v>
      </c>
      <c r="X26" s="21">
        <v>76740</v>
      </c>
      <c r="Y26" s="21">
        <v>89035</v>
      </c>
      <c r="Z26" s="21">
        <v>87582</v>
      </c>
      <c r="AA26" s="21">
        <v>118548</v>
      </c>
      <c r="AB26" s="21">
        <v>136162</v>
      </c>
      <c r="AC26" s="21"/>
      <c r="AE26" s="107" t="s">
        <v>36</v>
      </c>
      <c r="AF26" s="108">
        <v>15887</v>
      </c>
      <c r="AG26" s="108">
        <v>9539</v>
      </c>
      <c r="AH26" s="108">
        <v>17165</v>
      </c>
      <c r="AI26" s="108">
        <v>18673</v>
      </c>
      <c r="AJ26" s="108">
        <v>20821</v>
      </c>
    </row>
    <row r="27" spans="1:36" x14ac:dyDescent="0.3">
      <c r="A27" s="1" t="s">
        <v>37</v>
      </c>
      <c r="B27" s="21">
        <v>599.13199999999995</v>
      </c>
      <c r="C27" s="21">
        <v>580.13199999999995</v>
      </c>
      <c r="D27" s="21">
        <v>717.99800000000005</v>
      </c>
      <c r="E27" s="21">
        <v>528.17200000000003</v>
      </c>
      <c r="F27" s="21">
        <v>516.50900000000001</v>
      </c>
      <c r="H27" s="1" t="s">
        <v>37</v>
      </c>
      <c r="I27" s="21">
        <v>2618</v>
      </c>
      <c r="J27" s="21">
        <v>2062</v>
      </c>
      <c r="K27" s="21">
        <v>1346</v>
      </c>
      <c r="L27" s="21">
        <v>1245</v>
      </c>
      <c r="M27" s="21">
        <v>1048</v>
      </c>
      <c r="O27" s="1" t="s">
        <v>37</v>
      </c>
      <c r="P27" s="21">
        <v>22281</v>
      </c>
      <c r="Q27" s="21">
        <v>24640</v>
      </c>
      <c r="R27" s="21">
        <v>31485</v>
      </c>
      <c r="S27" s="21">
        <v>32251</v>
      </c>
      <c r="T27" s="21">
        <v>52535</v>
      </c>
      <c r="U27" s="21"/>
      <c r="W27" s="1" t="s">
        <v>37</v>
      </c>
      <c r="X27" s="21">
        <v>20622</v>
      </c>
      <c r="Y27" s="21">
        <v>23886</v>
      </c>
      <c r="Z27" s="21">
        <v>28107</v>
      </c>
      <c r="AA27" s="21">
        <v>44477</v>
      </c>
      <c r="AB27" s="21">
        <v>64551</v>
      </c>
      <c r="AC27" s="21"/>
      <c r="AE27" s="109" t="s">
        <v>37</v>
      </c>
      <c r="AF27" s="110">
        <v>2135</v>
      </c>
      <c r="AG27" s="110">
        <v>4511</v>
      </c>
      <c r="AH27" s="110">
        <v>8695</v>
      </c>
      <c r="AI27" s="110">
        <v>6866</v>
      </c>
      <c r="AJ27" s="110">
        <v>21215</v>
      </c>
    </row>
    <row r="28" spans="1:36" x14ac:dyDescent="0.3">
      <c r="A28" s="1" t="s">
        <v>38</v>
      </c>
      <c r="B28" s="21">
        <v>2037.7329999999999</v>
      </c>
      <c r="C28" s="21">
        <v>2236.0940000000001</v>
      </c>
      <c r="D28" s="21">
        <v>2457.306</v>
      </c>
      <c r="E28" s="21">
        <v>2827.3939999999998</v>
      </c>
      <c r="F28" s="21">
        <v>3241.4789999999998</v>
      </c>
      <c r="H28" s="1" t="s">
        <v>38</v>
      </c>
      <c r="I28" s="21">
        <v>5797</v>
      </c>
      <c r="J28" s="21">
        <v>5869</v>
      </c>
      <c r="K28" s="21">
        <v>5948</v>
      </c>
      <c r="L28" s="21">
        <v>6040</v>
      </c>
      <c r="M28" s="21">
        <v>6147</v>
      </c>
      <c r="O28" s="1" t="s">
        <v>38</v>
      </c>
      <c r="P28" s="21">
        <v>0</v>
      </c>
      <c r="Q28" s="21">
        <v>0</v>
      </c>
      <c r="R28" s="21">
        <v>0</v>
      </c>
      <c r="S28" s="21">
        <v>0</v>
      </c>
      <c r="T28" s="21">
        <v>7363</v>
      </c>
      <c r="U28" s="21"/>
      <c r="W28" s="1" t="s">
        <v>38</v>
      </c>
      <c r="X28" s="21">
        <v>16521</v>
      </c>
      <c r="Y28" s="21">
        <v>18135</v>
      </c>
      <c r="Z28" s="21">
        <v>19800</v>
      </c>
      <c r="AA28" s="21">
        <v>21771</v>
      </c>
      <c r="AB28" s="21">
        <v>24082</v>
      </c>
      <c r="AC28" s="21"/>
      <c r="AE28" s="111" t="s">
        <v>38</v>
      </c>
      <c r="AF28" s="112">
        <v>3063</v>
      </c>
      <c r="AG28" s="112">
        <v>3457</v>
      </c>
      <c r="AH28" s="112">
        <v>3668</v>
      </c>
      <c r="AI28" s="112">
        <v>4391</v>
      </c>
      <c r="AJ28" s="112">
        <v>4743</v>
      </c>
    </row>
    <row r="29" spans="1:36" x14ac:dyDescent="0.3">
      <c r="A29" s="1" t="s">
        <v>39</v>
      </c>
      <c r="B29" s="21">
        <v>6.7190000000000003</v>
      </c>
      <c r="C29" s="21">
        <v>7.798</v>
      </c>
      <c r="D29" s="21">
        <v>16.452999999999999</v>
      </c>
      <c r="E29" s="21">
        <v>0</v>
      </c>
      <c r="F29" s="21">
        <v>771.24599999999998</v>
      </c>
      <c r="H29" s="1" t="s">
        <v>39</v>
      </c>
      <c r="I29" s="21">
        <f>13365+853</f>
        <v>14218</v>
      </c>
      <c r="J29" s="21">
        <f>8597+40</f>
        <v>8637</v>
      </c>
      <c r="K29" s="21">
        <f>6800-217</f>
        <v>6583</v>
      </c>
      <c r="L29" s="21">
        <f>5082+7</f>
        <v>5089</v>
      </c>
      <c r="M29" s="21">
        <f>6615-30</f>
        <v>6585</v>
      </c>
      <c r="O29" s="1" t="s">
        <v>39</v>
      </c>
      <c r="P29" s="21">
        <f>2100</f>
        <v>2100</v>
      </c>
      <c r="Q29" s="21">
        <v>21435</v>
      </c>
      <c r="R29" s="21">
        <v>54068</v>
      </c>
      <c r="S29" s="21">
        <v>11550</v>
      </c>
      <c r="T29" s="21">
        <v>12701</v>
      </c>
      <c r="U29" s="21"/>
      <c r="W29" s="1" t="s">
        <v>39</v>
      </c>
      <c r="X29" s="21">
        <v>3750</v>
      </c>
      <c r="Y29" s="21">
        <v>9023</v>
      </c>
      <c r="Z29" s="21">
        <v>2750</v>
      </c>
      <c r="AA29" s="21">
        <v>29070</v>
      </c>
      <c r="AB29" s="21">
        <v>3216</v>
      </c>
      <c r="AC29" s="21"/>
      <c r="AE29" s="109" t="s">
        <v>39</v>
      </c>
      <c r="AF29" s="110">
        <v>2631</v>
      </c>
      <c r="AG29" s="110">
        <v>8250</v>
      </c>
      <c r="AH29" s="110">
        <v>21050</v>
      </c>
      <c r="AI29" s="110">
        <v>3500</v>
      </c>
      <c r="AJ29" s="110">
        <v>15841</v>
      </c>
    </row>
    <row r="32" spans="1:36" x14ac:dyDescent="0.3">
      <c r="O32" s="1" t="s">
        <v>11</v>
      </c>
      <c r="P32" s="3" t="s">
        <v>12</v>
      </c>
      <c r="Q32" s="3" t="s">
        <v>13</v>
      </c>
      <c r="R32" s="3" t="s">
        <v>14</v>
      </c>
      <c r="S32" s="3" t="s">
        <v>15</v>
      </c>
      <c r="T32" s="3" t="s">
        <v>16</v>
      </c>
      <c r="W32" s="1" t="s">
        <v>11</v>
      </c>
      <c r="X32" s="3" t="s">
        <v>12</v>
      </c>
      <c r="Y32" s="3" t="s">
        <v>13</v>
      </c>
      <c r="Z32" s="3" t="s">
        <v>14</v>
      </c>
      <c r="AA32" s="3" t="s">
        <v>15</v>
      </c>
      <c r="AB32" s="3" t="s">
        <v>16</v>
      </c>
      <c r="AC32" s="1"/>
      <c r="AE32" s="1" t="s">
        <v>11</v>
      </c>
      <c r="AF32" s="3" t="s">
        <v>12</v>
      </c>
      <c r="AG32" s="3" t="s">
        <v>13</v>
      </c>
      <c r="AH32" s="3" t="s">
        <v>14</v>
      </c>
      <c r="AI32" s="3" t="s">
        <v>15</v>
      </c>
      <c r="AJ32" s="3" t="s">
        <v>16</v>
      </c>
    </row>
    <row r="33" spans="15:37" x14ac:dyDescent="0.3">
      <c r="O33" s="1" t="s">
        <v>17</v>
      </c>
      <c r="P33" s="56">
        <f>P3</f>
        <v>182527</v>
      </c>
      <c r="Q33" s="56">
        <f t="shared" ref="Q33:T33" si="10">Q3</f>
        <v>257637</v>
      </c>
      <c r="R33" s="56">
        <f t="shared" si="10"/>
        <v>282836</v>
      </c>
      <c r="S33" s="56">
        <f t="shared" si="10"/>
        <v>307394</v>
      </c>
      <c r="T33" s="56">
        <f t="shared" si="10"/>
        <v>350018</v>
      </c>
      <c r="W33" s="1" t="s">
        <v>17</v>
      </c>
      <c r="X33" s="56">
        <f>X3</f>
        <v>168088</v>
      </c>
      <c r="Y33" s="56">
        <f t="shared" ref="Y33:AB33" si="11">Y3</f>
        <v>198270</v>
      </c>
      <c r="Z33" s="56">
        <f t="shared" si="11"/>
        <v>211915</v>
      </c>
      <c r="AA33" s="56">
        <f t="shared" si="11"/>
        <v>245122</v>
      </c>
      <c r="AB33" s="56">
        <f t="shared" si="11"/>
        <v>281724</v>
      </c>
      <c r="AC33" s="1"/>
      <c r="AE33" s="1" t="s">
        <v>17</v>
      </c>
      <c r="AF33" s="56">
        <f>AF3</f>
        <v>40479</v>
      </c>
      <c r="AG33" s="56">
        <f t="shared" ref="AG33:AJ33" si="12">AG3</f>
        <v>42440</v>
      </c>
      <c r="AH33" s="56">
        <f t="shared" si="12"/>
        <v>49954</v>
      </c>
      <c r="AI33" s="56">
        <f t="shared" si="12"/>
        <v>52961</v>
      </c>
      <c r="AJ33" s="56">
        <f t="shared" si="12"/>
        <v>57399</v>
      </c>
    </row>
    <row r="34" spans="15:37" x14ac:dyDescent="0.3">
      <c r="O34" s="1" t="s">
        <v>121</v>
      </c>
      <c r="P34" s="56">
        <f>P6</f>
        <v>48082</v>
      </c>
      <c r="Q34" s="56">
        <f t="shared" ref="Q34:T34" si="13">Q6</f>
        <v>90734</v>
      </c>
      <c r="R34" s="56">
        <f t="shared" si="13"/>
        <v>71328</v>
      </c>
      <c r="S34" s="56">
        <f t="shared" si="13"/>
        <v>85717</v>
      </c>
      <c r="T34" s="56">
        <f t="shared" si="13"/>
        <v>119815</v>
      </c>
      <c r="W34" s="1" t="s">
        <v>121</v>
      </c>
      <c r="X34" s="56">
        <f>X6</f>
        <v>71102</v>
      </c>
      <c r="Y34" s="56">
        <f t="shared" ref="Y34:AB34" si="14">Y6</f>
        <v>83716</v>
      </c>
      <c r="Z34" s="56">
        <f t="shared" si="14"/>
        <v>89311</v>
      </c>
      <c r="AA34" s="56">
        <f t="shared" si="14"/>
        <v>107787</v>
      </c>
      <c r="AB34" s="56">
        <f t="shared" si="14"/>
        <v>123627</v>
      </c>
      <c r="AC34" s="1"/>
      <c r="AE34" s="1" t="s">
        <v>121</v>
      </c>
      <c r="AF34" s="56">
        <f>AF6</f>
        <v>16874</v>
      </c>
      <c r="AG34" s="56">
        <f t="shared" ref="AG34:AJ34" si="15">AG6</f>
        <v>11554</v>
      </c>
      <c r="AH34" s="56">
        <f t="shared" si="15"/>
        <v>16213</v>
      </c>
      <c r="AI34" s="56">
        <f t="shared" si="15"/>
        <v>18265</v>
      </c>
      <c r="AJ34" s="56">
        <f t="shared" si="15"/>
        <v>20045</v>
      </c>
    </row>
    <row r="35" spans="15:37" x14ac:dyDescent="0.3">
      <c r="O35" s="1" t="s">
        <v>24</v>
      </c>
      <c r="P35" s="56">
        <f>P10</f>
        <v>26437</v>
      </c>
      <c r="Q35" s="56">
        <f t="shared" ref="Q35:T35" si="16">Q10</f>
        <v>63246</v>
      </c>
      <c r="R35" s="56">
        <f t="shared" si="16"/>
        <v>43687</v>
      </c>
      <c r="S35" s="56">
        <f t="shared" si="16"/>
        <v>61541</v>
      </c>
      <c r="T35" s="56">
        <f t="shared" si="16"/>
        <v>84539</v>
      </c>
      <c r="W35" s="1" t="s">
        <v>24</v>
      </c>
      <c r="X35" s="56">
        <f>X10</f>
        <v>47255</v>
      </c>
      <c r="Y35" s="56">
        <f t="shared" ref="Y35:AB35" si="17">Y10</f>
        <v>56231</v>
      </c>
      <c r="Z35" s="56">
        <f t="shared" si="17"/>
        <v>56505</v>
      </c>
      <c r="AA35" s="56">
        <f t="shared" si="17"/>
        <v>62866</v>
      </c>
      <c r="AB35" s="56">
        <f t="shared" si="17"/>
        <v>65254</v>
      </c>
      <c r="AC35" s="1"/>
      <c r="AE35" s="1" t="s">
        <v>24</v>
      </c>
      <c r="AF35" s="56">
        <f>AF10</f>
        <v>12252</v>
      </c>
      <c r="AG35" s="56">
        <f t="shared" ref="AG35:AJ35" si="18">AG10</f>
        <v>6717</v>
      </c>
      <c r="AH35" s="56">
        <f t="shared" si="18"/>
        <v>8503</v>
      </c>
      <c r="AI35" s="56">
        <f t="shared" si="18"/>
        <v>10467</v>
      </c>
      <c r="AJ35" s="56">
        <f t="shared" si="18"/>
        <v>12443</v>
      </c>
    </row>
    <row r="36" spans="15:37" x14ac:dyDescent="0.3">
      <c r="AA36" s="1"/>
      <c r="AB36" s="1"/>
      <c r="AC36" s="1"/>
      <c r="AE36" s="1"/>
      <c r="AF36" s="1"/>
      <c r="AG36" s="1"/>
    </row>
    <row r="37" spans="15:37" x14ac:dyDescent="0.3">
      <c r="O37" s="1" t="s">
        <v>11</v>
      </c>
      <c r="P37" s="3" t="s">
        <v>50</v>
      </c>
      <c r="Q37" s="3" t="s">
        <v>51</v>
      </c>
      <c r="R37" s="3" t="s">
        <v>52</v>
      </c>
      <c r="S37" s="3" t="s">
        <v>53</v>
      </c>
      <c r="T37" s="3" t="s">
        <v>54</v>
      </c>
      <c r="U37" s="3" t="s">
        <v>55</v>
      </c>
      <c r="W37" s="1" t="s">
        <v>11</v>
      </c>
      <c r="X37" s="3" t="s">
        <v>50</v>
      </c>
      <c r="Y37" s="3" t="s">
        <v>51</v>
      </c>
      <c r="Z37" s="3" t="s">
        <v>52</v>
      </c>
      <c r="AA37" s="3" t="s">
        <v>53</v>
      </c>
      <c r="AB37" s="3" t="s">
        <v>54</v>
      </c>
      <c r="AC37" s="3" t="s">
        <v>55</v>
      </c>
      <c r="AE37" s="1" t="s">
        <v>11</v>
      </c>
      <c r="AF37" s="3" t="s">
        <v>50</v>
      </c>
      <c r="AG37" s="3" t="s">
        <v>51</v>
      </c>
      <c r="AH37" s="3" t="s">
        <v>52</v>
      </c>
      <c r="AI37" s="3" t="s">
        <v>53</v>
      </c>
      <c r="AJ37" s="3" t="s">
        <v>54</v>
      </c>
      <c r="AK37" s="3" t="s">
        <v>55</v>
      </c>
    </row>
    <row r="38" spans="15:37" x14ac:dyDescent="0.3">
      <c r="O38" s="1" t="s">
        <v>17</v>
      </c>
      <c r="P38" s="56">
        <f>DCF!R3</f>
        <v>398697.05849579757</v>
      </c>
      <c r="Q38" s="56">
        <f>DCF!S3</f>
        <v>453591.70808037079</v>
      </c>
      <c r="R38" s="56">
        <f>DCF!T3</f>
        <v>512921.89241959713</v>
      </c>
      <c r="S38" s="56">
        <f>DCF!U3</f>
        <v>573303.45340954955</v>
      </c>
      <c r="T38" s="56">
        <f>DCF!V3</f>
        <v>634044.20586028043</v>
      </c>
      <c r="U38" s="56">
        <f>DCF!W3</f>
        <v>694502.74614945042</v>
      </c>
      <c r="W38" s="1" t="s">
        <v>17</v>
      </c>
      <c r="X38" s="56">
        <f>DCF!Z3</f>
        <v>312378.59933455347</v>
      </c>
      <c r="Y38" s="56">
        <f>DCF!AA3</f>
        <v>347388.45304736617</v>
      </c>
      <c r="Z38" s="56">
        <f>DCF!AB3</f>
        <v>388658.05373554968</v>
      </c>
      <c r="AA38" s="56">
        <f>DCF!AC3</f>
        <v>435753.91369299119</v>
      </c>
      <c r="AB38" s="56">
        <f>DCF!AD3</f>
        <v>488028.61390044988</v>
      </c>
      <c r="AC38" s="56">
        <f>DCF!AE3</f>
        <v>540719.80912412272</v>
      </c>
      <c r="AE38" s="1" t="s">
        <v>17</v>
      </c>
      <c r="AF38" s="56">
        <f>DCF!AH3</f>
        <v>61551.584380871667</v>
      </c>
      <c r="AG38" s="56">
        <f>DCF!AI3</f>
        <v>66004.591365625965</v>
      </c>
      <c r="AH38" s="56">
        <f>DCF!AJ3</f>
        <v>70779.755308738488</v>
      </c>
      <c r="AI38" s="56">
        <f>DCF!AK3</f>
        <v>75900.382956902846</v>
      </c>
      <c r="AJ38" s="56">
        <f>DCF!AL3</f>
        <v>81391.467205217501</v>
      </c>
      <c r="AK38" s="56">
        <f>DCF!AM3</f>
        <v>87279.809083170345</v>
      </c>
    </row>
    <row r="39" spans="15:37" x14ac:dyDescent="0.3">
      <c r="O39" s="1" t="s">
        <v>121</v>
      </c>
      <c r="P39" s="56">
        <f>DCF!R4</f>
        <v>120057.48898683809</v>
      </c>
      <c r="Q39" s="56">
        <f>DCF!S4</f>
        <v>136587.61793436756</v>
      </c>
      <c r="R39" s="56">
        <f>DCF!T4</f>
        <v>154453.39547425581</v>
      </c>
      <c r="S39" s="56">
        <f>DCF!U4</f>
        <v>172635.76837890997</v>
      </c>
      <c r="T39" s="56">
        <f>DCF!V4</f>
        <v>190926.30266556499</v>
      </c>
      <c r="U39" s="56">
        <f>DCF!W4</f>
        <v>209131.8559302722</v>
      </c>
      <c r="W39" s="1" t="s">
        <v>121</v>
      </c>
      <c r="X39" s="56">
        <f>DCF!Z4</f>
        <v>134419.42113324589</v>
      </c>
      <c r="Y39" s="56">
        <f>DCF!AA4</f>
        <v>149484.4873063477</v>
      </c>
      <c r="Z39" s="56">
        <f>DCF!AB4</f>
        <v>167243.18091315462</v>
      </c>
      <c r="AA39" s="56">
        <f>DCF!AC4</f>
        <v>187508.96815574262</v>
      </c>
      <c r="AB39" s="56">
        <f>DCF!AD4</f>
        <v>210003.25859935596</v>
      </c>
      <c r="AC39" s="56">
        <f>DCF!AE4</f>
        <v>232676.77072814124</v>
      </c>
      <c r="AE39" s="1" t="s">
        <v>121</v>
      </c>
      <c r="AF39" s="56">
        <f>DCF!AH4</f>
        <v>20991.253144012884</v>
      </c>
      <c r="AG39" s="56">
        <f>DCF!AI4</f>
        <v>22509.885000678525</v>
      </c>
      <c r="AH39" s="56">
        <f>DCF!AJ4</f>
        <v>24138.383700464849</v>
      </c>
      <c r="AI39" s="56">
        <f>DCF!AK4</f>
        <v>25884.697662973562</v>
      </c>
      <c r="AJ39" s="56">
        <f>DCF!AL4</f>
        <v>27757.350343662241</v>
      </c>
      <c r="AK39" s="56">
        <f>DCF!AM4</f>
        <v>29765.481835351551</v>
      </c>
    </row>
    <row r="40" spans="15:37" x14ac:dyDescent="0.3">
      <c r="O40" s="1" t="s">
        <v>24</v>
      </c>
      <c r="P40" s="56">
        <f>DCF!R5</f>
        <v>92444.266519865327</v>
      </c>
      <c r="Q40" s="56">
        <f>DCF!S5</f>
        <v>105172.46580946303</v>
      </c>
      <c r="R40" s="56">
        <f>DCF!T5</f>
        <v>118929.11451517697</v>
      </c>
      <c r="S40" s="56">
        <f>DCF!U5</f>
        <v>132929.54165176066</v>
      </c>
      <c r="T40" s="56">
        <f>DCF!V5</f>
        <v>147013.25305248503</v>
      </c>
      <c r="U40" s="56">
        <f>DCF!W5</f>
        <v>161031.52906630959</v>
      </c>
      <c r="W40" s="1" t="s">
        <v>24</v>
      </c>
      <c r="X40" s="56">
        <f>DCF!Z5</f>
        <v>103502.95427259934</v>
      </c>
      <c r="Y40" s="56">
        <f>DCF!AA5</f>
        <v>115103.05522588773</v>
      </c>
      <c r="Z40" s="56">
        <f>DCF!AB5</f>
        <v>128777.24930312907</v>
      </c>
      <c r="AA40" s="56">
        <f>DCF!AC5</f>
        <v>144381.90547992181</v>
      </c>
      <c r="AB40" s="56">
        <f>DCF!AD5</f>
        <v>161702.50912150409</v>
      </c>
      <c r="AC40" s="56">
        <f>DCF!AE5</f>
        <v>179161.11346066877</v>
      </c>
      <c r="AE40" s="1" t="s">
        <v>24</v>
      </c>
      <c r="AF40" s="56">
        <f>DCF!AH5</f>
        <v>16163.264920889922</v>
      </c>
      <c r="AG40" s="56">
        <f>DCF!AI5</f>
        <v>17332.611450522465</v>
      </c>
      <c r="AH40" s="56">
        <f>DCF!AJ5</f>
        <v>18586.555449357933</v>
      </c>
      <c r="AI40" s="56">
        <f>DCF!AK5</f>
        <v>19931.217200489642</v>
      </c>
      <c r="AJ40" s="56">
        <f>DCF!AL5</f>
        <v>21373.159764619926</v>
      </c>
      <c r="AK40" s="56">
        <f>DCF!AM5</f>
        <v>22919.421013220694</v>
      </c>
    </row>
    <row r="41" spans="15:37" x14ac:dyDescent="0.3">
      <c r="O41" s="1" t="s">
        <v>78</v>
      </c>
      <c r="P41" s="56">
        <f>DCF!R9</f>
        <v>-4823.196439142157</v>
      </c>
      <c r="Q41" s="56">
        <f>DCF!S9</f>
        <v>54398.705091825977</v>
      </c>
      <c r="R41" s="56">
        <f>DCF!T9</f>
        <v>62510.562422524366</v>
      </c>
      <c r="S41" s="56">
        <f>DCF!U9</f>
        <v>72023.303847556788</v>
      </c>
      <c r="T41" s="56">
        <f>DCF!V9</f>
        <v>81846.198295401715</v>
      </c>
      <c r="U41" s="56">
        <f>DCF!W9</f>
        <v>91855.706049151981</v>
      </c>
      <c r="W41" s="1" t="s">
        <v>78</v>
      </c>
      <c r="X41" s="56">
        <f>DCF!Z9</f>
        <v>34692.07948798174</v>
      </c>
      <c r="Y41" s="56">
        <f>DCF!AA9</f>
        <v>77715.130607862564</v>
      </c>
      <c r="Z41" s="56">
        <f>DCF!AB9</f>
        <v>86311.235011028868</v>
      </c>
      <c r="AA41" s="56">
        <f>DCF!AC9</f>
        <v>96519.977251433622</v>
      </c>
      <c r="AB41" s="56">
        <f>DCF!AD9</f>
        <v>108241.56879442252</v>
      </c>
      <c r="AC41" s="56">
        <f>DCF!AE9</f>
        <v>121511.90930896302</v>
      </c>
      <c r="AE41" s="1" t="s">
        <v>78</v>
      </c>
      <c r="AF41" s="56">
        <f>DCF!AH9</f>
        <v>11509.307937174974</v>
      </c>
      <c r="AG41" s="56">
        <f>DCF!AI9</f>
        <v>13640.670736308879</v>
      </c>
      <c r="AH41" s="56">
        <f>DCF!AJ9</f>
        <v>14627.517828491835</v>
      </c>
      <c r="AI41" s="56">
        <f>DCF!AK9</f>
        <v>15685.759297254652</v>
      </c>
      <c r="AJ41" s="56">
        <f>DCF!AL9</f>
        <v>16820.560235596655</v>
      </c>
      <c r="AK41" s="56">
        <f>DCF!AM9</f>
        <v>18037.45941000474</v>
      </c>
    </row>
  </sheetData>
  <pageMargins left="0.7" right="0.7" top="0.75" bottom="0.75" header="0.3" footer="0.3"/>
  <tableParts count="1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7FA20-1CD5-4CC1-B7D1-08521EA28A24}">
  <dimension ref="A1:N26"/>
  <sheetViews>
    <sheetView workbookViewId="0">
      <selection activeCell="G12" sqref="G12"/>
    </sheetView>
  </sheetViews>
  <sheetFormatPr defaultRowHeight="14.4" x14ac:dyDescent="0.3"/>
  <cols>
    <col min="1" max="1" width="27" bestFit="1" customWidth="1"/>
    <col min="2" max="3" width="10.88671875" bestFit="1" customWidth="1"/>
    <col min="4" max="5" width="12.33203125" style="80" bestFit="1" customWidth="1"/>
    <col min="6" max="6" width="10.88671875" style="80" bestFit="1" customWidth="1"/>
    <col min="8" max="8" width="12.77734375" bestFit="1" customWidth="1"/>
    <col min="9" max="14" width="10.88671875" bestFit="1" customWidth="1"/>
  </cols>
  <sheetData>
    <row r="1" spans="1:14" x14ac:dyDescent="0.3">
      <c r="A1" s="18" t="s">
        <v>42</v>
      </c>
      <c r="B1" s="3"/>
      <c r="C1" s="3"/>
      <c r="D1" s="3"/>
      <c r="E1" s="3"/>
      <c r="F1" s="3"/>
      <c r="G1" s="1"/>
      <c r="H1" s="1"/>
      <c r="I1" s="1"/>
      <c r="J1" s="1"/>
      <c r="K1" s="1"/>
      <c r="L1" s="1"/>
      <c r="M1" s="1"/>
      <c r="N1" s="1"/>
    </row>
    <row r="2" spans="1:14" x14ac:dyDescent="0.3">
      <c r="A2" s="83" t="s">
        <v>43</v>
      </c>
      <c r="B2" s="84" t="s">
        <v>40</v>
      </c>
      <c r="C2" s="84" t="s">
        <v>41</v>
      </c>
      <c r="D2" s="84" t="s">
        <v>126</v>
      </c>
      <c r="E2" s="84" t="s">
        <v>127</v>
      </c>
      <c r="F2" s="85" t="s">
        <v>128</v>
      </c>
      <c r="G2" s="1"/>
      <c r="H2" s="25" t="s">
        <v>44</v>
      </c>
      <c r="I2" s="26" t="s">
        <v>12</v>
      </c>
      <c r="J2" s="26" t="s">
        <v>13</v>
      </c>
      <c r="K2" s="26" t="s">
        <v>14</v>
      </c>
      <c r="L2" s="26" t="s">
        <v>15</v>
      </c>
      <c r="M2" s="27" t="s">
        <v>16</v>
      </c>
      <c r="N2" s="1"/>
    </row>
    <row r="3" spans="1:14" x14ac:dyDescent="0.3">
      <c r="A3" s="81" t="s">
        <v>45</v>
      </c>
      <c r="B3" s="82">
        <f>(Table1[[#This Row],[2024]]/Table1[[#This Row],[2020]])^(1/5)-1</f>
        <v>7.9221186375372676E-2</v>
      </c>
      <c r="C3" s="82">
        <f>(Table18[[#This Row],[2024]]/Table18[[#This Row],[2020]])^(1/5)-1</f>
        <v>2.6058525894077533E-2</v>
      </c>
      <c r="D3" s="29">
        <f>((Table120[[#This Row],[2024]]/Table120[[#This Row],[2020]])^(1/5)-1)</f>
        <v>0.13907587180030045</v>
      </c>
      <c r="E3" s="29">
        <f>(Table1826[[#This Row],[2024]]/Table1826[[#This Row],[2020]])^(1/5)-1</f>
        <v>0.10881074858568485</v>
      </c>
      <c r="F3" s="29">
        <f>(Financials!$AJ3/Financials!$AF3)^(1/5)-1</f>
        <v>7.2345936007102374E-2</v>
      </c>
      <c r="G3" s="1"/>
      <c r="H3" s="30" t="s">
        <v>101</v>
      </c>
      <c r="I3" s="31">
        <f>Financials!B17-Financials!B20</f>
        <v>5087.1660000000011</v>
      </c>
      <c r="J3" s="31">
        <f>Financials!C17-Financials!C20</f>
        <v>3957.6439999999984</v>
      </c>
      <c r="K3" s="31">
        <f>Financials!D17-Financials!D20</f>
        <v>4087.375</v>
      </c>
      <c r="L3" s="31">
        <f>Financials!E17-Financials!E20</f>
        <v>5372.893</v>
      </c>
      <c r="M3" s="31">
        <f>Financials!F17-Financials!F20</f>
        <v>1881.6539999999986</v>
      </c>
      <c r="N3" s="1"/>
    </row>
    <row r="4" spans="1:14" x14ac:dyDescent="0.3">
      <c r="A4" s="28" t="s">
        <v>46</v>
      </c>
      <c r="B4" s="29">
        <f>AVERAGE(Financials!B6:F6)/AVERAGE(Financials!B3:F3)</f>
        <v>0.14680746196471275</v>
      </c>
      <c r="C4" s="29">
        <f>AVERAGE(Financials!I6:M6)/AVERAGE(Financials!I3:M3)</f>
        <v>0.10088621032545889</v>
      </c>
      <c r="D4" s="29">
        <f>AVERAGE(Financials!P6:T6)/AVERAGE(Financials!P3:T3)</f>
        <v>0.30112459178853845</v>
      </c>
      <c r="E4" s="29">
        <f>AVERAGE(Financials!X6:AB6)/AVERAGE(Financials!X3:AB3)</f>
        <v>0.43030931510543213</v>
      </c>
      <c r="F4" s="29">
        <f>AVERAGE(Financials!AF6:AJ6)/AVERAGE(Financials!AF3:AJ3)</f>
        <v>0.3410351391464152</v>
      </c>
      <c r="G4" s="1"/>
      <c r="H4" s="32" t="s">
        <v>102</v>
      </c>
      <c r="I4" s="33">
        <f>Financials!I17-Financials!I20</f>
        <v>-704</v>
      </c>
      <c r="J4" s="33">
        <f>Financials!J17-Financials!J20</f>
        <v>-4080</v>
      </c>
      <c r="K4" s="33">
        <f>Financials!K17-Financials!K20</f>
        <v>-2387</v>
      </c>
      <c r="L4" s="33">
        <f>Financials!L17-Financials!L20</f>
        <v>-1214</v>
      </c>
      <c r="M4" s="33">
        <f>Financials!M17-Financials!M20</f>
        <v>1340</v>
      </c>
      <c r="N4" s="1"/>
    </row>
    <row r="5" spans="1:14" x14ac:dyDescent="0.3">
      <c r="A5" s="28" t="s">
        <v>47</v>
      </c>
      <c r="B5" s="29">
        <f>AVERAGE(Financials!B7:F7)/AVERAGE(Financials!B3:F3)</f>
        <v>3.5737405803097207E-2</v>
      </c>
      <c r="C5" s="29">
        <f>AVERAGE(Financials!I7:M7)/AVERAGE(Financials!I3:M3)</f>
        <v>9.0626595716090191E-2</v>
      </c>
      <c r="D5" s="29">
        <f>AVERAGE(Financials!P7:T7)/AVERAGE(Financials!P3:T3)</f>
        <v>5.0219065032758331E-2</v>
      </c>
      <c r="E5" s="29">
        <f>AVERAGE(Financials!X7:AB7)/AVERAGE(Financials!X3:AB3)</f>
        <v>8.7272954315327139E-2</v>
      </c>
      <c r="F5" s="29">
        <f>AVERAGE(Financials!AH7:AJ7)/AVERAGE(Financials!AH3:AJ3)</f>
        <v>5.550981199396185E-2</v>
      </c>
      <c r="G5" s="1"/>
      <c r="H5" s="88" t="s">
        <v>130</v>
      </c>
      <c r="I5" s="89">
        <f>Financials!P17-Financials!P20</f>
        <v>117462</v>
      </c>
      <c r="J5" s="89">
        <f>Financials!Q17-Financials!Q20</f>
        <v>123889</v>
      </c>
      <c r="K5" s="89">
        <f>Financials!R17-Financials!R20</f>
        <v>95495</v>
      </c>
      <c r="L5" s="89">
        <f>Financials!S17-Financials!S20</f>
        <v>89716</v>
      </c>
      <c r="M5" s="89">
        <f>Financials!T17-Financials!T20</f>
        <v>74589</v>
      </c>
      <c r="N5" s="1"/>
    </row>
    <row r="6" spans="1:14" x14ac:dyDescent="0.3">
      <c r="A6" s="28" t="s">
        <v>48</v>
      </c>
      <c r="B6" s="29">
        <f>AVERAGE(Financials!B27:F27)/AVERAGE(Financials!B3:F3)</f>
        <v>1.0305866601767176E-2</v>
      </c>
      <c r="C6" s="29">
        <f>AVERAGE(Financials!I27:M27)/AVERAGE(Financials!I3:M3)</f>
        <v>2.7946867693300008E-2</v>
      </c>
      <c r="D6" s="29">
        <f>AVERAGE(Financials!P27:T27)/AVERAGE(Financials!P3:T3)</f>
        <v>0.11821977786342049</v>
      </c>
      <c r="E6" s="29">
        <f>AVERAGE(Financials!X27:AB27)/AVERAGE(Financials!X3:AB3)</f>
        <v>0.16436510457244877</v>
      </c>
      <c r="F6" s="29">
        <f>AVERAGE(Financials!AF27:AI27)/AVERAGE(Financials!AF3:AI3)</f>
        <v>0.1194991228731018</v>
      </c>
      <c r="G6" s="1"/>
      <c r="H6" s="88" t="s">
        <v>131</v>
      </c>
      <c r="I6" s="89">
        <f>Financials!X17-Financials!X20</f>
        <v>95749</v>
      </c>
      <c r="J6" s="89">
        <f>Financials!Y17-Financials!Y20</f>
        <v>74602</v>
      </c>
      <c r="K6" s="89">
        <f>Financials!Z17-Financials!Z20</f>
        <v>80108</v>
      </c>
      <c r="L6" s="89">
        <f>Financials!AA17-Financials!AA20</f>
        <v>34448</v>
      </c>
      <c r="M6" s="89">
        <f>Financials!AB17-Financials!AB20</f>
        <v>49913</v>
      </c>
    </row>
    <row r="7" spans="1:14" x14ac:dyDescent="0.3">
      <c r="A7" s="28" t="s">
        <v>56</v>
      </c>
      <c r="B7" s="29">
        <f>AVERAGE(I3:M3)/AVERAGE(Financials!B3:F3)</f>
        <v>7.141638721007787E-2</v>
      </c>
      <c r="C7" s="29">
        <f>AVERAGE(I4:M4)/AVERAGE(Financials!I3:M3)</f>
        <v>-2.3666989169287E-2</v>
      </c>
      <c r="D7" s="29">
        <f>AVERAGE(I5:M5)/AVERAGE(Financials!P3:T3)</f>
        <v>0.36304451134878568</v>
      </c>
      <c r="E7" s="29">
        <f>AVERAGE(I6:M6)/AVERAGE(Financials!X3:AB3)</f>
        <v>0.30297189714410849</v>
      </c>
      <c r="F7" s="29">
        <f>AVERAGE(Table19[[#This Row],[2022]:[2024]])/AVERAGE(Financials!AH3:AJ3)</f>
        <v>-0.11939069575957184</v>
      </c>
      <c r="G7" s="1"/>
      <c r="H7" s="32" t="s">
        <v>132</v>
      </c>
      <c r="I7" s="33">
        <f>Financials!AF17-Financials!AF20</f>
        <v>31403</v>
      </c>
      <c r="J7" s="33">
        <f>Financials!AG17-Financials!AG20</f>
        <v>12122</v>
      </c>
      <c r="K7" s="33">
        <f>Financials!AH17-Financials!AH20</f>
        <v>-2086</v>
      </c>
      <c r="L7" s="33">
        <f>Financials!AI17-Financials!AI20</f>
        <v>-8990</v>
      </c>
      <c r="M7" s="33">
        <f>Financials!AJ17-Financials!AJ20</f>
        <v>-8064</v>
      </c>
    </row>
    <row r="8" spans="1:14" x14ac:dyDescent="0.3">
      <c r="A8" s="28" t="s">
        <v>57</v>
      </c>
      <c r="B8" s="34">
        <v>6</v>
      </c>
      <c r="C8" s="34">
        <v>6</v>
      </c>
      <c r="D8" s="34">
        <v>6</v>
      </c>
      <c r="E8" s="34">
        <v>6</v>
      </c>
      <c r="F8" s="34">
        <v>6</v>
      </c>
      <c r="G8" s="1"/>
    </row>
    <row r="9" spans="1:14" x14ac:dyDescent="0.3">
      <c r="A9" s="28" t="s">
        <v>58</v>
      </c>
      <c r="B9" s="29">
        <f ca="1">$I$24</f>
        <v>4.1250000000000002E-2</v>
      </c>
      <c r="C9" s="29">
        <f t="shared" ref="C9:F9" ca="1" si="0">$I$24</f>
        <v>4.1250000000000002E-2</v>
      </c>
      <c r="D9" s="29">
        <f t="shared" ca="1" si="0"/>
        <v>4.1250000000000002E-2</v>
      </c>
      <c r="E9" s="29">
        <f t="shared" ca="1" si="0"/>
        <v>4.1250000000000002E-2</v>
      </c>
      <c r="F9" s="29">
        <f t="shared" ca="1" si="0"/>
        <v>4.1250000000000002E-2</v>
      </c>
      <c r="G9" s="1"/>
      <c r="H9" s="1"/>
      <c r="I9" s="1"/>
      <c r="J9" s="1"/>
      <c r="K9" s="1"/>
      <c r="L9" s="1"/>
      <c r="M9" s="1"/>
      <c r="N9" s="1"/>
    </row>
    <row r="10" spans="1:14" x14ac:dyDescent="0.3">
      <c r="A10" s="28" t="s">
        <v>59</v>
      </c>
      <c r="B10" s="29">
        <v>4.8000000000000001E-2</v>
      </c>
      <c r="C10" s="29">
        <v>4.8000000000000001E-2</v>
      </c>
      <c r="D10" s="29">
        <v>4.8000000000000001E-2</v>
      </c>
      <c r="E10" s="29">
        <v>4.8000000000000001E-2</v>
      </c>
      <c r="F10" s="29">
        <v>4.8000000000000001E-2</v>
      </c>
      <c r="G10" s="1"/>
      <c r="H10" s="25" t="s">
        <v>49</v>
      </c>
      <c r="I10" s="26" t="s">
        <v>50</v>
      </c>
      <c r="J10" s="26" t="s">
        <v>51</v>
      </c>
      <c r="K10" s="26" t="s">
        <v>52</v>
      </c>
      <c r="L10" s="26" t="s">
        <v>53</v>
      </c>
      <c r="M10" s="26" t="s">
        <v>54</v>
      </c>
      <c r="N10" s="27" t="s">
        <v>55</v>
      </c>
    </row>
    <row r="11" spans="1:14" x14ac:dyDescent="0.3">
      <c r="A11" s="28" t="s">
        <v>7</v>
      </c>
      <c r="B11" s="35">
        <f ca="1">'Company Profile'!B9</f>
        <v>1.2607999999999999</v>
      </c>
      <c r="C11" s="35">
        <f ca="1">'Company Profile'!C9</f>
        <v>0.69679999999999997</v>
      </c>
      <c r="D11" s="35">
        <f ca="1">'Company Profile'!D9</f>
        <v>1.0732999999999999</v>
      </c>
      <c r="E11" s="35">
        <f ca="1">'Company Profile'!E9</f>
        <v>1.0728</v>
      </c>
      <c r="F11" s="35">
        <f ca="1">'Company Profile'!F9</f>
        <v>1.6774</v>
      </c>
      <c r="G11" s="1"/>
      <c r="H11" s="30" t="str">
        <f>H3</f>
        <v>WC-Accenture</v>
      </c>
      <c r="I11" s="31">
        <f>DCF!B3*'Assumptions &amp; WACC'!$B$7</f>
        <v>5001.835136794286</v>
      </c>
      <c r="J11" s="31">
        <f>DCF!C3*'Assumptions &amp; WACC'!$B$7</f>
        <v>5398.0864503851544</v>
      </c>
      <c r="K11" s="31">
        <f>DCF!D3*'Assumptions &amp; WACC'!$B$7</f>
        <v>5825.7292631414903</v>
      </c>
      <c r="L11" s="31">
        <f>DCF!E3*'Assumptions &amp; WACC'!$B$7</f>
        <v>6287.250446869286</v>
      </c>
      <c r="M11" s="31">
        <f>DCF!F3*'Assumptions &amp; WACC'!$B$7</f>
        <v>6785.3338863093622</v>
      </c>
      <c r="N11" s="31">
        <f>DCF!G3*'Assumptions &amp; WACC'!$B$7</f>
        <v>7322.8760867358078</v>
      </c>
    </row>
    <row r="12" spans="1:14" x14ac:dyDescent="0.3">
      <c r="A12" s="36" t="s">
        <v>60</v>
      </c>
      <c r="B12" s="37">
        <f ca="1">B9+(B10*B11)</f>
        <v>0.10176840000000001</v>
      </c>
      <c r="C12" s="37">
        <f ca="1">C9+(C10*C11)</f>
        <v>7.4696399999999996E-2</v>
      </c>
      <c r="D12" s="37">
        <f t="shared" ref="D12:F12" ca="1" si="1">D9+(D10*D11)</f>
        <v>9.2768400000000001E-2</v>
      </c>
      <c r="E12" s="37">
        <f t="shared" ca="1" si="1"/>
        <v>9.2744400000000005E-2</v>
      </c>
      <c r="F12" s="37">
        <f t="shared" ca="1" si="1"/>
        <v>0.12176519999999999</v>
      </c>
      <c r="G12" s="1"/>
      <c r="H12" s="32" t="str">
        <f>H4</f>
        <v>WC-IBM</v>
      </c>
      <c r="I12" s="66">
        <f>DCF!J3*'Assumptions &amp; WACC'!$C$7</f>
        <v>-1523.8760313647629</v>
      </c>
      <c r="J12" s="66">
        <f>DCF!K3*'Assumptions &amp; WACC'!$C$7</f>
        <v>-1563.5859943874457</v>
      </c>
      <c r="K12" s="66">
        <f>DCF!L3*'Assumptions &amp; WACC'!$C$7</f>
        <v>-1604.330740509808</v>
      </c>
      <c r="L12" s="66">
        <f>DCF!M3*'Assumptions &amp; WACC'!$C$7</f>
        <v>-1646.1372346540475</v>
      </c>
      <c r="M12" s="66">
        <f>DCF!N3*'Assumptions &amp; WACC'!$C$7</f>
        <v>-1689.0331444084852</v>
      </c>
      <c r="N12" s="66">
        <f>DCF!O3*'Assumptions &amp; WACC'!$C$7</f>
        <v>-1733.0468583380089</v>
      </c>
    </row>
    <row r="13" spans="1:14" x14ac:dyDescent="0.3">
      <c r="A13" s="28" t="s">
        <v>61</v>
      </c>
      <c r="B13" s="29">
        <f>AVERAGE(Financials!B8:F8)/AVERAGE(Financials!B21:F21)</f>
        <v>0.18179410043733532</v>
      </c>
      <c r="C13" s="29">
        <f>AVERAGE(Financials!I8:M8)/AVERAGE(Financials!I21:M21)</f>
        <v>2.5309109901309704E-2</v>
      </c>
      <c r="D13" s="29">
        <f>AVERAGE(Financials!P8:T8)/AVERAGE(Financials!P21:T21)</f>
        <v>2.1358548706251982E-2</v>
      </c>
      <c r="E13" s="29">
        <f>AVERAGE(Financials!X8:AB8)/AVERAGE(Financials!X21:AB21)</f>
        <v>4.7130368681109841E-2</v>
      </c>
      <c r="F13" s="29">
        <f>AVERAGE(Financials!AF8:AJ8)/AVERAGE(Financials!AF21:AJ21)</f>
        <v>3.7574803448308568E-2</v>
      </c>
      <c r="G13" s="1"/>
      <c r="H13" s="88" t="str">
        <f t="shared" ref="H13:H15" si="2">H5</f>
        <v>WC-Alphabet</v>
      </c>
      <c r="I13" s="89">
        <f>DCF!R3*'Assumptions &amp; WACC'!$D$7</f>
        <v>144744.77877780504</v>
      </c>
      <c r="J13" s="89">
        <f>DCF!S3*'Assumptions &amp; WACC'!$D$7</f>
        <v>164673.98001189926</v>
      </c>
      <c r="K13" s="89">
        <f>DCF!T3*'Assumptions &amp; WACC'!$D$7</f>
        <v>186213.47779356706</v>
      </c>
      <c r="L13" s="89">
        <f>DCF!U3*'Assumptions &amp; WACC'!$D$7</f>
        <v>208134.67209764125</v>
      </c>
      <c r="M13" s="89">
        <f>DCF!V3*'Assumptions &amp; WACC'!$D$7</f>
        <v>230186.2688900744</v>
      </c>
      <c r="N13" s="89">
        <f>DCF!W3*'Assumptions &amp; WACC'!$D$7</f>
        <v>252135.41010621696</v>
      </c>
    </row>
    <row r="14" spans="1:14" x14ac:dyDescent="0.3">
      <c r="A14" s="28" t="s">
        <v>62</v>
      </c>
      <c r="B14" s="29">
        <v>0.23</v>
      </c>
      <c r="C14" s="29">
        <v>0.23</v>
      </c>
      <c r="D14" s="29">
        <v>0.23</v>
      </c>
      <c r="E14" s="29">
        <v>0.23</v>
      </c>
      <c r="F14" s="29">
        <v>0.23</v>
      </c>
      <c r="G14" s="1"/>
      <c r="H14" s="88" t="str">
        <f t="shared" si="2"/>
        <v>WC-Microsoft</v>
      </c>
      <c r="I14" s="89">
        <f>DCF!Z3*'Assumptions &amp; WACC'!$E$7</f>
        <v>94641.936867609009</v>
      </c>
      <c r="J14" s="89">
        <f>DCF!AA3*'Assumptions &amp; WACC'!$E$7</f>
        <v>105248.93866571759</v>
      </c>
      <c r="K14" s="89">
        <f>DCF!AB3*'Assumptions &amp; WACC'!$E$7</f>
        <v>117752.46788059635</v>
      </c>
      <c r="L14" s="89">
        <f>DCF!AC3*'Assumptions &amp; WACC'!$E$7</f>
        <v>132021.18991953565</v>
      </c>
      <c r="M14" s="89">
        <f>DCF!AD3*'Assumptions &amp; WACC'!$E$7</f>
        <v>147858.95501402894</v>
      </c>
      <c r="N14" s="89">
        <f>DCF!AE3*'Assumptions &amp; WACC'!$E$7</f>
        <v>163822.9063937357</v>
      </c>
    </row>
    <row r="15" spans="1:14" x14ac:dyDescent="0.3">
      <c r="A15" s="36" t="s">
        <v>63</v>
      </c>
      <c r="B15" s="37">
        <f>B13*(1-B14)</f>
        <v>0.13998145733674819</v>
      </c>
      <c r="C15" s="37">
        <f>C13*(1-C14)</f>
        <v>1.9488014624008471E-2</v>
      </c>
      <c r="D15" s="37">
        <f t="shared" ref="D15:F15" si="3">D13*(1-D14)</f>
        <v>1.6446082503814026E-2</v>
      </c>
      <c r="E15" s="37">
        <f t="shared" si="3"/>
        <v>3.6290383884454581E-2</v>
      </c>
      <c r="F15" s="37">
        <f t="shared" si="3"/>
        <v>2.8932598655197598E-2</v>
      </c>
      <c r="G15" s="1"/>
      <c r="H15" s="32" t="str">
        <f t="shared" si="2"/>
        <v>WC-Oracle</v>
      </c>
      <c r="I15" s="33">
        <f>DCF!AH3*'Assumptions &amp; WACC'!$F$7</f>
        <v>-7348.6864843362637</v>
      </c>
      <c r="J15" s="33">
        <f>DCF!AI3*'Assumptions &amp; WACC'!$F$7</f>
        <v>-7880.3340864683123</v>
      </c>
      <c r="K15" s="33">
        <f>DCF!AJ3*'Assumptions &amp; WACC'!$F$7</f>
        <v>-8450.4442320025373</v>
      </c>
      <c r="L15" s="33">
        <f>DCF!AK3*'Assumptions &amp; WACC'!$F$7</f>
        <v>-9061.7995296425797</v>
      </c>
      <c r="M15" s="33">
        <f>DCF!AL3*'Assumptions &amp; WACC'!$F$7</f>
        <v>-9717.3838985232924</v>
      </c>
      <c r="N15" s="33">
        <f>DCF!AM3*'Assumptions &amp; WACC'!$F$7</f>
        <v>-10420.397132202306</v>
      </c>
    </row>
    <row r="16" spans="1:14" x14ac:dyDescent="0.3">
      <c r="A16" s="28" t="s">
        <v>33</v>
      </c>
      <c r="B16" s="38">
        <f>Financials!F21</f>
        <v>1024.857</v>
      </c>
      <c r="C16" s="38">
        <f>Financials!M21</f>
        <v>54973</v>
      </c>
      <c r="D16" s="87">
        <f>Financials!T21</f>
        <v>10883</v>
      </c>
      <c r="E16" s="87">
        <f>Financials!AB21</f>
        <v>43151</v>
      </c>
      <c r="F16" s="87">
        <f>Financials!AJ21</f>
        <v>92568</v>
      </c>
      <c r="G16" s="1"/>
      <c r="H16" s="1"/>
      <c r="I16" s="1"/>
      <c r="J16" s="1"/>
      <c r="K16" s="1"/>
      <c r="L16" s="1"/>
      <c r="M16" s="1"/>
      <c r="N16" s="1"/>
    </row>
    <row r="17" spans="1:14" x14ac:dyDescent="0.3">
      <c r="A17" s="28" t="s">
        <v>6</v>
      </c>
      <c r="B17" s="38">
        <f ca="1">'Company Profile'!B8</f>
        <v>151413.113824</v>
      </c>
      <c r="C17" s="38">
        <f ca="1">'Company Profile'!C8</f>
        <v>270942.345072</v>
      </c>
      <c r="D17" s="38">
        <f ca="1">'Company Profile'!D8</f>
        <v>3434084</v>
      </c>
      <c r="E17" s="38">
        <f ca="1">'Company Profile'!E8</f>
        <v>3670293.5720250001</v>
      </c>
      <c r="F17" s="38">
        <f ca="1">'Company Profile'!F8</f>
        <v>648227.56630499999</v>
      </c>
      <c r="G17" s="1"/>
      <c r="H17" s="1"/>
      <c r="I17" s="1"/>
      <c r="J17" s="1"/>
      <c r="K17" s="1"/>
      <c r="L17" s="1"/>
      <c r="M17" s="1"/>
      <c r="N17" s="1"/>
    </row>
    <row r="18" spans="1:14" x14ac:dyDescent="0.3">
      <c r="A18" s="28" t="s">
        <v>64</v>
      </c>
      <c r="B18" s="38">
        <f ca="1">B16+B17</f>
        <v>152437.97082399999</v>
      </c>
      <c r="C18" s="38">
        <f ca="1">C16+C17</f>
        <v>325915.345072</v>
      </c>
      <c r="D18" s="38">
        <f t="shared" ref="D18:F18" ca="1" si="4">D16+D17</f>
        <v>3444967</v>
      </c>
      <c r="E18" s="38">
        <f t="shared" ca="1" si="4"/>
        <v>3713444.5720250001</v>
      </c>
      <c r="F18" s="38">
        <f t="shared" ca="1" si="4"/>
        <v>740795.56630499999</v>
      </c>
      <c r="G18" s="1"/>
      <c r="H18" t="s">
        <v>0</v>
      </c>
      <c r="I18" s="1">
        <v>2025</v>
      </c>
      <c r="J18" s="1">
        <v>2026</v>
      </c>
      <c r="K18" s="1">
        <v>2027</v>
      </c>
      <c r="L18" s="1">
        <v>2028</v>
      </c>
      <c r="M18" s="1">
        <v>2029</v>
      </c>
      <c r="N18" s="1">
        <v>2030</v>
      </c>
    </row>
    <row r="19" spans="1:14" x14ac:dyDescent="0.3">
      <c r="A19" s="28" t="s">
        <v>65</v>
      </c>
      <c r="B19" s="29">
        <f ca="1">B16/B18</f>
        <v>6.7231083860547257E-3</v>
      </c>
      <c r="C19" s="29">
        <f ca="1">C16/C18</f>
        <v>0.16867263487656764</v>
      </c>
      <c r="D19" s="29">
        <f t="shared" ref="D19:F19" ca="1" si="5">D16/D18</f>
        <v>3.1591013789101607E-3</v>
      </c>
      <c r="E19" s="29">
        <f t="shared" ca="1" si="5"/>
        <v>1.1620208451494154E-2</v>
      </c>
      <c r="F19" s="29">
        <f t="shared" ca="1" si="5"/>
        <v>0.124957551327849</v>
      </c>
      <c r="G19" s="1"/>
      <c r="H19" s="1" t="s">
        <v>126</v>
      </c>
      <c r="I19" s="117">
        <f>D3</f>
        <v>0.13907587180030045</v>
      </c>
      <c r="J19" s="117">
        <f>I19*(1-0.01)</f>
        <v>0.13768511308229744</v>
      </c>
      <c r="K19" s="117">
        <f>J19*(1-0.05)</f>
        <v>0.13080085742818257</v>
      </c>
      <c r="L19" s="117">
        <f>K19*(1-0.1)</f>
        <v>0.11772077168536431</v>
      </c>
      <c r="M19" s="117">
        <f>L19*(1-0.1)</f>
        <v>0.10594869451682788</v>
      </c>
      <c r="N19" s="117">
        <f>M19*(1-0.1)</f>
        <v>9.5353825065145101E-2</v>
      </c>
    </row>
    <row r="20" spans="1:14" x14ac:dyDescent="0.3">
      <c r="A20" s="28" t="s">
        <v>66</v>
      </c>
      <c r="B20" s="29">
        <f ca="1">B17/B18</f>
        <v>0.99327689161394539</v>
      </c>
      <c r="C20" s="29">
        <f ca="1">C17/C18</f>
        <v>0.83132736512343242</v>
      </c>
      <c r="D20" s="29">
        <f t="shared" ref="D20:F20" ca="1" si="6">D17/D18</f>
        <v>0.99684089862108982</v>
      </c>
      <c r="E20" s="29">
        <f t="shared" ca="1" si="6"/>
        <v>0.98837979154850586</v>
      </c>
      <c r="F20" s="29">
        <f t="shared" ca="1" si="6"/>
        <v>0.87504244867215097</v>
      </c>
      <c r="G20" s="1"/>
      <c r="H20" s="1" t="s">
        <v>127</v>
      </c>
      <c r="I20" s="117">
        <f>E3</f>
        <v>0.10881074858568485</v>
      </c>
      <c r="J20" s="117">
        <f>I20*(1+0.03)</f>
        <v>0.1120750710432554</v>
      </c>
      <c r="K20" s="117">
        <f>J20*(1+0.06)</f>
        <v>0.11879957530585072</v>
      </c>
      <c r="L20" s="117">
        <f>K20*(1+0.02)</f>
        <v>0.12117556681196774</v>
      </c>
      <c r="M20" s="117">
        <f>L20*(1-0.01)</f>
        <v>0.11996381114384806</v>
      </c>
      <c r="N20" s="117">
        <f>M20*(1-0.1)</f>
        <v>0.10796743002946325</v>
      </c>
    </row>
    <row r="21" spans="1:14" x14ac:dyDescent="0.3">
      <c r="A21" s="36" t="s">
        <v>67</v>
      </c>
      <c r="B21" s="37">
        <f ca="1">(B12*B20)+(B15*B19)</f>
        <v>0.10202531052623751</v>
      </c>
      <c r="C21" s="37">
        <f ca="1">(C12*C20)+(C15*C19)</f>
        <v>6.5384256171350547E-2</v>
      </c>
      <c r="D21" s="37">
        <f t="shared" ref="D21:F21" ca="1" si="7">(D12*D20)+(D15*D19)</f>
        <v>9.2527290061556189E-2</v>
      </c>
      <c r="E21" s="37">
        <f t="shared" ca="1" si="7"/>
        <v>9.2088392564813354E-2</v>
      </c>
      <c r="F21" s="37">
        <f t="shared" ca="1" si="7"/>
        <v>0.11016506545255911</v>
      </c>
      <c r="G21" s="1"/>
      <c r="H21" s="1"/>
      <c r="I21" s="1"/>
      <c r="J21" s="1"/>
      <c r="K21" s="1"/>
      <c r="L21" s="1"/>
      <c r="M21" s="1"/>
      <c r="N21" s="1"/>
    </row>
    <row r="22" spans="1:14" x14ac:dyDescent="0.3">
      <c r="A22" s="28" t="s">
        <v>68</v>
      </c>
      <c r="B22" s="34">
        <v>2030</v>
      </c>
      <c r="C22" s="34">
        <v>2030</v>
      </c>
      <c r="D22" s="34">
        <v>2030</v>
      </c>
      <c r="E22" s="34">
        <v>2030</v>
      </c>
      <c r="F22" s="34">
        <v>2030</v>
      </c>
      <c r="G22" s="1"/>
      <c r="H22" s="1"/>
      <c r="I22" s="1"/>
      <c r="J22" s="1"/>
      <c r="K22" s="1"/>
      <c r="L22" s="1"/>
      <c r="M22" s="1"/>
      <c r="N22" s="1"/>
    </row>
    <row r="23" spans="1:14" x14ac:dyDescent="0.3">
      <c r="A23" s="28" t="s">
        <v>69</v>
      </c>
      <c r="B23" s="29">
        <f ca="1">1/(1+B21)^6</f>
        <v>0.5582780910663977</v>
      </c>
      <c r="C23" s="29">
        <f ca="1">1/(1+C21)^6</f>
        <v>0.68385236313677233</v>
      </c>
      <c r="D23" s="29">
        <f t="shared" ref="D23:F23" ca="1" si="8">1/(1+D21)^6</f>
        <v>0.58803914344059061</v>
      </c>
      <c r="E23" s="29">
        <f t="shared" ca="1" si="8"/>
        <v>0.58945852500005935</v>
      </c>
      <c r="F23" s="29">
        <f t="shared" ca="1" si="8"/>
        <v>0.53416405329241934</v>
      </c>
      <c r="G23" s="1"/>
      <c r="H23" s="1"/>
      <c r="I23" s="1" t="e" vm="6">
        <v>#VALUE!</v>
      </c>
      <c r="J23" s="1"/>
      <c r="K23" s="1"/>
      <c r="L23" s="1"/>
      <c r="M23" s="1"/>
      <c r="N23" s="1"/>
    </row>
    <row r="24" spans="1:14" x14ac:dyDescent="0.3">
      <c r="A24" s="28" t="s">
        <v>70</v>
      </c>
      <c r="B24" s="38">
        <f>Financials!F14</f>
        <v>5004.4690000000001</v>
      </c>
      <c r="C24" s="38">
        <f>Financials!M14</f>
        <v>13947</v>
      </c>
      <c r="D24" s="87">
        <f>Financials!T14</f>
        <v>95657</v>
      </c>
      <c r="E24" s="87">
        <f>Financials!AB14</f>
        <v>94565</v>
      </c>
      <c r="F24" s="87">
        <f>Financials!AJ14</f>
        <v>10786</v>
      </c>
      <c r="G24" s="1"/>
      <c r="H24" s="1"/>
      <c r="I24" s="117" cm="1">
        <f t="array" aca="1" ref="I24" ca="1">(_FV(I23,"Price"))/100</f>
        <v>4.1250000000000002E-2</v>
      </c>
      <c r="J24" s="1"/>
      <c r="K24" s="1"/>
      <c r="L24" s="1"/>
      <c r="M24" s="1"/>
      <c r="N24" s="1"/>
    </row>
    <row r="25" spans="1:14" x14ac:dyDescent="0.3">
      <c r="A25" s="28" t="s">
        <v>71</v>
      </c>
      <c r="B25" s="29">
        <v>2.5000000000000001E-2</v>
      </c>
      <c r="C25" s="29">
        <v>2.5000000000000001E-2</v>
      </c>
      <c r="D25" s="29">
        <v>0.04</v>
      </c>
      <c r="E25" s="29">
        <v>0.03</v>
      </c>
      <c r="F25" s="29">
        <v>4.4999999999999998E-2</v>
      </c>
      <c r="G25" s="1"/>
      <c r="H25" s="1"/>
      <c r="I25" s="1"/>
      <c r="J25" s="1"/>
      <c r="K25" s="1"/>
      <c r="L25" s="1"/>
      <c r="M25" s="1"/>
      <c r="N25" s="1"/>
    </row>
    <row r="26" spans="1:14" x14ac:dyDescent="0.3">
      <c r="A26" s="28" t="s">
        <v>72</v>
      </c>
      <c r="B26" s="38">
        <f ca="1">'Company Profile'!B6</f>
        <v>620.13890000000004</v>
      </c>
      <c r="C26" s="38">
        <f ca="1">'Company Profile'!C6</f>
        <v>934.73519999999996</v>
      </c>
      <c r="D26" s="38">
        <f ca="1">'Company Profile'!D6</f>
        <v>12067</v>
      </c>
      <c r="E26" s="38">
        <f ca="1">'Company Profile'!E6</f>
        <v>7432.3770000000004</v>
      </c>
      <c r="F26" s="38">
        <f ca="1">'Company Profile'!F6</f>
        <v>2850.7930000000001</v>
      </c>
      <c r="G26" s="1"/>
      <c r="H26" s="1"/>
      <c r="I26" s="1"/>
      <c r="J26" s="1"/>
      <c r="K26" s="1"/>
      <c r="L26" s="1"/>
      <c r="M26" s="1"/>
      <c r="N26" s="1"/>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A31BF-8532-49E3-B62C-75CECDD5313D}">
  <dimension ref="A1:AM22"/>
  <sheetViews>
    <sheetView tabSelected="1" workbookViewId="0">
      <selection activeCell="AJ15" sqref="AJ15"/>
    </sheetView>
  </sheetViews>
  <sheetFormatPr defaultRowHeight="14.4" x14ac:dyDescent="0.3"/>
  <cols>
    <col min="1" max="1" width="22.77734375" bestFit="1" customWidth="1"/>
    <col min="2" max="2" width="12.33203125" bestFit="1" customWidth="1"/>
    <col min="3" max="7" width="10.88671875" bestFit="1" customWidth="1"/>
    <col min="9" max="9" width="22.77734375" bestFit="1" customWidth="1"/>
    <col min="10" max="10" width="12.33203125" bestFit="1" customWidth="1"/>
    <col min="11" max="15" width="10.88671875" bestFit="1" customWidth="1"/>
    <col min="17" max="17" width="22.77734375" bestFit="1" customWidth="1"/>
    <col min="18" max="18" width="12.33203125" bestFit="1" customWidth="1"/>
    <col min="19" max="23" width="10.88671875" bestFit="1" customWidth="1"/>
    <col min="25" max="25" width="22.77734375" bestFit="1" customWidth="1"/>
    <col min="26" max="26" width="12.33203125" bestFit="1" customWidth="1"/>
    <col min="27" max="31" width="10.88671875" bestFit="1" customWidth="1"/>
    <col min="33" max="33" width="22.77734375" bestFit="1" customWidth="1"/>
    <col min="34" max="34" width="12.33203125" bestFit="1" customWidth="1"/>
    <col min="35" max="39" width="10.88671875" bestFit="1" customWidth="1"/>
  </cols>
  <sheetData>
    <row r="1" spans="1:39" x14ac:dyDescent="0.3">
      <c r="A1" s="18" t="s">
        <v>73</v>
      </c>
      <c r="B1" s="1"/>
      <c r="C1" s="1"/>
      <c r="D1" s="1"/>
      <c r="E1" s="1"/>
      <c r="F1" s="1"/>
      <c r="G1" s="19" t="s">
        <v>40</v>
      </c>
      <c r="H1" s="1"/>
      <c r="I1" s="1"/>
      <c r="J1" s="20"/>
      <c r="K1" s="20"/>
      <c r="L1" s="20"/>
      <c r="M1" s="20"/>
      <c r="N1" s="20"/>
      <c r="O1" s="19" t="s">
        <v>41</v>
      </c>
      <c r="Q1" s="18" t="s">
        <v>73</v>
      </c>
      <c r="R1" s="1"/>
      <c r="S1" s="1"/>
      <c r="T1" s="1"/>
      <c r="U1" s="1"/>
      <c r="V1" s="1"/>
      <c r="W1" s="19" t="s">
        <v>126</v>
      </c>
      <c r="X1" s="1"/>
      <c r="Y1" s="1"/>
      <c r="Z1" s="20"/>
      <c r="AA1" s="20"/>
      <c r="AB1" s="20"/>
      <c r="AC1" s="20"/>
      <c r="AD1" s="20"/>
      <c r="AE1" s="19" t="s">
        <v>127</v>
      </c>
      <c r="AG1" s="18" t="s">
        <v>73</v>
      </c>
      <c r="AH1" s="1"/>
      <c r="AI1" s="1"/>
      <c r="AJ1" s="1"/>
      <c r="AK1" s="1"/>
      <c r="AL1" s="1"/>
      <c r="AM1" s="19" t="s">
        <v>128</v>
      </c>
    </row>
    <row r="2" spans="1:39" x14ac:dyDescent="0.3">
      <c r="A2" s="1" t="s">
        <v>11</v>
      </c>
      <c r="B2" s="39" t="s">
        <v>50</v>
      </c>
      <c r="C2" s="39" t="s">
        <v>51</v>
      </c>
      <c r="D2" s="39" t="s">
        <v>52</v>
      </c>
      <c r="E2" s="39" t="s">
        <v>53</v>
      </c>
      <c r="F2" s="39" t="s">
        <v>54</v>
      </c>
      <c r="G2" s="39" t="s">
        <v>55</v>
      </c>
      <c r="H2" s="1"/>
      <c r="I2" s="1" t="s">
        <v>11</v>
      </c>
      <c r="J2" s="40" t="s">
        <v>50</v>
      </c>
      <c r="K2" s="40" t="s">
        <v>51</v>
      </c>
      <c r="L2" s="40" t="s">
        <v>52</v>
      </c>
      <c r="M2" s="40" t="s">
        <v>53</v>
      </c>
      <c r="N2" s="40" t="s">
        <v>54</v>
      </c>
      <c r="O2" s="40" t="s">
        <v>55</v>
      </c>
      <c r="Q2" s="1" t="s">
        <v>11</v>
      </c>
      <c r="R2" s="39" t="s">
        <v>50</v>
      </c>
      <c r="S2" s="39" t="s">
        <v>51</v>
      </c>
      <c r="T2" s="39" t="s">
        <v>52</v>
      </c>
      <c r="U2" s="39" t="s">
        <v>53</v>
      </c>
      <c r="V2" s="39" t="s">
        <v>54</v>
      </c>
      <c r="W2" s="39" t="s">
        <v>55</v>
      </c>
      <c r="X2" s="1"/>
      <c r="Y2" s="1" t="s">
        <v>11</v>
      </c>
      <c r="Z2" s="40" t="s">
        <v>50</v>
      </c>
      <c r="AA2" s="40" t="s">
        <v>51</v>
      </c>
      <c r="AB2" s="40" t="s">
        <v>52</v>
      </c>
      <c r="AC2" s="40" t="s">
        <v>53</v>
      </c>
      <c r="AD2" s="40" t="s">
        <v>54</v>
      </c>
      <c r="AE2" s="40" t="s">
        <v>55</v>
      </c>
      <c r="AG2" s="1" t="s">
        <v>11</v>
      </c>
      <c r="AH2" s="39" t="s">
        <v>50</v>
      </c>
      <c r="AI2" s="39" t="s">
        <v>51</v>
      </c>
      <c r="AJ2" s="39" t="s">
        <v>52</v>
      </c>
      <c r="AK2" s="39" t="s">
        <v>53</v>
      </c>
      <c r="AL2" s="39" t="s">
        <v>54</v>
      </c>
      <c r="AM2" s="39" t="s">
        <v>55</v>
      </c>
    </row>
    <row r="3" spans="1:39" x14ac:dyDescent="0.3">
      <c r="A3" s="1" t="s">
        <v>17</v>
      </c>
      <c r="B3" s="41">
        <f>Table1[[#This Row],[2024]]*(1+'Assumptions &amp; WACC'!B3)</f>
        <v>70037.63886964666</v>
      </c>
      <c r="C3" s="41">
        <f>Table9[[#This Row],[2025]]*(1+'Assumptions &amp; WACC'!$B$3)</f>
        <v>75586.103711829986</v>
      </c>
      <c r="D3" s="41">
        <f>Table9[[#This Row],[2026]]*(1+'Assumptions &amp; WACC'!$B$3)</f>
        <v>81574.124521373116</v>
      </c>
      <c r="E3" s="41">
        <f>Table9[[#This Row],[2027]]*(1+'Assumptions &amp; WACC'!$B$3)</f>
        <v>88036.523443488681</v>
      </c>
      <c r="F3" s="41">
        <f>Table9[[#This Row],[2028]]*(1+'Assumptions &amp; WACC'!$B$3)</f>
        <v>95010.881275045162</v>
      </c>
      <c r="G3" s="41">
        <f>Table9[[#This Row],[2029]]*(1+'Assumptions &amp; WACC'!$B$3)</f>
        <v>102537.75600822392</v>
      </c>
      <c r="H3" s="1"/>
      <c r="I3" s="6" t="s">
        <v>17</v>
      </c>
      <c r="J3" s="10">
        <f>Table18[[#This Row],[2024]]*(1+'Assumptions &amp; WACC'!C3)</f>
        <v>64388.250675431045</v>
      </c>
      <c r="K3" s="10">
        <f>Table10[[#This Row],[2025]]*(1+'Assumptions &amp; WACC'!$C$3)</f>
        <v>66066.113572931121</v>
      </c>
      <c r="L3" s="10">
        <f>Table10[[#This Row],[2026]]*(1+'Assumptions &amp; WACC'!$C$3)</f>
        <v>67787.699104192419</v>
      </c>
      <c r="M3" s="10">
        <f>Table10[[#This Row],[2027]]*(1+'Assumptions &amp; WACC'!$C$3)</f>
        <v>69554.146616598955</v>
      </c>
      <c r="N3" s="10">
        <f>Table10[[#This Row],[2028]]*(1+'Assumptions &amp; WACC'!$C$3)</f>
        <v>71366.625147248065</v>
      </c>
      <c r="O3" s="10">
        <f>Table10[[#This Row],[2029]]*(1+'Assumptions &amp; WACC'!$C$3)</f>
        <v>73226.334196620548</v>
      </c>
      <c r="Q3" s="1" t="s">
        <v>17</v>
      </c>
      <c r="R3" s="41">
        <f>Table120[[#This Row],[2024]]*(1+'Assumptions &amp; WACC'!I19)</f>
        <v>398697.05849579757</v>
      </c>
      <c r="S3" s="41">
        <f>Table933[[#This Row],[2025]]*(1+'Assumptions &amp; WACC'!J19)</f>
        <v>453591.70808037079</v>
      </c>
      <c r="T3" s="41">
        <f>Table933[[#This Row],[2026]]*(1+'Assumptions &amp; WACC'!K19)</f>
        <v>512921.89241959713</v>
      </c>
      <c r="U3" s="41">
        <f>Table933[[#This Row],[2027]]*(1+'Assumptions &amp; WACC'!L19)</f>
        <v>573303.45340954955</v>
      </c>
      <c r="V3" s="41">
        <f>Table933[[#This Row],[2028]]*(1+'Assumptions &amp; WACC'!M19)</f>
        <v>634044.20586028043</v>
      </c>
      <c r="W3" s="41">
        <f>Table933[[#This Row],[2029]]*(1+'Assumptions &amp; WACC'!N19)</f>
        <v>694502.74614945042</v>
      </c>
      <c r="X3" s="1"/>
      <c r="Y3" s="6" t="s">
        <v>17</v>
      </c>
      <c r="Z3" s="10">
        <f>Table1826[[#This Row],[2024]]*(1+'Assumptions &amp; WACC'!I20)</f>
        <v>312378.59933455347</v>
      </c>
      <c r="AA3" s="10">
        <f>Table1034[[#This Row],[2025]]*(1+'Assumptions &amp; WACC'!J20)</f>
        <v>347388.45304736617</v>
      </c>
      <c r="AB3" s="10">
        <f>Table1034[[#This Row],[2026]]*(1+'Assumptions &amp; WACC'!K20)</f>
        <v>388658.05373554968</v>
      </c>
      <c r="AC3" s="10">
        <f>Table1034[[#This Row],[2027]]*(1+'Assumptions &amp; WACC'!L20)</f>
        <v>435753.91369299119</v>
      </c>
      <c r="AD3" s="10">
        <f>Table1034[[#This Row],[2028]]*(1+'Assumptions &amp; WACC'!M20)</f>
        <v>488028.61390044988</v>
      </c>
      <c r="AE3" s="10">
        <f>Table1034[[#This Row],[2029]]*(1+'Assumptions &amp; WACC'!N20)</f>
        <v>540719.80912412272</v>
      </c>
      <c r="AG3" s="1" t="s">
        <v>17</v>
      </c>
      <c r="AH3" s="41">
        <f>Financials!$AJ$3*(1+'Assumptions &amp; WACC'!F3)</f>
        <v>61551.584380871667</v>
      </c>
      <c r="AI3" s="41">
        <f>Table93337[[#This Row],[2025]]*(1+'Assumptions &amp; WACC'!$F$3)</f>
        <v>66004.591365625965</v>
      </c>
      <c r="AJ3" s="41">
        <f>Table93337[[#This Row],[2026]]*(1+'Assumptions &amp; WACC'!$F$3)</f>
        <v>70779.755308738488</v>
      </c>
      <c r="AK3" s="41">
        <f>Table93337[[#This Row],[2027]]*(1+'Assumptions &amp; WACC'!$F$3)</f>
        <v>75900.382956902846</v>
      </c>
      <c r="AL3" s="41">
        <f>Table93337[[#This Row],[2028]]*(1+'Assumptions &amp; WACC'!$F$3)</f>
        <v>81391.467205217501</v>
      </c>
      <c r="AM3" s="41">
        <f>Table93337[[#This Row],[2029]]*(1+'Assumptions &amp; WACC'!$F$3)</f>
        <v>87279.809083170345</v>
      </c>
    </row>
    <row r="4" spans="1:39" x14ac:dyDescent="0.3">
      <c r="A4" s="1" t="s">
        <v>74</v>
      </c>
      <c r="B4" s="41">
        <f>B3*'Assumptions &amp; WACC'!$B$4</f>
        <v>10282.04800445394</v>
      </c>
      <c r="C4" s="41">
        <f>C3*'Assumptions &amp; WACC'!$B$4</f>
        <v>11096.604045735314</v>
      </c>
      <c r="D4" s="41">
        <f>D3*'Assumptions &amp; WACC'!$B$4</f>
        <v>11975.690182976226</v>
      </c>
      <c r="E4" s="41">
        <f>E3*'Assumptions &amp; WACC'!$B$4</f>
        <v>12924.418566935507</v>
      </c>
      <c r="F4" s="41">
        <f>F3*'Assumptions &amp; WACC'!$B$4</f>
        <v>13948.306339020031</v>
      </c>
      <c r="G4" s="41">
        <f>G3*'Assumptions &amp; WACC'!$B$4</f>
        <v>15053.307715124331</v>
      </c>
      <c r="H4" s="1"/>
      <c r="I4" s="6" t="s">
        <v>74</v>
      </c>
      <c r="J4" s="10">
        <f>J3*'Assumptions &amp; WACC'!$C$4</f>
        <v>6495.8866001299066</v>
      </c>
      <c r="K4" s="10">
        <f>K3*'Assumptions &amp; WACC'!$C$4</f>
        <v>6665.1598293043835</v>
      </c>
      <c r="L4" s="10">
        <f>L3*'Assumptions &amp; WACC'!$C$4</f>
        <v>6838.8440693044777</v>
      </c>
      <c r="M4" s="10">
        <f>M3*'Assumptions &amp; WACC'!$C$4</f>
        <v>7017.054264570007</v>
      </c>
      <c r="N4" s="10">
        <f>N3*'Assumptions &amp; WACC'!$C$4</f>
        <v>7199.9083548234512</v>
      </c>
      <c r="O4" s="10">
        <f>O3*'Assumptions &amp; WACC'!$C$4</f>
        <v>7387.527353122603</v>
      </c>
      <c r="Q4" s="1" t="s">
        <v>74</v>
      </c>
      <c r="R4" s="41">
        <f>R3*'Assumptions &amp; WACC'!$D$4</f>
        <v>120057.48898683809</v>
      </c>
      <c r="S4" s="41">
        <f>S3*'Assumptions &amp; WACC'!$D$4</f>
        <v>136587.61793436756</v>
      </c>
      <c r="T4" s="41">
        <f>T3*'Assumptions &amp; WACC'!$D$4</f>
        <v>154453.39547425581</v>
      </c>
      <c r="U4" s="41">
        <f>U3*'Assumptions &amp; WACC'!$D$4</f>
        <v>172635.76837890997</v>
      </c>
      <c r="V4" s="41">
        <f>V3*'Assumptions &amp; WACC'!$D$4</f>
        <v>190926.30266556499</v>
      </c>
      <c r="W4" s="41">
        <f>W3*'Assumptions &amp; WACC'!$D$4</f>
        <v>209131.8559302722</v>
      </c>
      <c r="X4" s="1"/>
      <c r="Y4" s="6" t="s">
        <v>74</v>
      </c>
      <c r="Z4" s="10">
        <f>Z3*'Assumptions &amp; WACC'!$E$4</f>
        <v>134419.42113324589</v>
      </c>
      <c r="AA4" s="10">
        <f>AA3*'Assumptions &amp; WACC'!$E$4</f>
        <v>149484.4873063477</v>
      </c>
      <c r="AB4" s="10">
        <f>AB3*'Assumptions &amp; WACC'!$E$4</f>
        <v>167243.18091315462</v>
      </c>
      <c r="AC4" s="10">
        <f>AC3*'Assumptions &amp; WACC'!$E$4</f>
        <v>187508.96815574262</v>
      </c>
      <c r="AD4" s="10">
        <f>AD3*'Assumptions &amp; WACC'!$E$4</f>
        <v>210003.25859935596</v>
      </c>
      <c r="AE4" s="10">
        <f>AE3*'Assumptions &amp; WACC'!$E$4</f>
        <v>232676.77072814124</v>
      </c>
      <c r="AG4" s="1" t="s">
        <v>74</v>
      </c>
      <c r="AH4" s="41">
        <f>AH3*'Assumptions &amp; WACC'!$F$4</f>
        <v>20991.253144012884</v>
      </c>
      <c r="AI4" s="41">
        <f>AI3*'Assumptions &amp; WACC'!$F$4</f>
        <v>22509.885000678525</v>
      </c>
      <c r="AJ4" s="41">
        <f>AJ3*'Assumptions &amp; WACC'!$F$4</f>
        <v>24138.383700464849</v>
      </c>
      <c r="AK4" s="41">
        <f>AK3*'Assumptions &amp; WACC'!$F$4</f>
        <v>25884.697662973562</v>
      </c>
      <c r="AL4" s="41">
        <f>AL3*'Assumptions &amp; WACC'!$F$4</f>
        <v>27757.350343662241</v>
      </c>
      <c r="AM4" s="41">
        <f>AM3*'Assumptions &amp; WACC'!$F$4</f>
        <v>29765.481835351551</v>
      </c>
    </row>
    <row r="5" spans="1:39" s="92" customFormat="1" x14ac:dyDescent="0.3">
      <c r="A5" s="18" t="s">
        <v>75</v>
      </c>
      <c r="B5" s="43">
        <f>B4*(1-'Assumptions &amp; WACC'!$B$14)</f>
        <v>7917.1769634295342</v>
      </c>
      <c r="C5" s="43">
        <f>C4*(1-'Assumptions &amp; WACC'!$B$14)</f>
        <v>8544.3851152161915</v>
      </c>
      <c r="D5" s="43">
        <f>D4*(1-'Assumptions &amp; WACC'!$B$14)</f>
        <v>9221.2814408916947</v>
      </c>
      <c r="E5" s="43">
        <f>E4*(1-'Assumptions &amp; WACC'!$B$14)</f>
        <v>9951.8022965403397</v>
      </c>
      <c r="F5" s="43">
        <f>F4*(1-'Assumptions &amp; WACC'!$B$14)</f>
        <v>10740.195881045425</v>
      </c>
      <c r="G5" s="43">
        <f>G4*(1-'Assumptions &amp; WACC'!$B$14)</f>
        <v>11591.046940645734</v>
      </c>
      <c r="H5" s="18"/>
      <c r="I5" s="90" t="s">
        <v>75</v>
      </c>
      <c r="J5" s="91">
        <f>J4*(1-'Assumptions &amp; WACC'!$C$14)</f>
        <v>5001.8326821000283</v>
      </c>
      <c r="K5" s="91">
        <f>K4*(1-'Assumptions &amp; WACC'!$C$14)</f>
        <v>5132.1730685643752</v>
      </c>
      <c r="L5" s="91">
        <f>L4*(1-'Assumptions &amp; WACC'!$C$14)</f>
        <v>5265.9099333644481</v>
      </c>
      <c r="M5" s="91">
        <f>M4*(1-'Assumptions &amp; WACC'!$C$14)</f>
        <v>5403.1317837189054</v>
      </c>
      <c r="N5" s="91">
        <f>N4*(1-'Assumptions &amp; WACC'!$C$14)</f>
        <v>5543.9294332140571</v>
      </c>
      <c r="O5" s="91">
        <f>O4*(1-'Assumptions &amp; WACC'!$C$14)</f>
        <v>5688.3960619044046</v>
      </c>
      <c r="Q5" s="18" t="s">
        <v>75</v>
      </c>
      <c r="R5" s="43">
        <f>R4*(1-'Assumptions &amp; WACC'!$B$14)</f>
        <v>92444.266519865327</v>
      </c>
      <c r="S5" s="43">
        <f>S4*(1-'Assumptions &amp; WACC'!$B$14)</f>
        <v>105172.46580946303</v>
      </c>
      <c r="T5" s="43">
        <f>T4*(1-'Assumptions &amp; WACC'!$B$14)</f>
        <v>118929.11451517697</v>
      </c>
      <c r="U5" s="43">
        <f>U4*(1-'Assumptions &amp; WACC'!$B$14)</f>
        <v>132929.54165176066</v>
      </c>
      <c r="V5" s="43">
        <f>V4*(1-'Assumptions &amp; WACC'!$B$14)</f>
        <v>147013.25305248503</v>
      </c>
      <c r="W5" s="43">
        <f>W4*(1-'Assumptions &amp; WACC'!$B$14)</f>
        <v>161031.52906630959</v>
      </c>
      <c r="X5" s="18"/>
      <c r="Y5" s="90" t="s">
        <v>75</v>
      </c>
      <c r="Z5" s="91">
        <f>Z4*(1-'Assumptions &amp; WACC'!$C$14)</f>
        <v>103502.95427259934</v>
      </c>
      <c r="AA5" s="91">
        <f>AA4*(1-'Assumptions &amp; WACC'!$C$14)</f>
        <v>115103.05522588773</v>
      </c>
      <c r="AB5" s="91">
        <f>AB4*(1-'Assumptions &amp; WACC'!$C$14)</f>
        <v>128777.24930312907</v>
      </c>
      <c r="AC5" s="91">
        <f>AC4*(1-'Assumptions &amp; WACC'!$C$14)</f>
        <v>144381.90547992181</v>
      </c>
      <c r="AD5" s="91">
        <f>AD4*(1-'Assumptions &amp; WACC'!$C$14)</f>
        <v>161702.50912150409</v>
      </c>
      <c r="AE5" s="91">
        <f>AE4*(1-'Assumptions &amp; WACC'!$C$14)</f>
        <v>179161.11346066877</v>
      </c>
      <c r="AG5" s="18" t="s">
        <v>75</v>
      </c>
      <c r="AH5" s="43">
        <f>AH4*(1-'Assumptions &amp; WACC'!$B$14)</f>
        <v>16163.264920889922</v>
      </c>
      <c r="AI5" s="43">
        <f>AI4*(1-'Assumptions &amp; WACC'!$B$14)</f>
        <v>17332.611450522465</v>
      </c>
      <c r="AJ5" s="43">
        <f>AJ4*(1-'Assumptions &amp; WACC'!$B$14)</f>
        <v>18586.555449357933</v>
      </c>
      <c r="AK5" s="43">
        <f>AK4*(1-'Assumptions &amp; WACC'!$B$14)</f>
        <v>19931.217200489642</v>
      </c>
      <c r="AL5" s="43">
        <f>AL4*(1-'Assumptions &amp; WACC'!$B$14)</f>
        <v>21373.159764619926</v>
      </c>
      <c r="AM5" s="43">
        <f>AM4*(1-'Assumptions &amp; WACC'!$B$14)</f>
        <v>22919.421013220694</v>
      </c>
    </row>
    <row r="6" spans="1:39" x14ac:dyDescent="0.3">
      <c r="A6" s="1" t="s">
        <v>76</v>
      </c>
      <c r="B6" s="41">
        <f>B3*'Assumptions &amp; WACC'!$B$5</f>
        <v>2502.9635217753371</v>
      </c>
      <c r="C6" s="41">
        <f>C3*'Assumptions &amp; WACC'!$B$5</f>
        <v>2701.2512614246602</v>
      </c>
      <c r="D6" s="41">
        <f>D3*'Assumptions &amp; WACC'!$B$5</f>
        <v>2915.2475910526937</v>
      </c>
      <c r="E6" s="41">
        <f>E3*'Assumptions &amp; WACC'!$B$5</f>
        <v>3146.1969637938355</v>
      </c>
      <c r="F6" s="41">
        <f>F3*'Assumptions &amp; WACC'!$B$5</f>
        <v>3395.4424198361785</v>
      </c>
      <c r="G6" s="41">
        <f>G3*'Assumptions &amp; WACC'!$B$5</f>
        <v>3664.4333966048671</v>
      </c>
      <c r="H6" s="1"/>
      <c r="I6" s="6" t="s">
        <v>76</v>
      </c>
      <c r="J6" s="10">
        <f>J3*'Assumptions &amp; WACC'!$C$5</f>
        <v>5835.2879628285609</v>
      </c>
      <c r="K6" s="10">
        <f>K3*'Assumptions &amp; WACC'!$C$5</f>
        <v>5987.346965307328</v>
      </c>
      <c r="L6" s="10">
        <f>L3*'Assumptions &amp; WACC'!$C$5</f>
        <v>6143.3684012396152</v>
      </c>
      <c r="M6" s="10">
        <f>M3*'Assumptions &amp; WACC'!$C$5</f>
        <v>6303.4555258001756</v>
      </c>
      <c r="N6" s="10">
        <f>N3*'Assumptions &amp; WACC'!$C$5</f>
        <v>6467.714284841406</v>
      </c>
      <c r="O6" s="10">
        <f>O3*'Assumptions &amp; WACC'!$C$5</f>
        <v>6636.2533850084401</v>
      </c>
      <c r="Q6" s="1" t="s">
        <v>76</v>
      </c>
      <c r="R6" s="41">
        <f>R3*'Assumptions &amp; WACC'!$D$5</f>
        <v>20022.193508969911</v>
      </c>
      <c r="S6" s="41">
        <f>S3*'Assumptions &amp; WACC'!$D$5</f>
        <v>22778.951486408074</v>
      </c>
      <c r="T6" s="41">
        <f>T3*'Assumptions &amp; WACC'!$D$5</f>
        <v>25758.45787214522</v>
      </c>
      <c r="U6" s="41">
        <f>U3*'Assumptions &amp; WACC'!$D$5</f>
        <v>28790.763410279105</v>
      </c>
      <c r="V6" s="41">
        <f>V3*'Assumptions &amp; WACC'!$D$5</f>
        <v>31841.107207741035</v>
      </c>
      <c r="W6" s="41">
        <f>W3*'Assumptions &amp; WACC'!$D$5</f>
        <v>34877.278574308504</v>
      </c>
      <c r="X6" s="1"/>
      <c r="Y6" s="6" t="s">
        <v>76</v>
      </c>
      <c r="Z6" s="10">
        <f>Z3*'Assumptions &amp; WACC'!$E$5</f>
        <v>27262.203228810366</v>
      </c>
      <c r="AA6" s="10">
        <f>AA3*'Assumptions &amp; WACC'!$E$5</f>
        <v>30317.616592474955</v>
      </c>
      <c r="AB6" s="10">
        <f>AB3*'Assumptions &amp; WACC'!$E$5</f>
        <v>33919.336567946586</v>
      </c>
      <c r="AC6" s="10">
        <f>AC3*'Assumptions &amp; WACC'!$E$5</f>
        <v>38029.531402453424</v>
      </c>
      <c r="AD6" s="10">
        <f>AD3*'Assumptions &amp; WACC'!$E$5</f>
        <v>42591.698925506389</v>
      </c>
      <c r="AE6" s="10">
        <f>AE3*'Assumptions &amp; WACC'!$E$5</f>
        <v>47190.215199081977</v>
      </c>
      <c r="AG6" s="1" t="s">
        <v>76</v>
      </c>
      <c r="AH6" s="41">
        <f>AH3*'Assumptions &amp; WACC'!$F$5</f>
        <v>3416.7168769126647</v>
      </c>
      <c r="AI6" s="41">
        <f>AI3*'Assumptions &amp; WACC'!$F$5</f>
        <v>3663.9024574441751</v>
      </c>
      <c r="AJ6" s="41">
        <f>AJ3*'Assumptions &amp; WACC'!$F$5</f>
        <v>3928.9709101666967</v>
      </c>
      <c r="AK6" s="41">
        <f>AK3*'Assumptions &amp; WACC'!$F$5</f>
        <v>4213.2159882073829</v>
      </c>
      <c r="AL6" s="41">
        <f>AL3*'Assumptions &amp; WACC'!$F$5</f>
        <v>4518.0250424743354</v>
      </c>
      <c r="AM6" s="41">
        <f>AM3*'Assumptions &amp; WACC'!$F$5</f>
        <v>4844.8857930756694</v>
      </c>
    </row>
    <row r="7" spans="1:39" x14ac:dyDescent="0.3">
      <c r="A7" s="1" t="s">
        <v>37</v>
      </c>
      <c r="B7" s="41">
        <f>B3*'Assumptions &amp; WACC'!$B$6</f>
        <v>721.7985632933221</v>
      </c>
      <c r="C7" s="41">
        <f>C3*'Assumptions &amp; WACC'!$B$6</f>
        <v>778.98030180145861</v>
      </c>
      <c r="D7" s="41">
        <f>D3*'Assumptions &amp; WACC'!$B$6</f>
        <v>840.69204547321601</v>
      </c>
      <c r="E7" s="41">
        <f>E3*'Assumptions &amp; WACC'!$B$6</f>
        <v>907.29266669194305</v>
      </c>
      <c r="F7" s="41">
        <f>F3*'Assumptions &amp; WACC'!$B$6</f>
        <v>979.16946813695438</v>
      </c>
      <c r="G7" s="41">
        <f>G3*'Assumptions &amp; WACC'!$B$6</f>
        <v>1056.7404350653064</v>
      </c>
      <c r="H7" s="1"/>
      <c r="I7" s="6" t="s">
        <v>37</v>
      </c>
      <c r="J7" s="10">
        <f>J3*'Assumptions &amp; WACC'!$C$6</f>
        <v>1799.4499226293062</v>
      </c>
      <c r="K7" s="10">
        <f>K3*'Assumptions &amp; WACC'!$C$6</f>
        <v>1846.3409350332379</v>
      </c>
      <c r="L7" s="10">
        <f>L3*'Assumptions &amp; WACC'!$C$6</f>
        <v>1894.453858098097</v>
      </c>
      <c r="M7" s="10">
        <f>M3*'Assumptions &amp; WACC'!$C$6</f>
        <v>1943.8205330144815</v>
      </c>
      <c r="N7" s="10">
        <f>N3*'Assumptions &amp; WACC'!$C$6</f>
        <v>1994.4736307074788</v>
      </c>
      <c r="O7" s="10">
        <f>O3*'Assumptions &amp; WACC'!$C$6</f>
        <v>2046.4466734583243</v>
      </c>
      <c r="Q7" s="1" t="s">
        <v>37</v>
      </c>
      <c r="R7" s="41">
        <f>R3*'Assumptions &amp; WACC'!$D$6</f>
        <v>47133.877690172354</v>
      </c>
      <c r="S7" s="41">
        <f>S3*'Assumptions &amp; WACC'!$D$6</f>
        <v>53623.510969950905</v>
      </c>
      <c r="T7" s="41">
        <f>T3*'Assumptions &amp; WACC'!$D$6</f>
        <v>60637.512183130035</v>
      </c>
      <c r="U7" s="41">
        <f>U3*'Assumptions &amp; WACC'!$D$6</f>
        <v>67775.806910408777</v>
      </c>
      <c r="V7" s="41">
        <f>V3*'Assumptions &amp; WACC'!$D$6</f>
        <v>74956.565172391201</v>
      </c>
      <c r="W7" s="41">
        <f>W3*'Assumptions &amp; WACC'!$D$6</f>
        <v>82103.960375323542</v>
      </c>
      <c r="X7" s="1"/>
      <c r="Y7" s="6" t="s">
        <v>37</v>
      </c>
      <c r="Z7" s="10">
        <f>Z3*'Assumptions &amp; WACC'!$E$6</f>
        <v>51344.141145818954</v>
      </c>
      <c r="AA7" s="10">
        <f>AA3*'Assumptions &amp; WACC'!$E$6</f>
        <v>57098.539412391547</v>
      </c>
      <c r="AB7" s="10">
        <f>AB3*'Assumptions &amp; WACC'!$E$6</f>
        <v>63881.821645168035</v>
      </c>
      <c r="AC7" s="10">
        <f>AC3*'Assumptions &amp; WACC'!$E$6</f>
        <v>71622.737592002319</v>
      </c>
      <c r="AD7" s="10">
        <f>AD3*'Assumptions &amp; WACC'!$E$6</f>
        <v>80214.874158094666</v>
      </c>
      <c r="AE7" s="10">
        <f>AE3*'Assumptions &amp; WACC'!$E$6</f>
        <v>88875.467971080972</v>
      </c>
      <c r="AG7" s="1" t="s">
        <v>37</v>
      </c>
      <c r="AH7" s="41">
        <f>AH3*'Assumptions &amp; WACC'!$F$6</f>
        <v>7355.3603449638767</v>
      </c>
      <c r="AI7" s="41">
        <f>AI3*'Assumptions &amp; WACC'!$F$6</f>
        <v>7887.4907737898111</v>
      </c>
      <c r="AJ7" s="41">
        <f>AJ3*'Assumptions &amp; WACC'!$F$6</f>
        <v>8458.1186765670191</v>
      </c>
      <c r="AK7" s="41">
        <f>AK3*'Assumptions &amp; WACC'!$F$6</f>
        <v>9070.0291890824155</v>
      </c>
      <c r="AL7" s="41">
        <f>AL3*'Assumptions &amp; WACC'!$F$6</f>
        <v>9726.2089403783211</v>
      </c>
      <c r="AM7" s="41">
        <f>AM3*'Assumptions &amp; WACC'!$F$6</f>
        <v>10429.860629970639</v>
      </c>
    </row>
    <row r="8" spans="1:39" x14ac:dyDescent="0.3">
      <c r="A8" s="42" t="s">
        <v>77</v>
      </c>
      <c r="B8" s="41">
        <f>'Assumptions &amp; WACC'!I11-'Assumptions &amp; WACC'!M3</f>
        <v>3120.1811367942873</v>
      </c>
      <c r="C8" s="41">
        <f>'Assumptions &amp; WACC'!J11-'Assumptions &amp; WACC'!I11</f>
        <v>396.25131359086845</v>
      </c>
      <c r="D8" s="41">
        <f>'Assumptions &amp; WACC'!K11-'Assumptions &amp; WACC'!J11</f>
        <v>427.64281275633584</v>
      </c>
      <c r="E8" s="41">
        <f>'Assumptions &amp; WACC'!L11-'Assumptions &amp; WACC'!K11</f>
        <v>461.52118372779569</v>
      </c>
      <c r="F8" s="41">
        <f>'Assumptions &amp; WACC'!M11-'Assumptions &amp; WACC'!L11</f>
        <v>498.08343944007629</v>
      </c>
      <c r="G8" s="41">
        <f>'Assumptions &amp; WACC'!N11-'Assumptions &amp; WACC'!M11</f>
        <v>537.54220042644556</v>
      </c>
      <c r="H8" s="1"/>
      <c r="I8" s="6" t="s">
        <v>77</v>
      </c>
      <c r="J8" s="10">
        <f>'Assumptions &amp; WACC'!I12-'Assumptions &amp; WACC'!M4</f>
        <v>-2863.8760313647626</v>
      </c>
      <c r="K8" s="10">
        <f>'Assumptions &amp; WACC'!J12-'Assumptions &amp; WACC'!I12</f>
        <v>-39.709963022682814</v>
      </c>
      <c r="L8" s="10">
        <f>'Assumptions &amp; WACC'!K12-'Assumptions &amp; WACC'!J12</f>
        <v>-40.744746122362358</v>
      </c>
      <c r="M8" s="10">
        <f>'Assumptions &amp; WACC'!L12-'Assumptions &amp; WACC'!K12</f>
        <v>-41.806494144239423</v>
      </c>
      <c r="N8" s="10">
        <f>'Assumptions &amp; WACC'!M12-'Assumptions &amp; WACC'!L12</f>
        <v>-42.895909754437753</v>
      </c>
      <c r="O8" s="10">
        <f>'Assumptions &amp; WACC'!N12-'Assumptions &amp; WACC'!M12</f>
        <v>-44.013713929523647</v>
      </c>
      <c r="Q8" s="42" t="s">
        <v>77</v>
      </c>
      <c r="R8" s="41">
        <f>'Assumptions &amp; WACC'!I13-'Assumptions &amp; WACC'!M5</f>
        <v>70155.778777805041</v>
      </c>
      <c r="S8" s="41">
        <f>'Assumptions &amp; WACC'!J13-'Assumptions &amp; WACC'!I13</f>
        <v>19929.201234094216</v>
      </c>
      <c r="T8" s="41">
        <f>'Assumptions &amp; WACC'!K13-'Assumptions &amp; WACC'!J13</f>
        <v>21539.4977816678</v>
      </c>
      <c r="U8" s="41">
        <f>'Assumptions &amp; WACC'!L13-'Assumptions &amp; WACC'!K13</f>
        <v>21921.19430407419</v>
      </c>
      <c r="V8" s="41">
        <f>'Assumptions &amp; WACC'!M13-'Assumptions &amp; WACC'!L13</f>
        <v>22051.596792433149</v>
      </c>
      <c r="W8" s="41">
        <f>'Assumptions &amp; WACC'!N13-'Assumptions &amp; WACC'!M13</f>
        <v>21949.141216142569</v>
      </c>
      <c r="X8" s="1"/>
      <c r="Y8" s="6" t="s">
        <v>77</v>
      </c>
      <c r="Z8" s="10">
        <f>'Assumptions &amp; WACC'!I14-'Assumptions &amp; WACC'!M6</f>
        <v>44728.936867609009</v>
      </c>
      <c r="AA8" s="10">
        <f>'Assumptions &amp; WACC'!J14-'Assumptions &amp; WACC'!I14</f>
        <v>10607.001798108584</v>
      </c>
      <c r="AB8" s="10">
        <f>'Assumptions &amp; WACC'!K14-'Assumptions &amp; WACC'!J14</f>
        <v>12503.529214878756</v>
      </c>
      <c r="AC8" s="10">
        <f>'Assumptions &amp; WACC'!L14-'Assumptions &amp; WACC'!K14</f>
        <v>14268.722038939304</v>
      </c>
      <c r="AD8" s="10">
        <f>'Assumptions &amp; WACC'!M14-'Assumptions &amp; WACC'!L14</f>
        <v>15837.765094493283</v>
      </c>
      <c r="AE8" s="10">
        <f>'Assumptions &amp; WACC'!N14-'Assumptions &amp; WACC'!M14</f>
        <v>15963.951379706763</v>
      </c>
      <c r="AG8" s="42" t="s">
        <v>77</v>
      </c>
      <c r="AH8" s="41">
        <f>'Assumptions &amp; WACC'!I15-'Assumptions &amp; WACC'!M7</f>
        <v>715.31351566373633</v>
      </c>
      <c r="AI8" s="41">
        <f>'Assumptions &amp; WACC'!J15-'Assumptions &amp; WACC'!I15</f>
        <v>-531.64760213204863</v>
      </c>
      <c r="AJ8" s="41">
        <f>'Assumptions &amp; WACC'!K15-'Assumptions &amp; WACC'!J15</f>
        <v>-570.11014553422501</v>
      </c>
      <c r="AK8" s="41">
        <f>'Assumptions &amp; WACC'!L15-'Assumptions &amp; WACC'!K15</f>
        <v>-611.35529764004241</v>
      </c>
      <c r="AL8" s="41">
        <f>'Assumptions &amp; WACC'!M15-'Assumptions &amp; WACC'!L15</f>
        <v>-655.58436888071265</v>
      </c>
      <c r="AM8" s="41">
        <f>'Assumptions &amp; WACC'!N15-'Assumptions &amp; WACC'!M15</f>
        <v>-703.01323367901387</v>
      </c>
    </row>
    <row r="9" spans="1:39" x14ac:dyDescent="0.3">
      <c r="A9" s="18" t="s">
        <v>78</v>
      </c>
      <c r="B9" s="43">
        <f>B5+B6-B7-B8</f>
        <v>6578.1607851172621</v>
      </c>
      <c r="C9" s="43">
        <f t="shared" ref="C9:G9" si="0">C5+C6-C7-C8</f>
        <v>10070.404761248525</v>
      </c>
      <c r="D9" s="43">
        <f t="shared" si="0"/>
        <v>10868.194173714837</v>
      </c>
      <c r="E9" s="43">
        <f t="shared" si="0"/>
        <v>11729.185409914437</v>
      </c>
      <c r="F9" s="43">
        <f t="shared" si="0"/>
        <v>12658.385393304576</v>
      </c>
      <c r="G9" s="43">
        <f t="shared" si="0"/>
        <v>13661.197701758849</v>
      </c>
      <c r="H9" s="1"/>
      <c r="I9" s="44" t="s">
        <v>78</v>
      </c>
      <c r="J9" s="45">
        <f>J5+J6-J7-J8</f>
        <v>11901.546753664046</v>
      </c>
      <c r="K9" s="45">
        <f t="shared" ref="K9:O9" si="1">K5+K6-K7-K8</f>
        <v>9312.8890618611476</v>
      </c>
      <c r="L9" s="45">
        <f t="shared" si="1"/>
        <v>9555.5692226283281</v>
      </c>
      <c r="M9" s="45">
        <f t="shared" si="1"/>
        <v>9804.5732706488379</v>
      </c>
      <c r="N9" s="45">
        <f t="shared" si="1"/>
        <v>10060.065997102423</v>
      </c>
      <c r="O9" s="45">
        <f t="shared" si="1"/>
        <v>10322.216487384045</v>
      </c>
      <c r="Q9" s="18" t="s">
        <v>78</v>
      </c>
      <c r="R9" s="43">
        <f>R5+R6-R7-R8</f>
        <v>-4823.196439142157</v>
      </c>
      <c r="S9" s="43">
        <f t="shared" ref="S9:W9" si="2">S5+S6-S7-S8</f>
        <v>54398.705091825977</v>
      </c>
      <c r="T9" s="43">
        <f t="shared" si="2"/>
        <v>62510.562422524366</v>
      </c>
      <c r="U9" s="43">
        <f t="shared" si="2"/>
        <v>72023.303847556788</v>
      </c>
      <c r="V9" s="43">
        <f t="shared" si="2"/>
        <v>81846.198295401715</v>
      </c>
      <c r="W9" s="43">
        <f t="shared" si="2"/>
        <v>91855.706049151981</v>
      </c>
      <c r="X9" s="1"/>
      <c r="Y9" s="44" t="s">
        <v>78</v>
      </c>
      <c r="Z9" s="45">
        <f>Z5+Z6-Z7-Z8</f>
        <v>34692.07948798174</v>
      </c>
      <c r="AA9" s="45">
        <f t="shared" ref="AA9:AE9" si="3">AA5+AA6-AA7-AA8</f>
        <v>77715.130607862564</v>
      </c>
      <c r="AB9" s="45">
        <f t="shared" si="3"/>
        <v>86311.235011028868</v>
      </c>
      <c r="AC9" s="45">
        <f t="shared" si="3"/>
        <v>96519.977251433622</v>
      </c>
      <c r="AD9" s="45">
        <f t="shared" si="3"/>
        <v>108241.56879442252</v>
      </c>
      <c r="AE9" s="45">
        <f t="shared" si="3"/>
        <v>121511.90930896302</v>
      </c>
      <c r="AG9" s="18" t="s">
        <v>78</v>
      </c>
      <c r="AH9" s="43">
        <f>AH5+AH6-AH7-AH8</f>
        <v>11509.307937174974</v>
      </c>
      <c r="AI9" s="43">
        <f t="shared" ref="AI9:AM9" si="4">AI5+AI6-AI7-AI8</f>
        <v>13640.670736308879</v>
      </c>
      <c r="AJ9" s="43">
        <f t="shared" si="4"/>
        <v>14627.517828491835</v>
      </c>
      <c r="AK9" s="43">
        <f t="shared" si="4"/>
        <v>15685.759297254652</v>
      </c>
      <c r="AL9" s="43">
        <f t="shared" si="4"/>
        <v>16820.560235596655</v>
      </c>
      <c r="AM9" s="43">
        <f t="shared" si="4"/>
        <v>18037.45941000474</v>
      </c>
    </row>
    <row r="10" spans="1:39" x14ac:dyDescent="0.3">
      <c r="A10" s="19"/>
      <c r="B10" s="46"/>
      <c r="C10" s="46"/>
      <c r="D10" s="46"/>
      <c r="E10" s="46"/>
      <c r="F10" s="46"/>
      <c r="G10" s="46"/>
      <c r="H10" s="18"/>
      <c r="I10" s="18"/>
      <c r="J10" s="47"/>
      <c r="K10" s="47"/>
      <c r="L10" s="47"/>
      <c r="M10" s="47"/>
      <c r="N10" s="47"/>
      <c r="O10" s="47"/>
      <c r="Q10" s="19"/>
      <c r="R10" s="46"/>
      <c r="S10" s="46"/>
      <c r="T10" s="46"/>
      <c r="U10" s="46"/>
      <c r="V10" s="46"/>
      <c r="W10" s="46"/>
      <c r="X10" s="18"/>
      <c r="Y10" s="18"/>
      <c r="Z10" s="47"/>
      <c r="AA10" s="47"/>
      <c r="AB10" s="47"/>
      <c r="AC10" s="47"/>
      <c r="AD10" s="47"/>
      <c r="AE10" s="47"/>
      <c r="AG10" s="19"/>
      <c r="AH10" s="46"/>
      <c r="AI10" s="46"/>
      <c r="AJ10" s="46"/>
      <c r="AK10" s="46"/>
      <c r="AL10" s="46"/>
      <c r="AM10" s="46"/>
    </row>
    <row r="11" spans="1:39" x14ac:dyDescent="0.3">
      <c r="A11" s="1"/>
      <c r="B11" s="1"/>
      <c r="C11" s="1"/>
      <c r="D11" s="1"/>
      <c r="E11" s="1"/>
      <c r="F11" s="1"/>
      <c r="G11" s="1"/>
      <c r="H11" s="1"/>
      <c r="I11" s="1"/>
      <c r="J11" s="20"/>
      <c r="K11" s="20"/>
      <c r="L11" s="20"/>
      <c r="M11" s="20"/>
      <c r="N11" s="20"/>
      <c r="O11" s="20"/>
      <c r="Q11" s="1"/>
      <c r="R11" s="1"/>
      <c r="S11" s="1"/>
      <c r="T11" s="1"/>
      <c r="U11" s="1"/>
      <c r="V11" s="1"/>
      <c r="W11" s="1"/>
      <c r="X11" s="1"/>
      <c r="Y11" s="1"/>
      <c r="Z11" s="20"/>
      <c r="AA11" s="20"/>
      <c r="AB11" s="20"/>
      <c r="AC11" s="20"/>
      <c r="AD11" s="20"/>
      <c r="AE11" s="20"/>
      <c r="AG11" s="1"/>
      <c r="AH11" s="1"/>
      <c r="AI11" s="1"/>
      <c r="AJ11" s="1"/>
      <c r="AK11" s="1"/>
      <c r="AL11" s="1"/>
      <c r="AM11" s="1"/>
    </row>
    <row r="12" spans="1:39" x14ac:dyDescent="0.3">
      <c r="A12" s="1" t="s">
        <v>79</v>
      </c>
      <c r="B12" s="20" t="s">
        <v>80</v>
      </c>
      <c r="C12" s="1"/>
      <c r="D12" s="1"/>
      <c r="E12" s="1"/>
      <c r="F12" s="1"/>
      <c r="G12" s="1"/>
      <c r="H12" s="1"/>
      <c r="I12" s="1" t="s">
        <v>79</v>
      </c>
      <c r="J12" s="20" t="s">
        <v>80</v>
      </c>
      <c r="K12" s="20"/>
      <c r="L12" s="20"/>
      <c r="M12" s="20"/>
      <c r="N12" s="20"/>
      <c r="O12" s="20"/>
      <c r="Q12" s="1" t="s">
        <v>79</v>
      </c>
      <c r="R12" s="20" t="s">
        <v>80</v>
      </c>
      <c r="S12" s="1"/>
      <c r="T12" s="1"/>
      <c r="U12" s="1"/>
      <c r="V12" s="1"/>
      <c r="W12" s="1"/>
      <c r="X12" s="1"/>
      <c r="Y12" s="1" t="s">
        <v>79</v>
      </c>
      <c r="Z12" s="20" t="s">
        <v>80</v>
      </c>
      <c r="AA12" s="20"/>
      <c r="AB12" s="20"/>
      <c r="AC12" s="20"/>
      <c r="AD12" s="20"/>
      <c r="AE12" s="20"/>
      <c r="AG12" s="1" t="s">
        <v>79</v>
      </c>
      <c r="AH12" s="20" t="s">
        <v>80</v>
      </c>
      <c r="AI12" s="1"/>
      <c r="AJ12" s="1"/>
      <c r="AK12" s="1"/>
      <c r="AL12" s="1"/>
      <c r="AM12" s="1"/>
    </row>
    <row r="13" spans="1:39" x14ac:dyDescent="0.3">
      <c r="A13" s="1" t="s">
        <v>81</v>
      </c>
      <c r="B13" s="21">
        <f ca="1">G9*(1+'Assumptions &amp; WACC'!B25)/('Assumptions &amp; WACC'!B21-'Assumptions &amp; WACC'!B25)</f>
        <v>181793.8486535929</v>
      </c>
      <c r="C13" s="1"/>
      <c r="D13" s="1"/>
      <c r="E13" s="1"/>
      <c r="F13" s="1"/>
      <c r="G13" s="1"/>
      <c r="H13" s="1"/>
      <c r="I13" s="6" t="s">
        <v>81</v>
      </c>
      <c r="J13" s="10">
        <f ca="1">O9*(1+'Assumptions &amp; WACC'!C25)/('Assumptions &amp; WACC'!C21-'Assumptions &amp; WACC'!C25)</f>
        <v>261990.01548218477</v>
      </c>
      <c r="K13" s="20"/>
      <c r="L13" s="20"/>
      <c r="M13" s="20"/>
      <c r="N13" s="20"/>
      <c r="O13" s="20"/>
      <c r="Q13" s="1" t="s">
        <v>81</v>
      </c>
      <c r="R13" s="21">
        <f ca="1">W9*(1+'Assumptions &amp; WACC'!D25)/('Assumptions &amp; WACC'!D21-'Assumptions &amp; WACC'!D25)</f>
        <v>1818672.4306387692</v>
      </c>
      <c r="S13" s="1"/>
      <c r="T13" s="1"/>
      <c r="U13" s="1"/>
      <c r="V13" s="1"/>
      <c r="W13" s="1"/>
      <c r="X13" s="1"/>
      <c r="Y13" s="6" t="s">
        <v>81</v>
      </c>
      <c r="Z13" s="10">
        <f ca="1">AE9*(1+'Assumptions &amp; WACC'!E25)/('Assumptions &amp; WACC'!E21-'Assumptions &amp; WACC'!E25)</f>
        <v>2015791.7030559566</v>
      </c>
      <c r="AA13" s="20"/>
      <c r="AB13" s="20"/>
      <c r="AC13" s="20"/>
      <c r="AD13" s="20"/>
      <c r="AE13" s="20"/>
      <c r="AG13" s="1" t="s">
        <v>81</v>
      </c>
      <c r="AH13" s="21">
        <f ca="1">AM9*(1+'Assumptions &amp; WACC'!F25)/('Assumptions &amp; WACC'!F21-'Assumptions &amp; WACC'!F25)</f>
        <v>289252.3003322591</v>
      </c>
      <c r="AI13" s="1"/>
      <c r="AJ13" s="1"/>
      <c r="AK13" s="1"/>
      <c r="AL13" s="1"/>
      <c r="AM13" s="1"/>
    </row>
    <row r="14" spans="1:39" x14ac:dyDescent="0.3">
      <c r="A14" s="1" t="s">
        <v>82</v>
      </c>
      <c r="B14" s="21">
        <f ca="1">B13*'Assumptions &amp; WACC'!B23</f>
        <v>101491.52279394146</v>
      </c>
      <c r="C14" s="1"/>
      <c r="D14" s="1"/>
      <c r="E14" s="1"/>
      <c r="F14" s="1"/>
      <c r="G14" s="1"/>
      <c r="H14" s="1"/>
      <c r="I14" s="6" t="s">
        <v>82</v>
      </c>
      <c r="J14" s="10">
        <f ca="1">J13*'Assumptions &amp; WACC'!C23</f>
        <v>179162.49120573161</v>
      </c>
      <c r="K14" s="20"/>
      <c r="L14" s="20"/>
      <c r="M14" s="20"/>
      <c r="N14" s="20"/>
      <c r="O14" s="20"/>
      <c r="Q14" s="1" t="s">
        <v>82</v>
      </c>
      <c r="R14" s="21">
        <f ca="1">R13*'Assumptions &amp; WACC'!D23</f>
        <v>1069450.5783118387</v>
      </c>
      <c r="S14" s="1"/>
      <c r="T14" s="1"/>
      <c r="U14" s="1"/>
      <c r="V14" s="1"/>
      <c r="W14" s="1"/>
      <c r="X14" s="1"/>
      <c r="Y14" s="6" t="s">
        <v>82</v>
      </c>
      <c r="Z14" s="10">
        <f ca="1">Z13*'Assumptions &amp; WACC'!E23</f>
        <v>1188225.6039907217</v>
      </c>
      <c r="AA14" s="20"/>
      <c r="AB14" s="20"/>
      <c r="AC14" s="20"/>
      <c r="AD14" s="20"/>
      <c r="AE14" s="20"/>
      <c r="AG14" s="1" t="s">
        <v>82</v>
      </c>
      <c r="AH14" s="21">
        <f ca="1">AH13*'Assumptions &amp; WACC'!F23</f>
        <v>154508.18116963573</v>
      </c>
      <c r="AI14" s="1"/>
      <c r="AJ14" s="1"/>
      <c r="AK14" s="1"/>
      <c r="AL14" s="1"/>
      <c r="AM14" s="1"/>
    </row>
    <row r="15" spans="1:39" x14ac:dyDescent="0.3">
      <c r="A15" s="1" t="s">
        <v>83</v>
      </c>
      <c r="B15" s="21">
        <f ca="1">NPV('Assumptions &amp; WACC'!B21,DCF!B9:G9)</f>
        <v>45748.850646924016</v>
      </c>
      <c r="C15" s="1"/>
      <c r="D15" s="1"/>
      <c r="E15" s="1"/>
      <c r="F15" s="1"/>
      <c r="G15" s="1"/>
      <c r="H15" s="1"/>
      <c r="I15" s="6" t="s">
        <v>83</v>
      </c>
      <c r="J15" s="10">
        <f ca="1">NPV('Assumptions &amp; WACC'!C21,DCF!J9:O9)</f>
        <v>49276.638459106187</v>
      </c>
      <c r="K15" s="20"/>
      <c r="L15" s="20"/>
      <c r="M15" s="20"/>
      <c r="N15" s="20"/>
      <c r="O15" s="20"/>
      <c r="Q15" s="1" t="s">
        <v>83</v>
      </c>
      <c r="R15" s="21">
        <f ca="1">NPV('Assumptions &amp; WACC'!D21,DCF!R9:W9)</f>
        <v>246244.80633627903</v>
      </c>
      <c r="S15" s="1"/>
      <c r="T15" s="1"/>
      <c r="U15" s="1"/>
      <c r="V15" s="1"/>
      <c r="W15" s="1"/>
      <c r="X15" s="1"/>
      <c r="Y15" s="6" t="s">
        <v>83</v>
      </c>
      <c r="Z15" s="10">
        <f ca="1">NPV('Assumptions &amp; WACC'!E21,DCF!Z9:AE9)</f>
        <v>372355.96067861776</v>
      </c>
      <c r="AA15" s="20"/>
      <c r="AB15" s="20"/>
      <c r="AC15" s="20"/>
      <c r="AD15" s="20"/>
      <c r="AE15" s="20"/>
      <c r="AG15" s="1" t="s">
        <v>83</v>
      </c>
      <c r="AH15" s="21">
        <f ca="1">NPV('Assumptions &amp; WACC'!F21,DCF!AH9:AM9)</f>
        <v>62062.010481357218</v>
      </c>
      <c r="AI15" s="1"/>
      <c r="AJ15" s="1"/>
      <c r="AK15" s="1"/>
      <c r="AL15" s="1"/>
      <c r="AM15" s="1"/>
    </row>
    <row r="16" spans="1:39" x14ac:dyDescent="0.3">
      <c r="A16" s="1" t="s">
        <v>84</v>
      </c>
      <c r="B16" s="21">
        <f ca="1">B14+B15</f>
        <v>147240.37344086549</v>
      </c>
      <c r="C16" s="1"/>
      <c r="D16" s="1"/>
      <c r="E16" s="1"/>
      <c r="F16" s="1"/>
      <c r="G16" s="1"/>
      <c r="H16" s="1"/>
      <c r="I16" s="6" t="s">
        <v>84</v>
      </c>
      <c r="J16" s="10">
        <f ca="1">J14+J15</f>
        <v>228439.12966483779</v>
      </c>
      <c r="K16" s="20"/>
      <c r="L16" s="20"/>
      <c r="M16" s="20"/>
      <c r="N16" s="20"/>
      <c r="O16" s="20"/>
      <c r="Q16" s="1" t="s">
        <v>84</v>
      </c>
      <c r="R16" s="21">
        <f ca="1">R14+R15</f>
        <v>1315695.3846481177</v>
      </c>
      <c r="S16" s="1"/>
      <c r="T16" s="1"/>
      <c r="U16" s="1"/>
      <c r="V16" s="1"/>
      <c r="W16" s="1"/>
      <c r="X16" s="1"/>
      <c r="Y16" s="6" t="s">
        <v>84</v>
      </c>
      <c r="Z16" s="10">
        <f ca="1">Z14+Z15</f>
        <v>1560581.5646693395</v>
      </c>
      <c r="AA16" s="20"/>
      <c r="AB16" s="20"/>
      <c r="AC16" s="20"/>
      <c r="AD16" s="20"/>
      <c r="AE16" s="20"/>
      <c r="AG16" s="1" t="s">
        <v>84</v>
      </c>
      <c r="AH16" s="21">
        <f ca="1">AH14+AH15</f>
        <v>216570.19165099296</v>
      </c>
      <c r="AI16" s="1"/>
      <c r="AJ16" s="1"/>
      <c r="AK16" s="1"/>
      <c r="AL16" s="1"/>
      <c r="AM16" s="1"/>
    </row>
    <row r="17" spans="1:39" x14ac:dyDescent="0.3">
      <c r="A17" s="1" t="s">
        <v>85</v>
      </c>
      <c r="B17" s="21">
        <f>'Assumptions &amp; WACC'!B16-'Assumptions &amp; WACC'!B24</f>
        <v>-3979.6120000000001</v>
      </c>
      <c r="C17" s="1"/>
      <c r="D17" s="1"/>
      <c r="E17" s="1"/>
      <c r="F17" s="1"/>
      <c r="G17" s="1"/>
      <c r="H17" s="1"/>
      <c r="I17" s="6" t="s">
        <v>85</v>
      </c>
      <c r="J17" s="10">
        <f>'Assumptions &amp; WACC'!C16-'Assumptions &amp; WACC'!C24</f>
        <v>41026</v>
      </c>
      <c r="K17" s="20"/>
      <c r="L17" s="20"/>
      <c r="M17" s="20"/>
      <c r="N17" s="20"/>
      <c r="O17" s="20"/>
      <c r="Q17" s="1" t="s">
        <v>85</v>
      </c>
      <c r="R17" s="21">
        <f>'Assumptions &amp; WACC'!D16-'Assumptions &amp; WACC'!D24</f>
        <v>-84774</v>
      </c>
      <c r="S17" s="1"/>
      <c r="T17" s="1"/>
      <c r="U17" s="1"/>
      <c r="V17" s="1"/>
      <c r="W17" s="1"/>
      <c r="X17" s="1"/>
      <c r="Y17" s="6" t="s">
        <v>85</v>
      </c>
      <c r="Z17" s="10">
        <f>'Assumptions &amp; WACC'!E16-'Assumptions &amp; WACC'!E24</f>
        <v>-51414</v>
      </c>
      <c r="AA17" s="20"/>
      <c r="AB17" s="20"/>
      <c r="AC17" s="20"/>
      <c r="AD17" s="20"/>
      <c r="AE17" s="20"/>
      <c r="AG17" s="1" t="s">
        <v>85</v>
      </c>
      <c r="AH17" s="21">
        <f>'Assumptions &amp; WACC'!F16-'Assumptions &amp; WACC'!F24</f>
        <v>81782</v>
      </c>
      <c r="AI17" s="1"/>
      <c r="AJ17" s="1"/>
      <c r="AK17" s="1"/>
      <c r="AL17" s="1"/>
      <c r="AM17" s="1"/>
    </row>
    <row r="18" spans="1:39" x14ac:dyDescent="0.3">
      <c r="A18" s="1" t="s">
        <v>86</v>
      </c>
      <c r="B18" s="21">
        <f ca="1">B16-B17</f>
        <v>151219.98544086548</v>
      </c>
      <c r="C18" s="1"/>
      <c r="D18" s="1"/>
      <c r="E18" s="1"/>
      <c r="F18" s="1"/>
      <c r="G18" s="1"/>
      <c r="H18" s="1"/>
      <c r="I18" s="6" t="s">
        <v>86</v>
      </c>
      <c r="J18" s="10">
        <f ca="1">J16-J17</f>
        <v>187413.12966483779</v>
      </c>
      <c r="K18" s="20"/>
      <c r="L18" s="20"/>
      <c r="M18" s="20"/>
      <c r="N18" s="20"/>
      <c r="O18" s="20"/>
      <c r="Q18" s="1" t="s">
        <v>86</v>
      </c>
      <c r="R18" s="21">
        <f ca="1">R16-R17</f>
        <v>1400469.3846481177</v>
      </c>
      <c r="S18" s="1"/>
      <c r="T18" s="1"/>
      <c r="U18" s="1"/>
      <c r="V18" s="1"/>
      <c r="W18" s="1"/>
      <c r="X18" s="1"/>
      <c r="Y18" s="6" t="s">
        <v>86</v>
      </c>
      <c r="Z18" s="10">
        <f ca="1">Z16-Z17</f>
        <v>1611995.5646693395</v>
      </c>
      <c r="AA18" s="20"/>
      <c r="AB18" s="20"/>
      <c r="AC18" s="20"/>
      <c r="AD18" s="20"/>
      <c r="AE18" s="20"/>
      <c r="AG18" s="1" t="s">
        <v>86</v>
      </c>
      <c r="AH18" s="21">
        <f ca="1">AH16-AH17</f>
        <v>134788.19165099296</v>
      </c>
      <c r="AI18" s="1"/>
      <c r="AJ18" s="1"/>
      <c r="AK18" s="1"/>
      <c r="AL18" s="1"/>
      <c r="AM18" s="1"/>
    </row>
    <row r="19" spans="1:39" x14ac:dyDescent="0.3">
      <c r="A19" s="1" t="s">
        <v>87</v>
      </c>
      <c r="B19" s="21">
        <f ca="1">'Assumptions &amp; WACC'!B26</f>
        <v>620.13890000000004</v>
      </c>
      <c r="C19" s="1"/>
      <c r="D19" s="1"/>
      <c r="E19" s="1"/>
      <c r="F19" s="1"/>
      <c r="G19" s="1"/>
      <c r="H19" s="1"/>
      <c r="I19" s="6" t="s">
        <v>87</v>
      </c>
      <c r="J19" s="10">
        <f ca="1">'Assumptions &amp; WACC'!C26</f>
        <v>934.73519999999996</v>
      </c>
      <c r="K19" s="20"/>
      <c r="L19" s="20"/>
      <c r="M19" s="20"/>
      <c r="N19" s="20"/>
      <c r="O19" s="20"/>
      <c r="Q19" s="1" t="s">
        <v>87</v>
      </c>
      <c r="R19" s="21">
        <f ca="1">'Assumptions &amp; WACC'!D26</f>
        <v>12067</v>
      </c>
      <c r="S19" s="1"/>
      <c r="T19" s="1"/>
      <c r="U19" s="1"/>
      <c r="V19" s="1"/>
      <c r="W19" s="1"/>
      <c r="X19" s="1"/>
      <c r="Y19" s="6" t="s">
        <v>87</v>
      </c>
      <c r="Z19" s="10">
        <f ca="1">'Assumptions &amp; WACC'!E26</f>
        <v>7432.3770000000004</v>
      </c>
      <c r="AA19" s="20"/>
      <c r="AB19" s="20"/>
      <c r="AC19" s="20"/>
      <c r="AD19" s="20"/>
      <c r="AE19" s="20"/>
      <c r="AG19" s="1" t="s">
        <v>87</v>
      </c>
      <c r="AH19" s="21">
        <f ca="1">'Assumptions &amp; WACC'!F26</f>
        <v>2850.7930000000001</v>
      </c>
      <c r="AI19" s="1"/>
      <c r="AJ19" s="1"/>
      <c r="AK19" s="1"/>
      <c r="AL19" s="1"/>
      <c r="AM19" s="1"/>
    </row>
    <row r="20" spans="1:39" x14ac:dyDescent="0.3">
      <c r="A20" s="1" t="s">
        <v>88</v>
      </c>
      <c r="B20" s="21">
        <f ca="1">B18/B19</f>
        <v>243.84857237768099</v>
      </c>
      <c r="C20" s="1"/>
      <c r="D20" s="1"/>
      <c r="E20" s="1"/>
      <c r="F20" s="1"/>
      <c r="G20" s="1"/>
      <c r="H20" s="1"/>
      <c r="I20" s="6" t="s">
        <v>88</v>
      </c>
      <c r="J20" s="10">
        <f ca="1">J18/J19</f>
        <v>200.49863283723326</v>
      </c>
      <c r="K20" s="20"/>
      <c r="L20" s="20"/>
      <c r="M20" s="20"/>
      <c r="N20" s="20"/>
      <c r="O20" s="20"/>
      <c r="Q20" s="1" t="s">
        <v>88</v>
      </c>
      <c r="R20" s="21">
        <f ca="1">R18/R19</f>
        <v>116.05779271137132</v>
      </c>
      <c r="S20" s="1"/>
      <c r="T20" s="1"/>
      <c r="U20" s="1"/>
      <c r="V20" s="1"/>
      <c r="W20" s="1"/>
      <c r="X20" s="1"/>
      <c r="Y20" s="6" t="s">
        <v>88</v>
      </c>
      <c r="Z20" s="10">
        <f ca="1">Z18/Z19</f>
        <v>216.88829356602059</v>
      </c>
      <c r="AA20" s="20"/>
      <c r="AB20" s="20"/>
      <c r="AC20" s="20"/>
      <c r="AD20" s="20"/>
      <c r="AE20" s="20"/>
      <c r="AG20" s="1" t="s">
        <v>88</v>
      </c>
      <c r="AH20" s="21">
        <f ca="1">AH18/AH19</f>
        <v>47.280946617657946</v>
      </c>
      <c r="AI20" s="1"/>
      <c r="AJ20" s="1"/>
      <c r="AK20" s="1"/>
      <c r="AL20" s="1"/>
      <c r="AM20" s="1"/>
    </row>
    <row r="21" spans="1:39" x14ac:dyDescent="0.3">
      <c r="A21" s="1" t="s">
        <v>89</v>
      </c>
      <c r="B21" s="21">
        <f ca="1">'Company Profile'!B3</f>
        <v>244.16</v>
      </c>
      <c r="C21" s="1"/>
      <c r="D21" s="1"/>
      <c r="E21" s="1"/>
      <c r="F21" s="1"/>
      <c r="G21" s="1"/>
      <c r="H21" s="1"/>
      <c r="I21" s="6" t="s">
        <v>89</v>
      </c>
      <c r="J21" s="10">
        <f ca="1">'Company Profile'!C3</f>
        <v>289.86</v>
      </c>
      <c r="K21" s="20"/>
      <c r="L21" s="20"/>
      <c r="M21" s="20"/>
      <c r="N21" s="20"/>
      <c r="O21" s="20"/>
      <c r="Q21" s="1" t="s">
        <v>89</v>
      </c>
      <c r="R21" s="21">
        <f ca="1">'Company Profile'!D3</f>
        <v>300.64</v>
      </c>
      <c r="S21" s="1"/>
      <c r="T21" s="1"/>
      <c r="U21" s="1"/>
      <c r="V21" s="1"/>
      <c r="W21" s="1"/>
      <c r="X21" s="1"/>
      <c r="Y21" s="6" t="s">
        <v>89</v>
      </c>
      <c r="Z21" s="10">
        <f ca="1">'Company Profile'!E3</f>
        <v>493.82499999999999</v>
      </c>
      <c r="AA21" s="20"/>
      <c r="AB21" s="20"/>
      <c r="AC21" s="20"/>
      <c r="AD21" s="20"/>
      <c r="AE21" s="20"/>
      <c r="AG21" s="1" t="s">
        <v>89</v>
      </c>
      <c r="AH21" s="21">
        <f ca="1">'Company Profile'!F3</f>
        <v>227.38499999999999</v>
      </c>
      <c r="AI21" s="1"/>
      <c r="AJ21" s="1"/>
      <c r="AK21" s="1"/>
      <c r="AL21" s="1"/>
      <c r="AM21" s="1"/>
    </row>
    <row r="22" spans="1:39" x14ac:dyDescent="0.3">
      <c r="A22" s="1" t="s">
        <v>90</v>
      </c>
      <c r="B22" s="48">
        <f ca="1">(B20-B21)/B21</f>
        <v>-1.275506316837327E-3</v>
      </c>
      <c r="C22" s="1"/>
      <c r="D22" s="1"/>
      <c r="E22" s="1"/>
      <c r="F22" s="1"/>
      <c r="G22" s="1"/>
      <c r="H22" s="1"/>
      <c r="I22" s="6" t="s">
        <v>90</v>
      </c>
      <c r="J22" s="49">
        <f ca="1">(J20-J21)/J21</f>
        <v>-0.30829147575645743</v>
      </c>
      <c r="K22" s="20"/>
      <c r="L22" s="20"/>
      <c r="M22" s="20"/>
      <c r="N22" s="20"/>
      <c r="O22" s="20"/>
      <c r="Q22" s="1" t="s">
        <v>90</v>
      </c>
      <c r="R22" s="48">
        <f ca="1">(R20-R21)/R21</f>
        <v>-0.61396423392971222</v>
      </c>
      <c r="S22" s="1"/>
      <c r="T22" s="1"/>
      <c r="U22" s="1"/>
      <c r="V22" s="1"/>
      <c r="W22" s="1"/>
      <c r="X22" s="1"/>
      <c r="Y22" s="6" t="s">
        <v>90</v>
      </c>
      <c r="Z22" s="49">
        <f ca="1">(Z20-Z21)/Z21</f>
        <v>-0.56079928402567591</v>
      </c>
      <c r="AA22" s="20"/>
      <c r="AB22" s="20"/>
      <c r="AC22" s="20"/>
      <c r="AD22" s="20"/>
      <c r="AE22" s="20"/>
      <c r="AG22" s="1" t="s">
        <v>90</v>
      </c>
      <c r="AH22" s="48">
        <f ca="1">(AH20-AH21)/AH21</f>
        <v>-0.79206655400462678</v>
      </c>
      <c r="AI22" s="1"/>
      <c r="AJ22" s="1"/>
      <c r="AK22" s="1"/>
      <c r="AL22" s="1"/>
      <c r="AM22" s="1"/>
    </row>
  </sheetData>
  <conditionalFormatting sqref="B22">
    <cfRule type="cellIs" dxfId="15" priority="9" operator="lessThan">
      <formula>0</formula>
    </cfRule>
    <cfRule type="cellIs" dxfId="14" priority="10" operator="greaterThan">
      <formula>0</formula>
    </cfRule>
  </conditionalFormatting>
  <conditionalFormatting sqref="J22">
    <cfRule type="cellIs" dxfId="13" priority="7" operator="lessThan">
      <formula>0</formula>
    </cfRule>
    <cfRule type="cellIs" dxfId="12" priority="8" operator="greaterThan">
      <formula>0</formula>
    </cfRule>
  </conditionalFormatting>
  <conditionalFormatting sqref="R22">
    <cfRule type="cellIs" dxfId="11" priority="5" operator="lessThan">
      <formula>0</formula>
    </cfRule>
    <cfRule type="cellIs" dxfId="10" priority="6" operator="greaterThan">
      <formula>0</formula>
    </cfRule>
  </conditionalFormatting>
  <conditionalFormatting sqref="Z22">
    <cfRule type="cellIs" dxfId="9" priority="3" operator="lessThan">
      <formula>0</formula>
    </cfRule>
    <cfRule type="cellIs" dxfId="8" priority="4" operator="greaterThan">
      <formula>0</formula>
    </cfRule>
  </conditionalFormatting>
  <conditionalFormatting sqref="AH22">
    <cfRule type="cellIs" dxfId="7" priority="1" operator="lessThan">
      <formula>0</formula>
    </cfRule>
    <cfRule type="cellIs" dxfId="6" priority="2" operator="greaterThan">
      <formula>0</formula>
    </cfRule>
  </conditionalFormatting>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575FD-E4D4-437D-9573-87F1C9E8CA2D}">
  <dimension ref="A1:N26"/>
  <sheetViews>
    <sheetView workbookViewId="0">
      <selection activeCell="L21" sqref="L21"/>
    </sheetView>
  </sheetViews>
  <sheetFormatPr defaultRowHeight="14.4" x14ac:dyDescent="0.3"/>
  <cols>
    <col min="1" max="1" width="58.44140625" bestFit="1" customWidth="1"/>
    <col min="2" max="2" width="10.88671875" bestFit="1" customWidth="1"/>
    <col min="3" max="3" width="10.77734375" bestFit="1" customWidth="1"/>
    <col min="4" max="5" width="10.88671875" bestFit="1" customWidth="1"/>
    <col min="8" max="8" width="11" customWidth="1"/>
    <col min="9" max="11" width="10.88671875" bestFit="1" customWidth="1"/>
    <col min="12" max="13" width="12.33203125" bestFit="1" customWidth="1"/>
    <col min="14" max="14" width="13.109375" bestFit="1" customWidth="1"/>
  </cols>
  <sheetData>
    <row r="1" spans="1:14" x14ac:dyDescent="0.3">
      <c r="A1" s="50" t="s">
        <v>0</v>
      </c>
      <c r="B1" s="51" t="s">
        <v>91</v>
      </c>
      <c r="C1" s="51" t="s">
        <v>8</v>
      </c>
      <c r="D1" s="51" t="s">
        <v>92</v>
      </c>
      <c r="E1" s="51" t="s">
        <v>93</v>
      </c>
      <c r="F1" s="1"/>
      <c r="G1" s="1"/>
      <c r="H1" s="52"/>
      <c r="I1" s="3"/>
      <c r="J1" s="3"/>
      <c r="K1" s="3"/>
      <c r="L1" s="3"/>
    </row>
    <row r="2" spans="1:14" x14ac:dyDescent="0.3">
      <c r="A2" s="28" t="e" vm="7">
        <v>#VALUE!</v>
      </c>
      <c r="B2" s="38">
        <v>28.28</v>
      </c>
      <c r="C2" s="38" cm="1">
        <f t="array" aca="1" ref="C2" ca="1">_FV(A2,"P/E",TRUE)</f>
        <v>36.548400000000001</v>
      </c>
      <c r="D2" s="38">
        <v>9.8699999999999992</v>
      </c>
      <c r="E2" s="38">
        <v>66.14</v>
      </c>
      <c r="F2" s="1"/>
      <c r="G2" s="1"/>
      <c r="H2" s="95" t="s">
        <v>0</v>
      </c>
      <c r="I2" s="23" t="s">
        <v>91</v>
      </c>
      <c r="J2" s="23" t="s">
        <v>8</v>
      </c>
      <c r="K2" s="23" t="s">
        <v>92</v>
      </c>
      <c r="L2" s="23" t="s">
        <v>93</v>
      </c>
      <c r="M2" s="24" t="s">
        <v>133</v>
      </c>
    </row>
    <row r="3" spans="1:14" x14ac:dyDescent="0.3">
      <c r="A3" s="28" t="e" vm="4">
        <v>#VALUE!</v>
      </c>
      <c r="B3" s="38">
        <v>22.34</v>
      </c>
      <c r="C3" s="38" cm="1">
        <f t="array" aca="1" ref="C3" ca="1">_FV(A3,"P/E",TRUE)</f>
        <v>35.1342</v>
      </c>
      <c r="D3" s="38">
        <v>12.39</v>
      </c>
      <c r="E3" s="38">
        <v>10.89</v>
      </c>
      <c r="F3" s="1"/>
      <c r="G3" s="1"/>
      <c r="H3" s="96" t="s">
        <v>40</v>
      </c>
      <c r="I3" s="97">
        <f ca="1">(B22*$B$19)/Relative!M3</f>
        <v>344.12327033205798</v>
      </c>
      <c r="J3" s="97">
        <f ca="1">(C22*$C$19)/Relative!M3</f>
        <v>208.25005503357806</v>
      </c>
      <c r="K3" s="97">
        <f ca="1">(D22*$D$19)/Relative!M3</f>
        <v>543.25533963439477</v>
      </c>
      <c r="L3" s="97">
        <f ca="1">(E22*$E$19)/Relative!M3</f>
        <v>556.51252373460181</v>
      </c>
      <c r="M3" s="98">
        <f ca="1">'Assumptions &amp; WACC'!B26</f>
        <v>620.13890000000004</v>
      </c>
    </row>
    <row r="4" spans="1:14" x14ac:dyDescent="0.3">
      <c r="A4" s="28" t="e" vm="8">
        <v>#VALUE!</v>
      </c>
      <c r="B4" s="38">
        <v>17.77</v>
      </c>
      <c r="C4" s="38" cm="1">
        <f t="array" aca="1" ref="C4" ca="1">_FV(A4,"P/E",TRUE)</f>
        <v>29.725999999999999</v>
      </c>
      <c r="D4" s="38">
        <v>7.01</v>
      </c>
      <c r="E4" s="38">
        <v>7.4</v>
      </c>
      <c r="F4" s="1"/>
      <c r="G4" s="1"/>
      <c r="H4" s="99" t="s">
        <v>41</v>
      </c>
      <c r="I4" s="97">
        <f ca="1">(B23*$B$19)/Relative!M4</f>
        <v>236.32189161700555</v>
      </c>
      <c r="J4" s="97">
        <f ca="1">(C23*$C$19)/Relative!M4</f>
        <v>36.625993041933164</v>
      </c>
      <c r="K4" s="97">
        <f ca="1">(D23*$D$19)/Relative!M4</f>
        <v>348.51208261976228</v>
      </c>
      <c r="L4" s="97">
        <f ca="1">(E23*$E$19)/Relative!M4</f>
        <v>346.74050134733335</v>
      </c>
      <c r="M4" s="100">
        <f ca="1">'Assumptions &amp; WACC'!C26</f>
        <v>934.73519999999996</v>
      </c>
    </row>
    <row r="5" spans="1:14" x14ac:dyDescent="0.3">
      <c r="A5" s="28" t="e" vm="9">
        <v>#VALUE!</v>
      </c>
      <c r="B5" s="38">
        <v>20.59</v>
      </c>
      <c r="C5" s="38" cm="1">
        <f t="array" aca="1" ref="C5" ca="1">_FV(A5,"P/E",TRUE)</f>
        <v>23.0364</v>
      </c>
      <c r="D5" s="38">
        <v>5.97</v>
      </c>
      <c r="E5" s="38">
        <v>14.6</v>
      </c>
      <c r="F5" s="1"/>
      <c r="G5" s="1"/>
      <c r="H5" s="96" t="s">
        <v>126</v>
      </c>
      <c r="I5" s="97">
        <f ca="1">(B24*$B$19)/Relative!M5</f>
        <v>203.13831886550096</v>
      </c>
      <c r="J5" s="97">
        <f ca="1">(C24*$C$19)/Relative!M5</f>
        <v>177.79676306196654</v>
      </c>
      <c r="K5" s="97">
        <f ca="1">(D24*$D$19)/Relative!M5</f>
        <v>150.57851516532693</v>
      </c>
      <c r="L5" s="97">
        <f ca="1">(E24*$E$19)/Relative!M5</f>
        <v>318.74975159525974</v>
      </c>
      <c r="M5" s="101">
        <f ca="1">'Assumptions &amp; WACC'!D26</f>
        <v>12067</v>
      </c>
    </row>
    <row r="6" spans="1:14" x14ac:dyDescent="0.3">
      <c r="A6" s="28" t="e" vm="10">
        <v>#VALUE!</v>
      </c>
      <c r="B6" s="38">
        <v>18.57</v>
      </c>
      <c r="C6" s="38" cm="1">
        <f t="array" aca="1" ref="C6" ca="1">_FV(A6,"P/E",TRUE)</f>
        <v>20.3584</v>
      </c>
      <c r="D6" s="38">
        <v>9.83</v>
      </c>
      <c r="E6" s="38">
        <v>9.02</v>
      </c>
      <c r="F6" s="1"/>
      <c r="G6" s="1"/>
      <c r="H6" s="99" t="s">
        <v>127</v>
      </c>
      <c r="I6" s="97">
        <f ca="1">(B25*$B$19)/Relative!M6</f>
        <v>385.10261421076996</v>
      </c>
      <c r="J6" s="97">
        <f ca="1">(C25*$C$19)/Relative!M6</f>
        <v>222.81553355507936</v>
      </c>
      <c r="K6" s="97">
        <f ca="1">(D25*$D$19)/Relative!M6</f>
        <v>196.77415650470905</v>
      </c>
      <c r="L6" s="97">
        <f ca="1">(E25*$E$19)/Relative!M6</f>
        <v>546.79688518558714</v>
      </c>
      <c r="M6" s="100">
        <f ca="1">'Assumptions &amp; WACC'!E26</f>
        <v>7432.3770000000004</v>
      </c>
    </row>
    <row r="7" spans="1:14" x14ac:dyDescent="0.3">
      <c r="A7" s="28" t="e" vm="5">
        <v>#VALUE!</v>
      </c>
      <c r="B7" s="38">
        <v>23.9</v>
      </c>
      <c r="C7" s="38" cm="1">
        <f t="array" aca="1" ref="C7" ca="1">_FV(A7,"P/E",TRUE)</f>
        <v>52.629300000000001</v>
      </c>
      <c r="D7" s="38">
        <v>8.59</v>
      </c>
      <c r="E7" s="38">
        <v>33.86</v>
      </c>
      <c r="F7" s="1"/>
      <c r="G7" s="1"/>
      <c r="H7" s="102" t="s">
        <v>128</v>
      </c>
      <c r="I7" s="97">
        <f ca="1">(B26*$B$19)/Relative!M7</f>
        <v>142.23384510906263</v>
      </c>
      <c r="J7" s="97">
        <f ca="1">(C26*$C$19)/Relative!M7</f>
        <v>110.77084631144739</v>
      </c>
      <c r="K7" s="97">
        <f ca="1">(D26*$D$19)/Relative!M7</f>
        <v>104.52269201937847</v>
      </c>
      <c r="L7" s="97">
        <f ca="1">(E26*$E$19)/Relative!M7</f>
        <v>87.029323726766521</v>
      </c>
      <c r="M7" s="103">
        <f ca="1">'Assumptions &amp; WACC'!F26</f>
        <v>2850.7930000000001</v>
      </c>
    </row>
    <row r="8" spans="1:14" x14ac:dyDescent="0.3">
      <c r="A8" s="28" t="e" vm="11">
        <v>#VALUE!</v>
      </c>
      <c r="B8" s="38">
        <v>40.700000000000003</v>
      </c>
      <c r="C8" s="38" cm="1">
        <f t="array" aca="1" ref="C8" ca="1">_FV(A8,"P/E",TRUE)</f>
        <v>37.117100000000001</v>
      </c>
      <c r="D8" s="38">
        <v>8.33</v>
      </c>
      <c r="E8" s="38">
        <v>6.7</v>
      </c>
      <c r="F8" s="1"/>
      <c r="G8" s="1"/>
      <c r="H8" s="52"/>
      <c r="I8" s="53"/>
      <c r="J8" s="53"/>
      <c r="K8" s="53"/>
      <c r="L8" s="53"/>
    </row>
    <row r="9" spans="1:14" x14ac:dyDescent="0.3">
      <c r="A9" s="28" t="e" vm="12">
        <v>#VALUE!</v>
      </c>
      <c r="B9" s="38">
        <v>5.98</v>
      </c>
      <c r="C9" s="38" cm="1">
        <f t="array" aca="1" ref="C9" ca="1">_FV(A9,"P/E",TRUE)</f>
        <v>11.9771</v>
      </c>
      <c r="D9" s="38">
        <v>0.96</v>
      </c>
      <c r="E9" s="38">
        <v>1.29</v>
      </c>
      <c r="F9" s="1"/>
      <c r="G9" s="1"/>
      <c r="H9" s="52"/>
      <c r="I9" s="3"/>
      <c r="J9" s="3"/>
      <c r="K9" s="3"/>
      <c r="L9" s="3"/>
    </row>
    <row r="10" spans="1:14" x14ac:dyDescent="0.3">
      <c r="A10" s="28" t="e" vm="13">
        <v>#VALUE!</v>
      </c>
      <c r="B10" s="38">
        <v>10.74</v>
      </c>
      <c r="C10" s="38">
        <v>15.53</v>
      </c>
      <c r="D10" s="38">
        <v>1.97</v>
      </c>
      <c r="E10" s="38">
        <v>2.63</v>
      </c>
      <c r="F10" s="1"/>
      <c r="G10" s="1"/>
      <c r="H10" s="52"/>
      <c r="I10" s="3"/>
      <c r="J10" s="3"/>
      <c r="K10" s="3"/>
      <c r="L10" s="3"/>
    </row>
    <row r="11" spans="1:14" x14ac:dyDescent="0.3">
      <c r="A11" s="28" t="e" vm="14">
        <v>#VALUE!</v>
      </c>
      <c r="B11" s="38">
        <v>19.71</v>
      </c>
      <c r="C11" s="38" cm="1">
        <f t="array" aca="1" ref="C11" ca="1">_FV(A11,"P/E",TRUE)</f>
        <v>22.7044</v>
      </c>
      <c r="D11" s="38">
        <v>4.8600000000000003</v>
      </c>
      <c r="E11" s="38">
        <v>8.41</v>
      </c>
      <c r="F11" s="1"/>
      <c r="G11" s="1"/>
      <c r="H11" s="52"/>
      <c r="I11" s="3"/>
      <c r="J11" s="3"/>
      <c r="K11" s="3"/>
      <c r="L11" s="3"/>
    </row>
    <row r="12" spans="1:14" x14ac:dyDescent="0.3">
      <c r="A12" s="28" t="e" vm="15">
        <v>#VALUE!</v>
      </c>
      <c r="B12" s="38">
        <v>13.6</v>
      </c>
      <c r="C12" s="38" cm="1">
        <f t="array" aca="1" ref="C12" ca="1">_FV(A12,"P/E",TRUE)</f>
        <v>15.283300000000001</v>
      </c>
      <c r="D12" s="38">
        <v>1.38</v>
      </c>
      <c r="E12" s="38">
        <v>2.88</v>
      </c>
      <c r="F12" s="1"/>
      <c r="G12" s="1"/>
      <c r="H12" s="54" t="s">
        <v>0</v>
      </c>
      <c r="I12" s="55" t="s">
        <v>94</v>
      </c>
      <c r="J12" s="55" t="s">
        <v>95</v>
      </c>
      <c r="K12" s="55" t="s">
        <v>96</v>
      </c>
      <c r="L12" s="55" t="s">
        <v>134</v>
      </c>
      <c r="M12" s="55" t="s">
        <v>135</v>
      </c>
      <c r="N12" s="55" t="s">
        <v>136</v>
      </c>
    </row>
    <row r="13" spans="1:14" x14ac:dyDescent="0.3">
      <c r="A13" s="28" t="e" vm="16">
        <v>#VALUE!</v>
      </c>
      <c r="B13" s="38">
        <v>14.82</v>
      </c>
      <c r="C13" s="38" cm="1">
        <f t="array" aca="1" ref="C13" ca="1">_FV(A13,"P/E",TRUE)</f>
        <v>26.5398</v>
      </c>
      <c r="D13" s="38">
        <v>3.75</v>
      </c>
      <c r="E13" s="38">
        <v>6.26</v>
      </c>
      <c r="F13" s="1"/>
      <c r="G13" s="1"/>
      <c r="H13" s="52" t="str">
        <f>H3</f>
        <v>Accenture</v>
      </c>
      <c r="I13" s="56">
        <f ca="1">AVERAGE(I3:L3)</f>
        <v>413.03529718365814</v>
      </c>
      <c r="J13" s="21">
        <f ca="1">'Company Profile'!B3</f>
        <v>244.16</v>
      </c>
      <c r="K13" s="48">
        <f ca="1">(Table24[[#This Row],[Target Price]]-J13)/J13</f>
        <v>0.69165832725941245</v>
      </c>
      <c r="L13" s="21">
        <f ca="1">Table24[[#This Row],[Target Price]]*M3</f>
        <v>256139.25485664688</v>
      </c>
      <c r="M13" s="21">
        <f ca="1">Table24[[#This Row],[CMP]]*M3</f>
        <v>151413.113824</v>
      </c>
      <c r="N13" s="21">
        <f ca="1">Table24[[#This Row],[Mcap (TP)]]-M13</f>
        <v>104726.14103264688</v>
      </c>
    </row>
    <row r="14" spans="1:14" x14ac:dyDescent="0.3">
      <c r="A14" s="28" t="e" vm="17">
        <v>#VALUE!</v>
      </c>
      <c r="B14" s="38">
        <v>8.06</v>
      </c>
      <c r="C14" s="38" cm="1">
        <f t="array" aca="1" ref="C14" ca="1">_FV(A14,"P/E",TRUE)</f>
        <v>13.9377</v>
      </c>
      <c r="D14" s="38">
        <v>0.99</v>
      </c>
      <c r="E14" s="38">
        <v>1.91</v>
      </c>
      <c r="F14" s="1"/>
      <c r="G14" s="1"/>
      <c r="H14" s="52" t="str">
        <f t="shared" ref="H14:H17" si="0">H4</f>
        <v>IBM</v>
      </c>
      <c r="I14" s="56">
        <f t="shared" ref="I14:I17" ca="1" si="1">AVERAGE(I4:L4)</f>
        <v>242.05011715650858</v>
      </c>
      <c r="J14" s="21">
        <f ca="1">DCF!J21</f>
        <v>289.86</v>
      </c>
      <c r="K14" s="48">
        <f ca="1">(Table24[[#This Row],[Target Price]]-J14)/J14</f>
        <v>-0.1649412918080847</v>
      </c>
      <c r="L14" s="21">
        <f ca="1">Table24[[#This Row],[Target Price]]*M4</f>
        <v>226252.76467031246</v>
      </c>
      <c r="M14" s="21">
        <f ca="1">Table24[[#This Row],[CMP]]*M4</f>
        <v>270942.345072</v>
      </c>
      <c r="N14" s="21">
        <f ca="1">Table24[[#This Row],[Mcap (TP)]]-M14</f>
        <v>-44689.580401687534</v>
      </c>
    </row>
    <row r="15" spans="1:14" x14ac:dyDescent="0.3">
      <c r="A15" s="28" t="e" vm="2">
        <v>#VALUE!</v>
      </c>
      <c r="B15" s="38">
        <v>19.77</v>
      </c>
      <c r="C15" s="38" cm="1">
        <f t="array" aca="1" ref="C15" ca="1">_FV(A15,"P/E",TRUE)</f>
        <v>35.913800000000002</v>
      </c>
      <c r="D15" s="38">
        <v>3.28</v>
      </c>
      <c r="E15" s="38">
        <v>8.33</v>
      </c>
      <c r="F15" s="1"/>
      <c r="G15" s="1"/>
      <c r="H15" s="52" t="str">
        <f t="shared" si="0"/>
        <v>Alphabet</v>
      </c>
      <c r="I15" s="56">
        <f t="shared" ca="1" si="1"/>
        <v>212.56583717201357</v>
      </c>
      <c r="J15" s="21">
        <f ca="1">'Company Profile'!D3</f>
        <v>300.64</v>
      </c>
      <c r="K15" s="48">
        <f ca="1">(Table24[[#This Row],[Target Price]]-J15)/J15</f>
        <v>-0.29295557087542051</v>
      </c>
      <c r="L15" s="21">
        <f ca="1">Table24[[#This Row],[Target Price]]*M5</f>
        <v>2565031.957154688</v>
      </c>
      <c r="M15" s="21">
        <f ca="1">Table24[[#This Row],[CMP]]*M5</f>
        <v>3627822.88</v>
      </c>
      <c r="N15" s="21">
        <f ca="1">Table24[[#This Row],[Mcap (TP)]]-M15</f>
        <v>-1062790.9228453119</v>
      </c>
    </row>
    <row r="16" spans="1:14" x14ac:dyDescent="0.3">
      <c r="A16" s="28" t="e" vm="1">
        <v>#VALUE!</v>
      </c>
      <c r="B16" s="38">
        <v>19.52</v>
      </c>
      <c r="C16" s="38" cm="1">
        <f t="array" aca="1" ref="C16" ca="1">_FV(A16,"P/E",TRUE)</f>
        <v>20.102399999999999</v>
      </c>
      <c r="D16" s="38">
        <v>3.34</v>
      </c>
      <c r="E16" s="38">
        <v>7.48</v>
      </c>
      <c r="F16" s="1"/>
      <c r="G16" s="1"/>
      <c r="H16" s="52" t="str">
        <f t="shared" si="0"/>
        <v>Microsoft</v>
      </c>
      <c r="I16" s="56">
        <f t="shared" ca="1" si="1"/>
        <v>337.8722973640364</v>
      </c>
      <c r="J16" s="21">
        <f ca="1">'Company Profile'!E3</f>
        <v>493.82499999999999</v>
      </c>
      <c r="K16" s="48">
        <f ca="1">(Table24[[#This Row],[Target Price]]-J16)/J16</f>
        <v>-0.3158056044873459</v>
      </c>
      <c r="L16" s="21">
        <f ca="1">Table24[[#This Row],[Target Price]]*M6</f>
        <v>2511194.291865625</v>
      </c>
      <c r="M16" s="21">
        <f ca="1">Table24[[#This Row],[CMP]]*M6</f>
        <v>3670293.5720250001</v>
      </c>
      <c r="N16" s="21">
        <f ca="1">Table24[[#This Row],[Mcap (TP)]]-M16</f>
        <v>-1159099.2801593752</v>
      </c>
    </row>
    <row r="17" spans="1:14" x14ac:dyDescent="0.3">
      <c r="A17" s="28" t="e" vm="18">
        <v>#VALUE!</v>
      </c>
      <c r="B17" s="38">
        <v>5.9</v>
      </c>
      <c r="C17" s="38" cm="1">
        <f t="array" aca="1" ref="C17" ca="1">_FV(A17,"P/E",TRUE)</f>
        <v>9.5177999999999994</v>
      </c>
      <c r="D17" s="38">
        <v>0.54</v>
      </c>
      <c r="E17" s="38">
        <v>1.51</v>
      </c>
      <c r="F17" s="1"/>
      <c r="G17" s="1"/>
      <c r="H17" s="52" t="str">
        <f t="shared" si="0"/>
        <v>Oracle</v>
      </c>
      <c r="I17" s="56">
        <f t="shared" ca="1" si="1"/>
        <v>111.13917679166374</v>
      </c>
      <c r="J17" s="21">
        <f ca="1">'Company Profile'!F3</f>
        <v>227.38499999999999</v>
      </c>
      <c r="K17" s="48">
        <f ca="1">(Table24[[#This Row],[Target Price]]-J17)/J17</f>
        <v>-0.51122907495365244</v>
      </c>
      <c r="L17" s="21">
        <f ca="1">Table24[[#This Row],[Target Price]]*M7</f>
        <v>316834.78722343745</v>
      </c>
      <c r="M17" s="21">
        <f ca="1">Table24[[#This Row],[CMP]]*M7</f>
        <v>648227.56630499999</v>
      </c>
      <c r="N17" s="21">
        <f ca="1">Table24[[#This Row],[Mcap (TP)]]-M17</f>
        <v>-331392.77908156253</v>
      </c>
    </row>
    <row r="18" spans="1:14" x14ac:dyDescent="0.3">
      <c r="A18" s="57"/>
      <c r="B18" s="58"/>
      <c r="C18" s="58"/>
      <c r="D18" s="58"/>
      <c r="E18" s="59"/>
      <c r="F18" s="1"/>
      <c r="G18" s="1"/>
      <c r="H18" s="52"/>
      <c r="I18" s="3"/>
      <c r="J18" s="3"/>
      <c r="K18" s="3"/>
      <c r="L18" s="3"/>
    </row>
    <row r="19" spans="1:14" x14ac:dyDescent="0.3">
      <c r="A19" s="36" t="s">
        <v>97</v>
      </c>
      <c r="B19" s="60">
        <f>AVERAGE(B2:B17)</f>
        <v>18.140625</v>
      </c>
      <c r="C19" s="60">
        <f t="shared" ref="C19:E19" ca="1" si="2">AVERAGE(C2:C17)</f>
        <v>25.378506250000001</v>
      </c>
      <c r="D19" s="60">
        <f t="shared" si="2"/>
        <v>5.1912500000000001</v>
      </c>
      <c r="E19" s="60">
        <f t="shared" si="2"/>
        <v>11.831874999999997</v>
      </c>
      <c r="F19" s="1"/>
      <c r="G19" s="1"/>
      <c r="H19" s="52"/>
      <c r="I19" s="3"/>
      <c r="J19" s="3"/>
      <c r="K19" s="3"/>
      <c r="L19" s="3"/>
    </row>
    <row r="20" spans="1:14" x14ac:dyDescent="0.3">
      <c r="A20" s="1"/>
      <c r="B20" s="3"/>
      <c r="C20" s="3"/>
      <c r="D20" s="3"/>
      <c r="E20" s="3"/>
      <c r="F20" s="1"/>
      <c r="G20" s="1"/>
      <c r="H20" s="52"/>
      <c r="I20" s="3"/>
      <c r="J20" s="3"/>
      <c r="K20" s="3"/>
      <c r="L20" s="3"/>
    </row>
    <row r="21" spans="1:14" x14ac:dyDescent="0.3">
      <c r="A21" s="61" t="s">
        <v>0</v>
      </c>
      <c r="B21" s="62" t="s">
        <v>98</v>
      </c>
      <c r="C21" s="62" t="s">
        <v>99</v>
      </c>
      <c r="D21" s="62" t="s">
        <v>17</v>
      </c>
      <c r="E21" s="62" t="s">
        <v>100</v>
      </c>
      <c r="F21" s="2"/>
      <c r="G21" s="2"/>
      <c r="H21" s="63"/>
      <c r="I21" s="64"/>
      <c r="J21" s="64"/>
      <c r="K21" s="64"/>
      <c r="L21" s="64"/>
    </row>
    <row r="22" spans="1:14" x14ac:dyDescent="0.3">
      <c r="A22" s="6" t="str">
        <f>H3</f>
        <v>Accenture</v>
      </c>
      <c r="B22" s="65">
        <f>Financials!F6+Financials!F7</f>
        <v>11763.885000000004</v>
      </c>
      <c r="C22" s="65">
        <f>Financials!F10</f>
        <v>5088.7140000000027</v>
      </c>
      <c r="D22" s="65">
        <f>Financials!F3</f>
        <v>64896.464</v>
      </c>
      <c r="E22" s="65">
        <f>Table2[[#This Row],[2024]]</f>
        <v>29168.248</v>
      </c>
      <c r="F22" s="1"/>
      <c r="G22" s="1"/>
      <c r="H22" s="52"/>
      <c r="I22" s="3"/>
      <c r="J22" s="3"/>
      <c r="K22" s="3"/>
      <c r="L22" s="3"/>
    </row>
    <row r="23" spans="1:14" x14ac:dyDescent="0.3">
      <c r="A23" s="6" t="str">
        <f>H4</f>
        <v>IBM</v>
      </c>
      <c r="B23" s="65">
        <f>Financials!M6+Financials!M7</f>
        <v>12177</v>
      </c>
      <c r="C23" s="65">
        <f>Financials!M10</f>
        <v>1349</v>
      </c>
      <c r="D23" s="65">
        <f>Financials!M3</f>
        <v>62753</v>
      </c>
      <c r="E23" s="65">
        <f>Financials!M22</f>
        <v>27393</v>
      </c>
      <c r="F23" s="1"/>
      <c r="G23" s="1"/>
      <c r="H23" s="52"/>
      <c r="I23" s="3"/>
      <c r="J23" s="3"/>
      <c r="K23" s="3"/>
      <c r="L23" s="3"/>
    </row>
    <row r="24" spans="1:14" x14ac:dyDescent="0.3">
      <c r="A24" s="93" t="s">
        <v>126</v>
      </c>
      <c r="B24" s="94">
        <f>Financials!T6+Financials!T7</f>
        <v>135126</v>
      </c>
      <c r="C24" s="94">
        <f>Financials!T10</f>
        <v>84539</v>
      </c>
      <c r="D24" s="94">
        <f>Financials!T3</f>
        <v>350018</v>
      </c>
      <c r="E24" s="94">
        <f>Financials!T22</f>
        <v>325084</v>
      </c>
    </row>
    <row r="25" spans="1:14" x14ac:dyDescent="0.3">
      <c r="A25" s="93" t="s">
        <v>127</v>
      </c>
      <c r="B25" s="94">
        <f>Financials!AB6+Financials!AB7</f>
        <v>157780</v>
      </c>
      <c r="C25" s="94">
        <f>Financials!AB10</f>
        <v>65254</v>
      </c>
      <c r="D25" s="94">
        <f>Financials!AB3</f>
        <v>281724</v>
      </c>
      <c r="E25" s="94">
        <f>Financials!AB22</f>
        <v>343479</v>
      </c>
    </row>
    <row r="26" spans="1:14" x14ac:dyDescent="0.3">
      <c r="A26" s="93" t="s">
        <v>128</v>
      </c>
      <c r="B26" s="94">
        <f>Financials!AJ6+Financials!AJ7</f>
        <v>22352</v>
      </c>
      <c r="C26" s="94">
        <f>Financials!AJ10</f>
        <v>12443</v>
      </c>
      <c r="D26" s="94">
        <f>Financials!AJ3</f>
        <v>57399</v>
      </c>
      <c r="E26" s="94">
        <f>Financials!AJ22</f>
        <v>20969</v>
      </c>
    </row>
  </sheetData>
  <conditionalFormatting sqref="I8:L8">
    <cfRule type="cellIs" dxfId="5" priority="5" operator="lessThan">
      <formula>0</formula>
    </cfRule>
    <cfRule type="cellIs" dxfId="4" priority="6" operator="greaterThan">
      <formula>0</formula>
    </cfRule>
  </conditionalFormatting>
  <conditionalFormatting sqref="K13:K17">
    <cfRule type="cellIs" dxfId="3" priority="3" operator="greaterThan">
      <formula>0</formula>
    </cfRule>
    <cfRule type="cellIs" dxfId="2" priority="4" operator="lessThan">
      <formula>0</formula>
    </cfRule>
  </conditionalFormatting>
  <conditionalFormatting sqref="N13:N17">
    <cfRule type="cellIs" dxfId="1" priority="1" operator="lessThan">
      <formula>0</formula>
    </cfRule>
    <cfRule type="cellIs" dxfId="0" priority="2" operator="greaterThan">
      <formula>0</formula>
    </cfRule>
  </conditionalFormatting>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9651C-A0BE-439F-92EE-B4D530B8DF38}">
  <dimension ref="A1:AF73"/>
  <sheetViews>
    <sheetView topLeftCell="A20" workbookViewId="0">
      <selection activeCell="A68" sqref="A68:D73"/>
    </sheetView>
  </sheetViews>
  <sheetFormatPr defaultRowHeight="14.4" x14ac:dyDescent="0.3"/>
  <cols>
    <col min="1" max="1" width="7.6640625" style="1" bestFit="1" customWidth="1"/>
    <col min="2" max="2" width="16.88671875" style="3" bestFit="1" customWidth="1"/>
    <col min="3" max="3" width="9.109375" style="3" bestFit="1" customWidth="1"/>
    <col min="4" max="4" width="10.88671875" style="3" bestFit="1" customWidth="1"/>
    <col min="5" max="5" width="8.88671875" style="1"/>
    <col min="6" max="6" width="15.5546875" style="1" customWidth="1"/>
    <col min="7" max="15" width="15.5546875" style="3" customWidth="1"/>
    <col min="18" max="22" width="9.88671875" bestFit="1" customWidth="1"/>
    <col min="23" max="23" width="10.88671875" bestFit="1" customWidth="1"/>
  </cols>
  <sheetData>
    <row r="1" spans="1:32" ht="28.8" x14ac:dyDescent="0.3">
      <c r="A1" s="2" t="s">
        <v>9</v>
      </c>
      <c r="B1" s="64" t="s">
        <v>11</v>
      </c>
      <c r="C1" s="64" t="s">
        <v>0</v>
      </c>
      <c r="D1" s="64" t="s">
        <v>80</v>
      </c>
      <c r="E1" s="2"/>
      <c r="F1" s="2" t="s">
        <v>0</v>
      </c>
      <c r="G1" s="64" t="s">
        <v>103</v>
      </c>
      <c r="H1" s="64" t="s">
        <v>104</v>
      </c>
      <c r="I1" s="64" t="s">
        <v>105</v>
      </c>
      <c r="J1" s="64" t="s">
        <v>106</v>
      </c>
      <c r="K1" s="64" t="s">
        <v>37</v>
      </c>
      <c r="L1" s="64" t="s">
        <v>76</v>
      </c>
      <c r="M1" s="64" t="s">
        <v>107</v>
      </c>
      <c r="N1" s="64" t="s">
        <v>108</v>
      </c>
      <c r="O1" s="64" t="s">
        <v>109</v>
      </c>
      <c r="Q1" s="73" t="s">
        <v>11</v>
      </c>
      <c r="R1" s="73">
        <v>2020</v>
      </c>
      <c r="S1" s="73">
        <v>2021</v>
      </c>
      <c r="T1" s="73">
        <v>2022</v>
      </c>
      <c r="U1" s="73">
        <v>2023</v>
      </c>
      <c r="V1" s="73">
        <v>2024</v>
      </c>
      <c r="W1" s="1"/>
      <c r="X1" s="1"/>
      <c r="Y1" s="1"/>
      <c r="Z1" s="1"/>
      <c r="AA1" s="3"/>
      <c r="AB1" s="3"/>
      <c r="AC1" s="3"/>
      <c r="AD1" s="3"/>
      <c r="AE1" s="3"/>
      <c r="AF1" s="3"/>
    </row>
    <row r="2" spans="1:32" x14ac:dyDescent="0.3">
      <c r="A2" s="1" t="s">
        <v>110</v>
      </c>
      <c r="B2" s="3" t="s">
        <v>111</v>
      </c>
      <c r="C2" s="3" t="str">
        <f>Relative!H13</f>
        <v>Accenture</v>
      </c>
      <c r="D2" s="56">
        <f>AVERAGE(Financials!B27:F27)</f>
        <v>588.3886</v>
      </c>
      <c r="F2" s="1" t="str">
        <f>C2</f>
        <v>Accenture</v>
      </c>
      <c r="G2" s="56">
        <f>Financials!F6-Financials!B6</f>
        <v>3082.2030000000077</v>
      </c>
      <c r="H2" s="21">
        <f>(65395-18976)-(43176-15709)</f>
        <v>18952</v>
      </c>
      <c r="I2" s="48">
        <f>G2/H2</f>
        <v>0.16263207049387968</v>
      </c>
      <c r="J2" s="56">
        <f>DCF!G4-DCF!B4</f>
        <v>4771.2597106703906</v>
      </c>
      <c r="K2" s="56">
        <f>D8</f>
        <v>880.77891341036684</v>
      </c>
      <c r="L2" s="56">
        <f>AVERAGE(DCF!B6:G6)</f>
        <v>3054.2558590812623</v>
      </c>
      <c r="M2" s="21">
        <f>IF(K2-L2&lt;=0,K2,MAX(K2-L2,0.1*K2))</f>
        <v>880.77891341036684</v>
      </c>
      <c r="N2" s="48">
        <f>J2/M2</f>
        <v>5.4170912110010923</v>
      </c>
      <c r="O2" s="67">
        <f>MIN(MAX(N2,0.18),0.5)</f>
        <v>0.5</v>
      </c>
      <c r="Q2" s="6" t="s">
        <v>17</v>
      </c>
      <c r="R2" s="72" cm="1">
        <f t="array" ref="R2:V2">Financials!B3:F3</f>
        <v>44327.038999999997</v>
      </c>
      <c r="S2" s="72">
        <v>50533.389000000003</v>
      </c>
      <c r="T2" s="72">
        <v>61594.305</v>
      </c>
      <c r="U2" s="72">
        <v>64111.745000000003</v>
      </c>
      <c r="V2" s="72">
        <v>64896.464</v>
      </c>
      <c r="W2" s="1"/>
      <c r="X2" s="1"/>
      <c r="Y2" s="1"/>
      <c r="Z2" s="1"/>
      <c r="AA2" s="3"/>
      <c r="AB2" s="3"/>
      <c r="AC2" s="3"/>
      <c r="AD2" s="3"/>
      <c r="AE2" s="3"/>
      <c r="AF2" s="3"/>
    </row>
    <row r="3" spans="1:32" x14ac:dyDescent="0.3">
      <c r="A3" s="1" t="s">
        <v>110</v>
      </c>
      <c r="B3" s="3" t="s">
        <v>111</v>
      </c>
      <c r="C3" s="3" t="str">
        <f>Relative!H14</f>
        <v>IBM</v>
      </c>
      <c r="D3" s="56">
        <f>AVERAGE(Financials!I27:M27)</f>
        <v>1663.8</v>
      </c>
      <c r="F3" s="1" t="str">
        <f t="shared" ref="F3:F6" si="0">C3</f>
        <v>IBM</v>
      </c>
      <c r="G3" s="56">
        <f>Financials!M6-Financials!I6</f>
        <v>3650</v>
      </c>
      <c r="H3" s="21">
        <f>(137175-33142)-(135241-34122)</f>
        <v>2914</v>
      </c>
      <c r="I3" s="48">
        <f>G3/H3</f>
        <v>1.2525737817433082</v>
      </c>
      <c r="J3" s="56">
        <f>DCF!O4-DCF!J4</f>
        <v>891.64075299269643</v>
      </c>
      <c r="K3" s="56">
        <f t="shared" ref="K3:K6" si="1">D9</f>
        <v>1920.8309254901542</v>
      </c>
      <c r="L3" s="56">
        <f>AVERAGE(DCF!J6:O6)</f>
        <v>6228.9044208375881</v>
      </c>
      <c r="M3" s="21">
        <f>IF(K3-L3&lt;=0,K3,MAX(K3-L3,0.1*K3))</f>
        <v>1920.8309254901542</v>
      </c>
      <c r="N3" s="48">
        <f>J3/M3</f>
        <v>0.46419533398816409</v>
      </c>
      <c r="O3" s="67">
        <f>MIN(MAX(N3,0.18),0.5)</f>
        <v>0.46419533398816409</v>
      </c>
      <c r="Q3" s="6" t="s">
        <v>121</v>
      </c>
      <c r="R3" s="72" cm="1">
        <f t="array" ref="R3:V3">Table1[[#This Row],[2020]:[2024]]</f>
        <v>44327.038999999997</v>
      </c>
      <c r="S3" s="72">
        <v>50533.389000000003</v>
      </c>
      <c r="T3" s="72">
        <v>61594.305</v>
      </c>
      <c r="U3" s="72">
        <v>64111.745000000003</v>
      </c>
      <c r="V3" s="72">
        <v>64896.464</v>
      </c>
      <c r="W3" s="1"/>
      <c r="X3" s="1"/>
      <c r="Y3" s="1"/>
      <c r="Z3" s="1"/>
      <c r="AA3" s="3"/>
      <c r="AB3" s="3"/>
      <c r="AC3" s="3"/>
      <c r="AD3" s="3"/>
      <c r="AE3" s="3"/>
      <c r="AF3" s="3"/>
    </row>
    <row r="4" spans="1:32" x14ac:dyDescent="0.3">
      <c r="A4" s="1" t="s">
        <v>110</v>
      </c>
      <c r="B4" s="3" t="s">
        <v>111</v>
      </c>
      <c r="C4" s="3" t="s">
        <v>126</v>
      </c>
      <c r="D4" s="56">
        <f>AVERAGE(Financials!P27:T27)</f>
        <v>32638.400000000001</v>
      </c>
      <c r="F4" s="1" t="str">
        <f t="shared" si="0"/>
        <v>Alphabet</v>
      </c>
      <c r="G4" s="56">
        <f>Financials!T6-Financials!P6</f>
        <v>71733</v>
      </c>
      <c r="H4" s="56">
        <f>(Financials!T15-Financials!T20)-(Financials!P15-Financials!P20)</f>
        <v>98352</v>
      </c>
      <c r="I4" s="48">
        <f t="shared" ref="I4:I6" si="2">G4/H4</f>
        <v>0.7293496827720839</v>
      </c>
      <c r="J4" s="56">
        <f>Table933[[#This Row],[2030]]-Table933[[#This Row],[2025]]</f>
        <v>89074.366943434114</v>
      </c>
      <c r="K4" s="56">
        <f t="shared" si="1"/>
        <v>64371.872216896132</v>
      </c>
      <c r="L4" s="56">
        <f>AVERAGE(DCF!R6:W6)</f>
        <v>27344.79200997531</v>
      </c>
      <c r="M4" s="21">
        <f t="shared" ref="M4:M6" si="3">IF(K4-L4&lt;=0,K4,MAX(K4-L4,0.1*K4))</f>
        <v>37027.080206920822</v>
      </c>
      <c r="N4" s="48">
        <f t="shared" ref="N4:N6" si="4">J4/M4</f>
        <v>2.4056546302234496</v>
      </c>
      <c r="O4" s="67">
        <f t="shared" ref="O4:O6" si="5">MIN(MAX(N4,0.18),0.5)</f>
        <v>0.5</v>
      </c>
      <c r="Q4" s="6" t="s">
        <v>99</v>
      </c>
      <c r="R4" s="72" cm="1">
        <f t="array" ref="R4:V4">Financials!B10:F10</f>
        <v>3118.4309999999959</v>
      </c>
      <c r="S4" s="72">
        <v>3900.2240000000038</v>
      </c>
      <c r="T4" s="72">
        <v>5024.4379999999965</v>
      </c>
      <c r="U4" s="72">
        <v>4345.4770000000026</v>
      </c>
      <c r="V4" s="72">
        <v>5088.7140000000027</v>
      </c>
      <c r="W4" s="1"/>
      <c r="X4" s="1"/>
      <c r="Y4" s="1"/>
      <c r="Z4" s="1"/>
      <c r="AA4" s="3"/>
      <c r="AB4" s="3"/>
      <c r="AC4" s="3"/>
      <c r="AD4" s="3"/>
      <c r="AE4" s="3"/>
      <c r="AF4" s="3"/>
    </row>
    <row r="5" spans="1:32" x14ac:dyDescent="0.3">
      <c r="A5" s="1" t="s">
        <v>110</v>
      </c>
      <c r="B5" s="3" t="s">
        <v>111</v>
      </c>
      <c r="C5" s="3" t="s">
        <v>127</v>
      </c>
      <c r="D5" s="56">
        <f>AVERAGE(Financials!X27:AB27)</f>
        <v>36328.6</v>
      </c>
      <c r="F5" s="1" t="str">
        <f t="shared" si="0"/>
        <v>Microsoft</v>
      </c>
      <c r="G5" s="56">
        <f>Financials!AB6-Financials!X6</f>
        <v>52525</v>
      </c>
      <c r="H5" s="56">
        <f>(Financials!AB15-Financials!AB20)-(Financials!X15-Financials!X20)</f>
        <v>232663</v>
      </c>
      <c r="I5" s="48">
        <f t="shared" si="2"/>
        <v>0.2257557067518256</v>
      </c>
      <c r="J5" s="56">
        <f>DCF!AE4-DCF!Z4</f>
        <v>98257.34959489535</v>
      </c>
      <c r="K5" s="56">
        <f t="shared" si="1"/>
        <v>68839.596987426077</v>
      </c>
      <c r="L5" s="56">
        <f>AVERAGE(DCF!Z6:AE6)</f>
        <v>36551.766986045615</v>
      </c>
      <c r="M5" s="21">
        <f t="shared" si="3"/>
        <v>32287.830001380462</v>
      </c>
      <c r="N5" s="48">
        <f t="shared" si="4"/>
        <v>3.0431698132297638</v>
      </c>
      <c r="O5" s="67">
        <f t="shared" si="5"/>
        <v>0.5</v>
      </c>
      <c r="Q5" s="1"/>
      <c r="R5" s="1"/>
      <c r="S5" s="1"/>
      <c r="T5" s="1"/>
      <c r="U5" s="1"/>
      <c r="V5" s="1"/>
      <c r="W5" s="1"/>
      <c r="X5" s="1"/>
      <c r="Y5" s="1"/>
      <c r="Z5" s="1"/>
      <c r="AA5" s="3"/>
      <c r="AB5" s="3"/>
      <c r="AC5" s="3"/>
      <c r="AD5" s="3"/>
      <c r="AE5" s="3"/>
      <c r="AF5" s="3"/>
    </row>
    <row r="6" spans="1:32" x14ac:dyDescent="0.3">
      <c r="A6" s="1" t="s">
        <v>110</v>
      </c>
      <c r="B6" s="3" t="s">
        <v>111</v>
      </c>
      <c r="C6" s="3" t="s">
        <v>128</v>
      </c>
      <c r="D6" s="56">
        <f>AVERAGE(Financials!AF27:AJ27)</f>
        <v>8684.4</v>
      </c>
      <c r="F6" s="1" t="str">
        <f t="shared" si="0"/>
        <v>Oracle</v>
      </c>
      <c r="G6" s="56">
        <f>Financials!$AJ6-Financials!$AF6</f>
        <v>3171</v>
      </c>
      <c r="H6" s="56">
        <f>(Financials!AJ15-Financials!AJ20)-(Financials!AF15-Financials!AF20)</f>
        <v>28775</v>
      </c>
      <c r="I6" s="48">
        <f t="shared" si="2"/>
        <v>0.11019982623805387</v>
      </c>
      <c r="J6" s="56">
        <f>DCF!AM4-DCF!AH4</f>
        <v>8774.228691338667</v>
      </c>
      <c r="K6" s="56">
        <f t="shared" si="1"/>
        <v>8821.1780924586801</v>
      </c>
      <c r="L6" s="21">
        <f>AVERAGE(Table93337[[#This Row],[2025]:[2030]])</f>
        <v>4097.6195113801541</v>
      </c>
      <c r="M6" s="21">
        <f t="shared" si="3"/>
        <v>4723.558581078526</v>
      </c>
      <c r="N6" s="48">
        <f t="shared" si="4"/>
        <v>1.8575462843810555</v>
      </c>
      <c r="O6" s="67">
        <f t="shared" si="5"/>
        <v>0.5</v>
      </c>
      <c r="Q6" s="104" t="s">
        <v>11</v>
      </c>
      <c r="R6" s="73">
        <v>2020</v>
      </c>
      <c r="S6" s="73">
        <v>2021</v>
      </c>
      <c r="T6" s="73">
        <v>2022</v>
      </c>
      <c r="U6" s="73">
        <v>2023</v>
      </c>
      <c r="V6" s="73">
        <v>2024</v>
      </c>
      <c r="W6" s="1"/>
      <c r="X6" s="1"/>
      <c r="Y6" s="1"/>
      <c r="Z6" s="73" t="s">
        <v>0</v>
      </c>
      <c r="AA6" s="74" t="s">
        <v>67</v>
      </c>
      <c r="AB6" s="74" t="s">
        <v>122</v>
      </c>
      <c r="AC6" s="74" t="s">
        <v>60</v>
      </c>
      <c r="AD6" s="74" t="s">
        <v>123</v>
      </c>
      <c r="AE6" s="74" t="s">
        <v>2</v>
      </c>
      <c r="AF6" s="74" t="s">
        <v>90</v>
      </c>
    </row>
    <row r="7" spans="1:32" x14ac:dyDescent="0.3">
      <c r="A7" s="18" t="s">
        <v>110</v>
      </c>
      <c r="B7" s="68" t="s">
        <v>111</v>
      </c>
      <c r="C7" s="68" t="s">
        <v>97</v>
      </c>
      <c r="D7" s="79">
        <f>AVERAGE(D2:D6)</f>
        <v>15980.717719999997</v>
      </c>
      <c r="H7" s="68" t="s">
        <v>97</v>
      </c>
      <c r="I7" s="70">
        <f>AVERAGE(I2:I6)</f>
        <v>0.4961022135998302</v>
      </c>
      <c r="J7" s="68"/>
      <c r="K7" s="69"/>
      <c r="L7" s="68"/>
      <c r="M7" s="68" t="s">
        <v>97</v>
      </c>
      <c r="N7" s="70">
        <f>AVERAGE(N2:N6)</f>
        <v>2.6375314545647051</v>
      </c>
      <c r="O7" s="70">
        <f>AVERAGE(O2:O6)</f>
        <v>0.4928390667976329</v>
      </c>
      <c r="Q7" s="6" t="s">
        <v>17</v>
      </c>
      <c r="R7" s="72" cm="1">
        <f t="array" ref="R7:V7">Financials!I3:M3</f>
        <v>55179</v>
      </c>
      <c r="S7" s="72">
        <v>57350</v>
      </c>
      <c r="T7" s="72">
        <v>60530</v>
      </c>
      <c r="U7" s="72">
        <v>61860</v>
      </c>
      <c r="V7" s="72">
        <v>62753</v>
      </c>
      <c r="W7" s="1"/>
      <c r="X7" s="1"/>
      <c r="Y7" s="1"/>
      <c r="Z7" s="6" t="s">
        <v>40</v>
      </c>
      <c r="AA7" s="8">
        <f ca="1">'Assumptions &amp; WACC'!B21</f>
        <v>0.10202531052623751</v>
      </c>
      <c r="AB7" s="8">
        <f>'Assumptions &amp; WACC'!$B$25</f>
        <v>2.5000000000000001E-2</v>
      </c>
      <c r="AC7" s="8">
        <f ca="1">'Assumptions &amp; WACC'!B12</f>
        <v>0.10176840000000001</v>
      </c>
      <c r="AD7" s="65">
        <f ca="1">DCF!B20</f>
        <v>243.84857237768099</v>
      </c>
      <c r="AE7" s="65">
        <f ca="1">DCF!B21</f>
        <v>244.16</v>
      </c>
      <c r="AF7" s="49">
        <f ca="1">(AD7-AE7)/AE7</f>
        <v>-1.275506316837327E-3</v>
      </c>
    </row>
    <row r="8" spans="1:32" x14ac:dyDescent="0.3">
      <c r="A8" s="1" t="s">
        <v>112</v>
      </c>
      <c r="B8" s="3" t="s">
        <v>111</v>
      </c>
      <c r="C8" s="3" t="str">
        <f t="shared" ref="C8:D23" si="6">C2</f>
        <v>Accenture</v>
      </c>
      <c r="D8" s="76">
        <f>AVERAGE(DCF!B7:G7)</f>
        <v>880.77891341036684</v>
      </c>
      <c r="H8" s="48"/>
      <c r="Q8" s="6" t="s">
        <v>121</v>
      </c>
      <c r="R8" s="72" cm="1">
        <f t="array" ref="R8:V8">Financials!I6:M6</f>
        <v>3860</v>
      </c>
      <c r="S8" s="72">
        <v>5991</v>
      </c>
      <c r="T8" s="72">
        <v>2373</v>
      </c>
      <c r="U8" s="72">
        <v>10297</v>
      </c>
      <c r="V8" s="72">
        <v>7510</v>
      </c>
      <c r="W8" s="1"/>
      <c r="X8" s="1"/>
      <c r="Y8" s="1"/>
      <c r="Z8" s="6" t="s">
        <v>41</v>
      </c>
      <c r="AA8" s="8">
        <f ca="1">'Assumptions &amp; WACC'!C21</f>
        <v>6.5384256171350547E-2</v>
      </c>
      <c r="AB8" s="8">
        <f>'Assumptions &amp; WACC'!$B$25</f>
        <v>2.5000000000000001E-2</v>
      </c>
      <c r="AC8" s="8">
        <f ca="1">'Assumptions &amp; WACC'!C12</f>
        <v>7.4696399999999996E-2</v>
      </c>
      <c r="AD8" s="65">
        <f ca="1">DCF!J20</f>
        <v>200.49863283723326</v>
      </c>
      <c r="AE8" s="65">
        <f ca="1">DCF!J21</f>
        <v>289.86</v>
      </c>
      <c r="AF8" s="49">
        <f ca="1">(AD8-AE8)/AE8</f>
        <v>-0.30829147575645743</v>
      </c>
    </row>
    <row r="9" spans="1:32" x14ac:dyDescent="0.3">
      <c r="A9" s="1" t="s">
        <v>112</v>
      </c>
      <c r="B9" s="3" t="s">
        <v>111</v>
      </c>
      <c r="C9" s="3" t="str">
        <f t="shared" si="6"/>
        <v>IBM</v>
      </c>
      <c r="D9" s="76">
        <f>AVERAGE(DCF!J7:O7)</f>
        <v>1920.8309254901542</v>
      </c>
      <c r="G9" s="3" t="s">
        <v>43</v>
      </c>
      <c r="H9" s="3" t="s">
        <v>110</v>
      </c>
      <c r="I9" s="3" t="s">
        <v>112</v>
      </c>
      <c r="Q9" s="6" t="s">
        <v>99</v>
      </c>
      <c r="R9" s="72" cm="1">
        <f t="array" ref="R9:V9">Financials!I10:M10</f>
        <v>-2763</v>
      </c>
      <c r="S9" s="72">
        <v>-1705</v>
      </c>
      <c r="T9" s="72">
        <v>-3019</v>
      </c>
      <c r="U9" s="72">
        <v>3118</v>
      </c>
      <c r="V9" s="72">
        <v>1349</v>
      </c>
      <c r="W9" s="1"/>
      <c r="X9" s="1"/>
      <c r="Y9" s="1"/>
      <c r="Z9" s="1"/>
      <c r="AA9" s="3"/>
      <c r="AB9" s="3"/>
      <c r="AC9" s="3"/>
      <c r="AD9" s="3"/>
      <c r="AE9" s="3"/>
      <c r="AF9" s="3"/>
    </row>
    <row r="10" spans="1:32" x14ac:dyDescent="0.3">
      <c r="A10" s="1" t="s">
        <v>112</v>
      </c>
      <c r="B10" s="3" t="s">
        <v>111</v>
      </c>
      <c r="C10" s="3" t="str">
        <f t="shared" si="6"/>
        <v>Alphabet</v>
      </c>
      <c r="D10" s="56">
        <f>AVERAGE(DCF!R7:W7)</f>
        <v>64371.872216896132</v>
      </c>
      <c r="G10" s="3" t="s">
        <v>114</v>
      </c>
      <c r="H10" s="48">
        <f>AVERAGE(-0.035,0.058)</f>
        <v>1.15E-2</v>
      </c>
      <c r="I10" s="48">
        <v>1.7999999999999999E-2</v>
      </c>
      <c r="Q10" s="1"/>
      <c r="R10" s="1"/>
      <c r="S10" s="1"/>
      <c r="T10" s="1"/>
      <c r="U10" s="1"/>
      <c r="V10" s="1"/>
      <c r="W10" s="1"/>
      <c r="X10" s="1"/>
      <c r="Y10" s="1"/>
      <c r="Z10" s="1"/>
      <c r="AA10" s="3"/>
      <c r="AB10" s="3"/>
      <c r="AC10" s="3"/>
      <c r="AD10" s="3"/>
      <c r="AE10" s="3"/>
      <c r="AF10" s="3"/>
    </row>
    <row r="11" spans="1:32" x14ac:dyDescent="0.3">
      <c r="A11" s="1" t="s">
        <v>112</v>
      </c>
      <c r="B11" s="3" t="s">
        <v>111</v>
      </c>
      <c r="C11" s="3" t="str">
        <f t="shared" si="6"/>
        <v>Microsoft</v>
      </c>
      <c r="D11" s="76">
        <f>AVERAGE(DCF!Z7:AE7)</f>
        <v>68839.596987426077</v>
      </c>
      <c r="G11" s="3" t="s">
        <v>114</v>
      </c>
      <c r="H11" s="48">
        <v>2.8000000000000001E-2</v>
      </c>
      <c r="I11" s="48">
        <v>2.5999999999999999E-2</v>
      </c>
      <c r="Q11" s="73" t="s">
        <v>11</v>
      </c>
      <c r="R11" s="73">
        <v>2025</v>
      </c>
      <c r="S11" s="73">
        <v>2026</v>
      </c>
      <c r="T11" s="73">
        <v>2027</v>
      </c>
      <c r="U11" s="73">
        <v>2028</v>
      </c>
      <c r="V11" s="73">
        <v>2029</v>
      </c>
      <c r="W11" s="73">
        <v>2030</v>
      </c>
      <c r="X11" s="1"/>
      <c r="Y11" s="1"/>
      <c r="Z11" s="1"/>
      <c r="AA11" s="3"/>
      <c r="AB11" s="3"/>
      <c r="AC11" s="3"/>
      <c r="AD11" s="3"/>
      <c r="AE11" s="3"/>
      <c r="AF11" s="3"/>
    </row>
    <row r="12" spans="1:32" x14ac:dyDescent="0.3">
      <c r="A12" s="1" t="s">
        <v>112</v>
      </c>
      <c r="B12" s="3" t="s">
        <v>111</v>
      </c>
      <c r="C12" s="3" t="str">
        <f t="shared" si="6"/>
        <v>Oracle</v>
      </c>
      <c r="D12" s="76">
        <f>AVERAGE(DCF!AH7:AM7)</f>
        <v>8821.1780924586801</v>
      </c>
      <c r="G12" s="3" t="s">
        <v>116</v>
      </c>
      <c r="H12" s="67">
        <f>H11-H10</f>
        <v>1.6500000000000001E-2</v>
      </c>
      <c r="I12" s="67">
        <f>I11-I10</f>
        <v>8.0000000000000002E-3</v>
      </c>
      <c r="Q12" s="6" t="s">
        <v>17</v>
      </c>
      <c r="R12" s="72" cm="1">
        <f t="array" ref="R12:W12">DCF!B3:G3</f>
        <v>70037.63886964666</v>
      </c>
      <c r="S12" s="72">
        <v>75586.103711829986</v>
      </c>
      <c r="T12" s="72">
        <v>81574.124521373116</v>
      </c>
      <c r="U12" s="72">
        <v>88036.523443488681</v>
      </c>
      <c r="V12" s="72">
        <v>95010.881275045162</v>
      </c>
      <c r="W12" s="72">
        <v>102537.75600822392</v>
      </c>
      <c r="X12" s="1"/>
      <c r="Y12" s="1"/>
      <c r="Z12" s="1"/>
      <c r="AA12" s="3"/>
      <c r="AB12" s="3"/>
      <c r="AC12" s="3"/>
      <c r="AD12" s="3"/>
      <c r="AE12" s="3"/>
      <c r="AF12" s="3"/>
    </row>
    <row r="13" spans="1:32" x14ac:dyDescent="0.3">
      <c r="A13" s="18" t="s">
        <v>112</v>
      </c>
      <c r="B13" s="68" t="s">
        <v>111</v>
      </c>
      <c r="C13" s="68" t="str">
        <f t="shared" si="6"/>
        <v>Average</v>
      </c>
      <c r="D13" s="22">
        <f>AVERAGE(D8:D12)</f>
        <v>28966.851427136287</v>
      </c>
      <c r="G13" s="68" t="s">
        <v>117</v>
      </c>
      <c r="H13" s="22">
        <f>D61/H12</f>
        <v>57.142902643449958</v>
      </c>
      <c r="I13" s="22">
        <f>D67/I12</f>
        <v>62.30503871143565</v>
      </c>
      <c r="Q13" s="6" t="s">
        <v>121</v>
      </c>
      <c r="R13" s="72" cm="1">
        <f t="array" ref="R13:W13">DCF!B4:G4</f>
        <v>10282.04800445394</v>
      </c>
      <c r="S13" s="72">
        <v>11096.604045735314</v>
      </c>
      <c r="T13" s="72">
        <v>11975.690182976226</v>
      </c>
      <c r="U13" s="72">
        <v>12924.418566935507</v>
      </c>
      <c r="V13" s="72">
        <v>13948.306339020031</v>
      </c>
      <c r="W13" s="72">
        <v>15053.307715124331</v>
      </c>
      <c r="X13" s="1"/>
      <c r="Y13" s="1"/>
      <c r="Z13" s="1"/>
      <c r="AA13" s="3"/>
      <c r="AB13" s="3"/>
      <c r="AC13" s="3"/>
      <c r="AD13" s="3"/>
      <c r="AE13" s="3"/>
      <c r="AF13" s="3"/>
    </row>
    <row r="14" spans="1:32" x14ac:dyDescent="0.3">
      <c r="A14" s="1" t="s">
        <v>112</v>
      </c>
      <c r="B14" s="3" t="s">
        <v>113</v>
      </c>
      <c r="C14" s="3" t="str">
        <f t="shared" si="6"/>
        <v>Accenture</v>
      </c>
      <c r="D14" s="75">
        <f>(DCF!G7/DCF!B7)^(1/6)-1</f>
        <v>6.5594700704505682E-2</v>
      </c>
      <c r="Q14" s="6" t="s">
        <v>99</v>
      </c>
      <c r="R14" s="72" cm="1">
        <f t="array" ref="R14:W14">DCF!B5:G5</f>
        <v>7917.1769634295342</v>
      </c>
      <c r="S14" s="72">
        <v>8544.3851152161915</v>
      </c>
      <c r="T14" s="72">
        <v>9221.2814408916947</v>
      </c>
      <c r="U14" s="72">
        <v>9951.8022965403397</v>
      </c>
      <c r="V14" s="72">
        <v>10740.195881045425</v>
      </c>
      <c r="W14" s="72">
        <v>11591.046940645734</v>
      </c>
      <c r="X14" s="1"/>
      <c r="Y14" s="1"/>
      <c r="Z14" s="1"/>
      <c r="AA14" s="3"/>
      <c r="AB14" s="3"/>
      <c r="AC14" s="3"/>
      <c r="AD14" s="3"/>
      <c r="AE14" s="3"/>
      <c r="AF14" s="3"/>
    </row>
    <row r="15" spans="1:32" x14ac:dyDescent="0.3">
      <c r="A15" s="1" t="s">
        <v>112</v>
      </c>
      <c r="B15" s="3" t="s">
        <v>113</v>
      </c>
      <c r="C15" s="3" t="str">
        <f t="shared" si="6"/>
        <v>IBM</v>
      </c>
      <c r="D15" s="75">
        <f>(DCF!O7/DCF!J7)^(1/6)-1</f>
        <v>2.1668753456487222E-2</v>
      </c>
      <c r="H15" s="48"/>
      <c r="Q15" s="6" t="s">
        <v>78</v>
      </c>
      <c r="R15" s="72" cm="1">
        <f t="array" ref="R15:W15">DCF!B9:G9</f>
        <v>6578.1607851172621</v>
      </c>
      <c r="S15" s="72">
        <v>10070.404761248525</v>
      </c>
      <c r="T15" s="72">
        <v>10868.194173714837</v>
      </c>
      <c r="U15" s="72">
        <v>11729.185409914437</v>
      </c>
      <c r="V15" s="72">
        <v>12658.385393304576</v>
      </c>
      <c r="W15" s="72">
        <v>13661.197701758849</v>
      </c>
      <c r="X15" s="1"/>
      <c r="Y15" s="1"/>
      <c r="Z15" s="1"/>
      <c r="AA15" s="3"/>
      <c r="AB15" s="3"/>
      <c r="AC15" s="3"/>
      <c r="AD15" s="3"/>
      <c r="AE15" s="3"/>
      <c r="AF15" s="3"/>
    </row>
    <row r="16" spans="1:32" x14ac:dyDescent="0.3">
      <c r="A16" s="1" t="s">
        <v>112</v>
      </c>
      <c r="B16" s="3" t="s">
        <v>113</v>
      </c>
      <c r="C16" s="3" t="str">
        <f t="shared" si="6"/>
        <v>Alphabet</v>
      </c>
      <c r="D16" s="67">
        <f>(DCF!W7/DCF!R7)^(1/6)-1</f>
        <v>9.6912088469991442E-2</v>
      </c>
      <c r="H16" s="48"/>
      <c r="Q16" s="1"/>
      <c r="R16" s="1"/>
      <c r="S16" s="1"/>
      <c r="T16" s="1"/>
      <c r="U16" s="1"/>
      <c r="V16" s="1"/>
      <c r="W16" s="1"/>
      <c r="X16" s="1"/>
      <c r="Y16" s="1"/>
      <c r="Z16" s="1"/>
      <c r="AA16" s="3"/>
      <c r="AB16" s="3"/>
      <c r="AC16" s="3"/>
      <c r="AD16" s="3"/>
      <c r="AE16" s="3"/>
      <c r="AF16" s="3"/>
    </row>
    <row r="17" spans="1:32" x14ac:dyDescent="0.3">
      <c r="A17" s="1" t="s">
        <v>112</v>
      </c>
      <c r="B17" s="3" t="s">
        <v>113</v>
      </c>
      <c r="C17" s="3" t="str">
        <f t="shared" si="6"/>
        <v>Microsoft</v>
      </c>
      <c r="D17" s="75">
        <f>(DCF!AE7/DCF!Z7)^(1/6)-1</f>
        <v>9.5759306302686698E-2</v>
      </c>
      <c r="Q17" s="73" t="s">
        <v>11</v>
      </c>
      <c r="R17" s="73">
        <v>2025</v>
      </c>
      <c r="S17" s="73">
        <v>2026</v>
      </c>
      <c r="T17" s="73">
        <v>2027</v>
      </c>
      <c r="U17" s="73">
        <v>2028</v>
      </c>
      <c r="V17" s="73">
        <v>2029</v>
      </c>
      <c r="W17" s="73">
        <v>2030</v>
      </c>
      <c r="X17" s="1"/>
      <c r="Y17" s="1"/>
      <c r="Z17" s="1"/>
      <c r="AA17" s="3"/>
      <c r="AB17" s="3"/>
      <c r="AC17" s="3"/>
      <c r="AD17" s="3"/>
      <c r="AE17" s="3"/>
      <c r="AF17" s="3"/>
    </row>
    <row r="18" spans="1:32" x14ac:dyDescent="0.3">
      <c r="A18" s="1" t="s">
        <v>112</v>
      </c>
      <c r="B18" s="3" t="s">
        <v>113</v>
      </c>
      <c r="C18" s="3" t="str">
        <f t="shared" si="6"/>
        <v>Oracle</v>
      </c>
      <c r="D18" s="75">
        <f>(DCF!AM7/DCF!AH7)^(1/6)-1</f>
        <v>5.9934655083044408E-2</v>
      </c>
      <c r="Q18" s="6" t="s">
        <v>17</v>
      </c>
      <c r="R18" s="72" cm="1">
        <f t="array" ref="R18:W18">DCF!J3:O3</f>
        <v>64388.250675431045</v>
      </c>
      <c r="S18" s="72">
        <v>66066.113572931121</v>
      </c>
      <c r="T18" s="72">
        <v>67787.699104192419</v>
      </c>
      <c r="U18" s="72">
        <v>69554.146616598955</v>
      </c>
      <c r="V18" s="72">
        <v>71366.625147248065</v>
      </c>
      <c r="W18" s="72">
        <v>73226.334196620548</v>
      </c>
      <c r="X18" s="1"/>
      <c r="Y18" s="1"/>
      <c r="Z18" s="1"/>
      <c r="AA18" s="3"/>
      <c r="AB18" s="3"/>
      <c r="AC18" s="3"/>
      <c r="AD18" s="3"/>
      <c r="AE18" s="3"/>
      <c r="AF18" s="3"/>
    </row>
    <row r="19" spans="1:32" x14ac:dyDescent="0.3">
      <c r="A19" s="18" t="s">
        <v>112</v>
      </c>
      <c r="B19" s="68" t="s">
        <v>113</v>
      </c>
      <c r="C19" s="68" t="str">
        <f t="shared" si="6"/>
        <v>Average</v>
      </c>
      <c r="D19" s="71">
        <f>AVERAGE(D14:D18)</f>
        <v>6.797390080334309E-2</v>
      </c>
      <c r="Q19" s="6" t="s">
        <v>121</v>
      </c>
      <c r="R19" s="72" cm="1">
        <f t="array" ref="R19:W19">DCF!J4:O4</f>
        <v>6495.8866001299066</v>
      </c>
      <c r="S19" s="72">
        <v>6665.1598293043835</v>
      </c>
      <c r="T19" s="72">
        <v>6838.8440693044777</v>
      </c>
      <c r="U19" s="72">
        <v>7017.054264570007</v>
      </c>
      <c r="V19" s="72">
        <v>7199.9083548234512</v>
      </c>
      <c r="W19" s="72">
        <v>7387.527353122603</v>
      </c>
      <c r="X19" s="1"/>
      <c r="Y19" s="1"/>
      <c r="Z19" s="1"/>
      <c r="AA19" s="3"/>
      <c r="AB19" s="3"/>
      <c r="AC19" s="3"/>
      <c r="AD19" s="3"/>
      <c r="AE19" s="3"/>
      <c r="AF19" s="3"/>
    </row>
    <row r="20" spans="1:32" x14ac:dyDescent="0.3">
      <c r="A20" s="1" t="str">
        <f t="shared" ref="A20:A31" si="7">A14</f>
        <v>2025-30</v>
      </c>
      <c r="B20" s="3" t="s">
        <v>115</v>
      </c>
      <c r="C20" s="3" t="str">
        <f t="shared" si="6"/>
        <v>Accenture</v>
      </c>
      <c r="D20" s="75">
        <f>D14</f>
        <v>6.5594700704505682E-2</v>
      </c>
      <c r="Q20" s="6" t="s">
        <v>99</v>
      </c>
      <c r="R20" s="72" cm="1">
        <f t="array" ref="R20:W20">DCF!J5:O5</f>
        <v>5001.8326821000283</v>
      </c>
      <c r="S20" s="72">
        <v>5132.1730685643752</v>
      </c>
      <c r="T20" s="72">
        <v>5265.9099333644481</v>
      </c>
      <c r="U20" s="72">
        <v>5403.1317837189054</v>
      </c>
      <c r="V20" s="72">
        <v>5543.9294332140571</v>
      </c>
      <c r="W20" s="72">
        <v>5688.3960619044046</v>
      </c>
      <c r="X20" s="1"/>
      <c r="Y20" s="1"/>
      <c r="Z20" s="1"/>
      <c r="AA20" s="3"/>
      <c r="AB20" s="3"/>
      <c r="AC20" s="3"/>
      <c r="AD20" s="3"/>
      <c r="AE20" s="3"/>
      <c r="AF20" s="3"/>
    </row>
    <row r="21" spans="1:32" x14ac:dyDescent="0.3">
      <c r="A21" s="1" t="str">
        <f t="shared" si="7"/>
        <v>2025-30</v>
      </c>
      <c r="B21" s="3" t="s">
        <v>115</v>
      </c>
      <c r="C21" s="3" t="str">
        <f t="shared" si="6"/>
        <v>IBM</v>
      </c>
      <c r="D21" s="75">
        <f>D15</f>
        <v>2.1668753456487222E-2</v>
      </c>
      <c r="Q21" s="6" t="s">
        <v>78</v>
      </c>
      <c r="R21" s="72" cm="1">
        <f t="array" ref="R21:W21">DCF!J9:O9</f>
        <v>11901.546753664046</v>
      </c>
      <c r="S21" s="72">
        <v>9312.8890618611476</v>
      </c>
      <c r="T21" s="72">
        <v>9555.5692226283281</v>
      </c>
      <c r="U21" s="72">
        <v>9804.5732706488379</v>
      </c>
      <c r="V21" s="72">
        <v>10060.065997102423</v>
      </c>
      <c r="W21" s="72">
        <v>10322.216487384045</v>
      </c>
      <c r="X21" s="1"/>
      <c r="Y21" s="1"/>
      <c r="Z21" s="1"/>
      <c r="AA21" s="3"/>
      <c r="AB21" s="3"/>
      <c r="AC21" s="3"/>
      <c r="AD21" s="3"/>
      <c r="AE21" s="3"/>
      <c r="AF21" s="3"/>
    </row>
    <row r="22" spans="1:32" x14ac:dyDescent="0.3">
      <c r="A22" s="1" t="str">
        <f t="shared" si="7"/>
        <v>2025-30</v>
      </c>
      <c r="B22" s="3" t="s">
        <v>115</v>
      </c>
      <c r="C22" s="3" t="str">
        <f t="shared" si="6"/>
        <v>Alphabet</v>
      </c>
      <c r="D22" s="75">
        <f t="shared" si="6"/>
        <v>9.6912088469991442E-2</v>
      </c>
    </row>
    <row r="23" spans="1:32" x14ac:dyDescent="0.3">
      <c r="A23" s="1" t="str">
        <f t="shared" si="7"/>
        <v>2025-30</v>
      </c>
      <c r="B23" s="3" t="s">
        <v>115</v>
      </c>
      <c r="C23" s="3" t="str">
        <f t="shared" si="6"/>
        <v>Microsoft</v>
      </c>
      <c r="D23" s="75">
        <f t="shared" si="6"/>
        <v>9.5759306302686698E-2</v>
      </c>
    </row>
    <row r="24" spans="1:32" x14ac:dyDescent="0.3">
      <c r="A24" s="1" t="str">
        <f t="shared" si="7"/>
        <v>2025-30</v>
      </c>
      <c r="B24" s="3" t="s">
        <v>115</v>
      </c>
      <c r="C24" s="3" t="str">
        <f t="shared" ref="C24:D39" si="8">C18</f>
        <v>Oracle</v>
      </c>
      <c r="D24" s="75">
        <f t="shared" si="8"/>
        <v>5.9934655083044408E-2</v>
      </c>
    </row>
    <row r="25" spans="1:32" x14ac:dyDescent="0.3">
      <c r="A25" s="18" t="str">
        <f t="shared" si="7"/>
        <v>2025-30</v>
      </c>
      <c r="B25" s="68" t="s">
        <v>115</v>
      </c>
      <c r="C25" s="68" t="str">
        <f t="shared" si="8"/>
        <v>Average</v>
      </c>
      <c r="D25" s="77">
        <f>AVERAGE(D20:D24)</f>
        <v>6.797390080334309E-2</v>
      </c>
    </row>
    <row r="26" spans="1:32" x14ac:dyDescent="0.3">
      <c r="A26" s="1" t="str">
        <f t="shared" si="7"/>
        <v>2025-30</v>
      </c>
      <c r="B26" s="3" t="s">
        <v>45</v>
      </c>
      <c r="C26" s="3" t="str">
        <f t="shared" si="8"/>
        <v>Accenture</v>
      </c>
      <c r="D26" s="78">
        <f>D20</f>
        <v>6.5594700704505682E-2</v>
      </c>
    </row>
    <row r="27" spans="1:32" x14ac:dyDescent="0.3">
      <c r="A27" s="1" t="str">
        <f t="shared" si="7"/>
        <v>2025-30</v>
      </c>
      <c r="B27" s="3" t="s">
        <v>45</v>
      </c>
      <c r="C27" s="3" t="str">
        <f t="shared" si="8"/>
        <v>IBM</v>
      </c>
      <c r="D27" s="78">
        <f t="shared" si="8"/>
        <v>2.1668753456487222E-2</v>
      </c>
    </row>
    <row r="28" spans="1:32" x14ac:dyDescent="0.3">
      <c r="A28" s="1" t="str">
        <f t="shared" si="7"/>
        <v>2025-30</v>
      </c>
      <c r="B28" s="3" t="s">
        <v>45</v>
      </c>
      <c r="C28" s="3" t="str">
        <f t="shared" si="8"/>
        <v>Alphabet</v>
      </c>
      <c r="D28" s="78">
        <f t="shared" si="8"/>
        <v>9.6912088469991442E-2</v>
      </c>
    </row>
    <row r="29" spans="1:32" x14ac:dyDescent="0.3">
      <c r="A29" s="1" t="str">
        <f t="shared" si="7"/>
        <v>2025-30</v>
      </c>
      <c r="B29" s="3" t="s">
        <v>45</v>
      </c>
      <c r="C29" s="3" t="str">
        <f t="shared" si="8"/>
        <v>Microsoft</v>
      </c>
      <c r="D29" s="78">
        <f t="shared" si="8"/>
        <v>9.5759306302686698E-2</v>
      </c>
    </row>
    <row r="30" spans="1:32" x14ac:dyDescent="0.3">
      <c r="A30" s="1" t="str">
        <f t="shared" si="7"/>
        <v>2025-30</v>
      </c>
      <c r="B30" s="3" t="s">
        <v>45</v>
      </c>
      <c r="C30" s="3" t="str">
        <f t="shared" si="8"/>
        <v>Oracle</v>
      </c>
      <c r="D30" s="78">
        <f t="shared" si="8"/>
        <v>5.9934655083044408E-2</v>
      </c>
    </row>
    <row r="31" spans="1:32" x14ac:dyDescent="0.3">
      <c r="A31" s="18" t="str">
        <f t="shared" si="7"/>
        <v>2025-30</v>
      </c>
      <c r="B31" s="68" t="s">
        <v>45</v>
      </c>
      <c r="C31" s="68" t="str">
        <f t="shared" si="8"/>
        <v>Average</v>
      </c>
      <c r="D31" s="71">
        <f>AVERAGE(D26:D30)</f>
        <v>6.797390080334309E-2</v>
      </c>
    </row>
    <row r="32" spans="1:32" x14ac:dyDescent="0.3">
      <c r="A32" s="1" t="str">
        <f>A2</f>
        <v>2020-24</v>
      </c>
      <c r="B32" s="3" t="s">
        <v>119</v>
      </c>
      <c r="C32" s="3" t="str">
        <f t="shared" si="8"/>
        <v>Accenture</v>
      </c>
      <c r="D32" s="48">
        <f>(AVERAGE(Financials!B6:F6)+AVERAGE(Financials!B7:F7))/AVERAGE(Financials!B3:F3)</f>
        <v>0.18254486776780998</v>
      </c>
    </row>
    <row r="33" spans="1:4" x14ac:dyDescent="0.3">
      <c r="A33" s="1" t="str">
        <f>A3</f>
        <v>2020-24</v>
      </c>
      <c r="B33" s="3" t="s">
        <v>119</v>
      </c>
      <c r="C33" s="3" t="str">
        <f t="shared" si="8"/>
        <v>IBM</v>
      </c>
      <c r="D33" s="48">
        <f>(AVERAGE(Financials!I6:M6)+AVERAGE(Financials!I7:M7))/AVERAGE(Financials!I3:M3)</f>
        <v>0.19151280604154905</v>
      </c>
    </row>
    <row r="34" spans="1:4" x14ac:dyDescent="0.3">
      <c r="A34" s="1" t="str">
        <f>A4</f>
        <v>2020-24</v>
      </c>
      <c r="B34" s="3" t="s">
        <v>119</v>
      </c>
      <c r="C34" s="3" t="str">
        <f t="shared" si="8"/>
        <v>Alphabet</v>
      </c>
      <c r="D34" s="48">
        <f>(AVERAGE(Financials!P6:T6)+AVERAGE(Financials!P7:T7))/AVERAGE(Financials!P3:T3)</f>
        <v>0.35134365682129681</v>
      </c>
    </row>
    <row r="35" spans="1:4" x14ac:dyDescent="0.3">
      <c r="A35" s="1" t="str">
        <f>A5</f>
        <v>2020-24</v>
      </c>
      <c r="B35" s="3" t="s">
        <v>119</v>
      </c>
      <c r="C35" s="3" t="str">
        <f t="shared" si="8"/>
        <v>Microsoft</v>
      </c>
      <c r="D35" s="48">
        <f>(AVERAGE(Financials!X6:AB6)+AVERAGE(Financials!X7:AB7))/AVERAGE(Financials!X3:AB3)</f>
        <v>0.51758226942075924</v>
      </c>
    </row>
    <row r="36" spans="1:4" x14ac:dyDescent="0.3">
      <c r="A36" s="1" t="str">
        <f>A6</f>
        <v>2020-24</v>
      </c>
      <c r="B36" s="3" t="s">
        <v>119</v>
      </c>
      <c r="C36" s="3" t="str">
        <f t="shared" si="8"/>
        <v>Oracle</v>
      </c>
      <c r="D36" s="48">
        <f>(AVERAGE(Financials!AF6:AJ6)+AVERAGE(Financials!AF7:AJ7))/AVERAGE(Financials!AF3:AJ3)</f>
        <v>0.38801889546237556</v>
      </c>
    </row>
    <row r="37" spans="1:4" x14ac:dyDescent="0.3">
      <c r="A37" s="18" t="str">
        <f>$A$36</f>
        <v>2020-24</v>
      </c>
      <c r="B37" s="68" t="s">
        <v>119</v>
      </c>
      <c r="C37" s="68" t="str">
        <f t="shared" si="8"/>
        <v>Average</v>
      </c>
      <c r="D37" s="71">
        <f>AVERAGE(D32:D36)</f>
        <v>0.32620049910275817</v>
      </c>
    </row>
    <row r="38" spans="1:4" x14ac:dyDescent="0.3">
      <c r="A38" s="1" t="str">
        <f t="shared" ref="A38:A39" si="9">$A$36</f>
        <v>2020-24</v>
      </c>
      <c r="B38" s="3" t="s">
        <v>120</v>
      </c>
      <c r="C38" s="3" t="str">
        <f t="shared" si="8"/>
        <v>Accenture</v>
      </c>
      <c r="D38" s="48">
        <f>AVERAGE(Financials!B10:F10)/AVERAGE(Financials!B3:F3)</f>
        <v>7.5236679933047168E-2</v>
      </c>
    </row>
    <row r="39" spans="1:4" x14ac:dyDescent="0.3">
      <c r="A39" s="1" t="str">
        <f t="shared" si="9"/>
        <v>2020-24</v>
      </c>
      <c r="B39" s="3" t="s">
        <v>120</v>
      </c>
      <c r="C39" s="3" t="str">
        <f t="shared" si="8"/>
        <v>IBM</v>
      </c>
      <c r="D39" s="48">
        <f>AVERAGE(Financials!I10:M10)/AVERAGE(Financials!I3:M3)</f>
        <v>-1.0145394931333818E-2</v>
      </c>
    </row>
    <row r="40" spans="1:4" x14ac:dyDescent="0.3">
      <c r="A40" s="1" t="str">
        <f>A32</f>
        <v>2020-24</v>
      </c>
      <c r="B40" s="3" t="s">
        <v>120</v>
      </c>
      <c r="C40" s="3" t="str">
        <f t="shared" ref="C40:C55" si="10">C34</f>
        <v>Alphabet</v>
      </c>
      <c r="D40" s="48">
        <f>AVERAGE(Financials!P10:T10)/AVERAGE(Financials!P3:T3)</f>
        <v>0.20243956152221218</v>
      </c>
    </row>
    <row r="41" spans="1:4" x14ac:dyDescent="0.3">
      <c r="A41" s="1" t="str">
        <f>A33</f>
        <v>2020-24</v>
      </c>
      <c r="B41" s="3" t="s">
        <v>120</v>
      </c>
      <c r="C41" s="3" t="str">
        <f t="shared" si="10"/>
        <v>Microsoft</v>
      </c>
      <c r="D41" s="48">
        <f>AVERAGE(Financials!X10:AB10)/AVERAGE(Financials!X3:AB3)</f>
        <v>0.26070586063582291</v>
      </c>
    </row>
    <row r="42" spans="1:4" x14ac:dyDescent="0.3">
      <c r="A42" s="1" t="str">
        <f>A34</f>
        <v>2020-24</v>
      </c>
      <c r="B42" s="3" t="s">
        <v>120</v>
      </c>
      <c r="C42" s="3" t="str">
        <f t="shared" si="10"/>
        <v>Oracle</v>
      </c>
      <c r="D42" s="48">
        <f>AVERAGE(Financials!AF10:AJ10)/AVERAGE(Financials!AF3:AJ3)</f>
        <v>0.20713472267332148</v>
      </c>
    </row>
    <row r="43" spans="1:4" x14ac:dyDescent="0.3">
      <c r="A43" s="18" t="str">
        <f>$A$42</f>
        <v>2020-24</v>
      </c>
      <c r="B43" s="68" t="s">
        <v>120</v>
      </c>
      <c r="C43" s="68" t="str">
        <f t="shared" si="10"/>
        <v>Average</v>
      </c>
      <c r="D43" s="71">
        <f>AVERAGE(D38:D42)</f>
        <v>0.14707428596661398</v>
      </c>
    </row>
    <row r="44" spans="1:4" x14ac:dyDescent="0.3">
      <c r="A44" s="1" t="str">
        <f t="shared" ref="A44:A49" si="11">A26</f>
        <v>2025-30</v>
      </c>
      <c r="B44" s="3" t="s">
        <v>124</v>
      </c>
      <c r="C44" s="3" t="str">
        <f t="shared" si="10"/>
        <v>Accenture</v>
      </c>
      <c r="D44" s="21">
        <f>AVERAGE(DCF!B3:G3)</f>
        <v>85463.837971601257</v>
      </c>
    </row>
    <row r="45" spans="1:4" x14ac:dyDescent="0.3">
      <c r="A45" s="1" t="str">
        <f t="shared" si="11"/>
        <v>2025-30</v>
      </c>
      <c r="B45" s="3" t="s">
        <v>124</v>
      </c>
      <c r="C45" s="3" t="str">
        <f t="shared" si="10"/>
        <v>IBM</v>
      </c>
      <c r="D45" s="21">
        <f>AVERAGE(DCF!J3:O3)</f>
        <v>68731.528218837018</v>
      </c>
    </row>
    <row r="46" spans="1:4" x14ac:dyDescent="0.3">
      <c r="A46" s="1" t="str">
        <f t="shared" si="11"/>
        <v>2025-30</v>
      </c>
      <c r="B46" s="3" t="s">
        <v>124</v>
      </c>
      <c r="C46" s="3" t="str">
        <f t="shared" si="10"/>
        <v>Alphabet</v>
      </c>
      <c r="D46" s="21">
        <f>AVERAGE(DCF!R3:W3)</f>
        <v>544510.17740250763</v>
      </c>
    </row>
    <row r="47" spans="1:4" x14ac:dyDescent="0.3">
      <c r="A47" s="1" t="str">
        <f t="shared" si="11"/>
        <v>2025-30</v>
      </c>
      <c r="B47" s="3" t="s">
        <v>124</v>
      </c>
      <c r="C47" s="3" t="str">
        <f t="shared" si="10"/>
        <v>Microsoft</v>
      </c>
      <c r="D47" s="21">
        <f>AVERAGE(DCF!Z3:AE3)</f>
        <v>418821.24047250551</v>
      </c>
    </row>
    <row r="48" spans="1:4" x14ac:dyDescent="0.3">
      <c r="A48" s="1" t="str">
        <f t="shared" si="11"/>
        <v>2025-30</v>
      </c>
      <c r="B48" s="3" t="s">
        <v>124</v>
      </c>
      <c r="C48" s="3" t="str">
        <f t="shared" si="10"/>
        <v>Oracle</v>
      </c>
      <c r="D48" s="21">
        <f>AVERAGE(DCF!AH3:AM3)</f>
        <v>73817.931716754465</v>
      </c>
    </row>
    <row r="49" spans="1:4" x14ac:dyDescent="0.3">
      <c r="A49" s="18" t="str">
        <f t="shared" si="11"/>
        <v>2025-30</v>
      </c>
      <c r="B49" s="68" t="s">
        <v>124</v>
      </c>
      <c r="C49" s="68" t="str">
        <f t="shared" si="10"/>
        <v>Average</v>
      </c>
      <c r="D49" s="22">
        <f>AVERAGE(D44:D48)</f>
        <v>238268.94315644121</v>
      </c>
    </row>
    <row r="50" spans="1:4" x14ac:dyDescent="0.3">
      <c r="A50" s="1" t="str">
        <f t="shared" ref="A50:A55" si="12">A44</f>
        <v>2025-30</v>
      </c>
      <c r="B50" s="3" t="s">
        <v>125</v>
      </c>
      <c r="C50" s="3" t="str">
        <f t="shared" si="10"/>
        <v>Accenture</v>
      </c>
      <c r="D50" s="48">
        <f>D8/D44</f>
        <v>1.0305866601767176E-2</v>
      </c>
    </row>
    <row r="51" spans="1:4" x14ac:dyDescent="0.3">
      <c r="A51" s="1" t="str">
        <f t="shared" si="12"/>
        <v>2025-30</v>
      </c>
      <c r="B51" s="3" t="s">
        <v>125</v>
      </c>
      <c r="C51" s="3" t="str">
        <f t="shared" si="10"/>
        <v>IBM</v>
      </c>
      <c r="D51" s="48">
        <f t="shared" ref="D51:D54" si="13">D9/D45</f>
        <v>2.7946867693300008E-2</v>
      </c>
    </row>
    <row r="52" spans="1:4" x14ac:dyDescent="0.3">
      <c r="A52" s="1" t="str">
        <f t="shared" si="12"/>
        <v>2025-30</v>
      </c>
      <c r="B52" s="3" t="s">
        <v>125</v>
      </c>
      <c r="C52" s="3" t="str">
        <f t="shared" si="10"/>
        <v>Alphabet</v>
      </c>
      <c r="D52" s="48">
        <f t="shared" si="13"/>
        <v>0.11821977786342049</v>
      </c>
    </row>
    <row r="53" spans="1:4" x14ac:dyDescent="0.3">
      <c r="A53" s="1" t="str">
        <f t="shared" si="12"/>
        <v>2025-30</v>
      </c>
      <c r="B53" s="3" t="s">
        <v>125</v>
      </c>
      <c r="C53" s="3" t="str">
        <f t="shared" si="10"/>
        <v>Microsoft</v>
      </c>
      <c r="D53" s="48">
        <f t="shared" si="13"/>
        <v>0.16436510457244877</v>
      </c>
    </row>
    <row r="54" spans="1:4" x14ac:dyDescent="0.3">
      <c r="A54" s="1" t="str">
        <f t="shared" si="12"/>
        <v>2025-30</v>
      </c>
      <c r="B54" s="3" t="s">
        <v>125</v>
      </c>
      <c r="C54" s="3" t="str">
        <f t="shared" si="10"/>
        <v>Oracle</v>
      </c>
      <c r="D54" s="48">
        <f t="shared" si="13"/>
        <v>0.1194991228731018</v>
      </c>
    </row>
    <row r="55" spans="1:4" x14ac:dyDescent="0.3">
      <c r="A55" s="18" t="str">
        <f t="shared" si="12"/>
        <v>2025-30</v>
      </c>
      <c r="B55" s="68" t="s">
        <v>125</v>
      </c>
      <c r="C55" s="68" t="str">
        <f t="shared" si="10"/>
        <v>Average</v>
      </c>
      <c r="D55" s="71">
        <f>AVERAGE(D50:D54)</f>
        <v>8.8067347920807657E-2</v>
      </c>
    </row>
    <row r="56" spans="1:4" x14ac:dyDescent="0.3">
      <c r="A56" s="1" t="str">
        <f>A38</f>
        <v>2020-24</v>
      </c>
      <c r="B56" s="3" t="s">
        <v>118</v>
      </c>
      <c r="C56" s="3" t="str">
        <f t="shared" ref="C56:C67" si="14">C50</f>
        <v>Accenture</v>
      </c>
      <c r="D56" s="48">
        <f>(Financials!F10-Financials!B10)/Financials!B10</f>
        <v>0.63181869343910746</v>
      </c>
    </row>
    <row r="57" spans="1:4" x14ac:dyDescent="0.3">
      <c r="A57" s="1" t="str">
        <f>A39</f>
        <v>2020-24</v>
      </c>
      <c r="B57" s="3" t="s">
        <v>118</v>
      </c>
      <c r="C57" s="3" t="str">
        <f t="shared" si="14"/>
        <v>IBM</v>
      </c>
      <c r="D57" s="48">
        <f>(Financials!M10-Financials!I10)/ABS(Financials!I10)</f>
        <v>1.4882374230908433</v>
      </c>
    </row>
    <row r="58" spans="1:4" x14ac:dyDescent="0.3">
      <c r="A58" s="1" t="str">
        <f>A40</f>
        <v>2020-24</v>
      </c>
      <c r="B58" s="3" t="s">
        <v>118</v>
      </c>
      <c r="C58" s="3" t="str">
        <f t="shared" si="14"/>
        <v>Alphabet</v>
      </c>
      <c r="D58" s="48">
        <f>(Financials!T10-Financials!P10)/Financials!P10</f>
        <v>2.1977531489957256</v>
      </c>
    </row>
    <row r="59" spans="1:4" x14ac:dyDescent="0.3">
      <c r="A59" s="1" t="str">
        <f>A41</f>
        <v>2020-24</v>
      </c>
      <c r="B59" s="3" t="s">
        <v>118</v>
      </c>
      <c r="C59" s="3" t="str">
        <f t="shared" si="14"/>
        <v>Microsoft</v>
      </c>
      <c r="D59" s="48">
        <f>(Financials!AB10-Financials!X10)/Financials!X10</f>
        <v>0.38089091101470746</v>
      </c>
    </row>
    <row r="60" spans="1:4" x14ac:dyDescent="0.3">
      <c r="A60" s="1" t="str">
        <f>A42</f>
        <v>2020-24</v>
      </c>
      <c r="B60" s="3" t="s">
        <v>118</v>
      </c>
      <c r="C60" s="3" t="str">
        <f t="shared" si="14"/>
        <v>Oracle</v>
      </c>
      <c r="D60" s="48">
        <f>(Financials!AJ10-Financials!AF10)/Financials!AF10</f>
        <v>1.5589291544237676E-2</v>
      </c>
    </row>
    <row r="61" spans="1:4" x14ac:dyDescent="0.3">
      <c r="A61" s="18" t="str">
        <f>A60</f>
        <v>2020-24</v>
      </c>
      <c r="B61" s="68" t="s">
        <v>118</v>
      </c>
      <c r="C61" s="68" t="str">
        <f t="shared" si="14"/>
        <v>Average</v>
      </c>
      <c r="D61" s="71">
        <f>AVERAGE(D56:D60)</f>
        <v>0.94285789361692429</v>
      </c>
    </row>
    <row r="62" spans="1:4" x14ac:dyDescent="0.3">
      <c r="A62" s="1" t="str">
        <f t="shared" ref="A62:A67" si="15">A50</f>
        <v>2025-30</v>
      </c>
      <c r="B62" s="3" t="str">
        <f t="shared" ref="B62:B67" si="16">B56</f>
        <v>Earnings Growth</v>
      </c>
      <c r="C62" s="3" t="str">
        <f t="shared" si="14"/>
        <v>Accenture</v>
      </c>
      <c r="D62" s="48">
        <f>(DCF!G5-DCF!B5)/DCF!B5</f>
        <v>0.46403787539248914</v>
      </c>
    </row>
    <row r="63" spans="1:4" x14ac:dyDescent="0.3">
      <c r="A63" s="1" t="str">
        <f t="shared" si="15"/>
        <v>2025-30</v>
      </c>
      <c r="B63" s="3" t="str">
        <f t="shared" si="16"/>
        <v>Earnings Growth</v>
      </c>
      <c r="C63" s="3" t="str">
        <f t="shared" si="14"/>
        <v>IBM</v>
      </c>
      <c r="D63" s="48">
        <f>(DCF!O5-DCF!J5)/DCF!J5</f>
        <v>0.13726236430526131</v>
      </c>
    </row>
    <row r="64" spans="1:4" x14ac:dyDescent="0.3">
      <c r="A64" s="1" t="str">
        <f t="shared" si="15"/>
        <v>2025-30</v>
      </c>
      <c r="B64" s="3" t="str">
        <f t="shared" si="16"/>
        <v>Earnings Growth</v>
      </c>
      <c r="C64" s="3" t="str">
        <f t="shared" si="14"/>
        <v>Alphabet</v>
      </c>
      <c r="D64" s="48">
        <f>(DCF!W5-DCF!R5)/DCF!R5</f>
        <v>0.74193095070645154</v>
      </c>
    </row>
    <row r="65" spans="1:4" x14ac:dyDescent="0.3">
      <c r="A65" s="1" t="str">
        <f t="shared" si="15"/>
        <v>2025-30</v>
      </c>
      <c r="B65" s="3" t="str">
        <f t="shared" si="16"/>
        <v>Earnings Growth</v>
      </c>
      <c r="C65" s="3" t="str">
        <f t="shared" si="14"/>
        <v>Microsoft</v>
      </c>
      <c r="D65" s="48">
        <f>(DCF!AE5-DCF!Z5)/DCF!Z5</f>
        <v>0.73097584237843005</v>
      </c>
    </row>
    <row r="66" spans="1:4" x14ac:dyDescent="0.3">
      <c r="A66" s="1" t="str">
        <f t="shared" si="15"/>
        <v>2025-30</v>
      </c>
      <c r="B66" s="3" t="str">
        <f t="shared" si="16"/>
        <v>Earnings Growth</v>
      </c>
      <c r="C66" s="3" t="str">
        <f t="shared" si="14"/>
        <v>Oracle</v>
      </c>
      <c r="D66" s="48">
        <f>(DCF!AM5-DCF!AH5)/DCF!AH5</f>
        <v>0.41799451567479406</v>
      </c>
    </row>
    <row r="67" spans="1:4" x14ac:dyDescent="0.3">
      <c r="A67" s="18" t="str">
        <f t="shared" si="15"/>
        <v>2025-30</v>
      </c>
      <c r="B67" s="68" t="str">
        <f t="shared" si="16"/>
        <v>Earnings Growth</v>
      </c>
      <c r="C67" s="68" t="str">
        <f t="shared" si="14"/>
        <v>Average</v>
      </c>
      <c r="D67" s="71">
        <f>AVERAGE(D62:D66)</f>
        <v>0.49844030969148523</v>
      </c>
    </row>
    <row r="68" spans="1:4" x14ac:dyDescent="0.3">
      <c r="A68" s="1" t="str">
        <f>A56</f>
        <v>2020-24</v>
      </c>
      <c r="B68" s="3" t="str">
        <f>B20</f>
        <v>Earnings CAGR</v>
      </c>
      <c r="C68" s="3" t="str">
        <f>C62</f>
        <v>Accenture</v>
      </c>
      <c r="D68" s="48">
        <f>(Financials!F10/Financials!B10)^(1/5)-1</f>
        <v>0.10289554076686502</v>
      </c>
    </row>
    <row r="69" spans="1:4" x14ac:dyDescent="0.3">
      <c r="A69" s="1" t="str">
        <f t="shared" ref="A69:A73" si="17">A57</f>
        <v>2020-24</v>
      </c>
      <c r="B69" s="3" t="str">
        <f t="shared" ref="B69:B73" si="18">B21</f>
        <v>Earnings CAGR</v>
      </c>
      <c r="C69" s="3" t="str">
        <f t="shared" ref="C69:C73" si="19">C63</f>
        <v>IBM</v>
      </c>
      <c r="D69" s="48">
        <f>(Financials!M10/Financials!L10)^(1/2)-1</f>
        <v>-0.34223930334787023</v>
      </c>
    </row>
    <row r="70" spans="1:4" x14ac:dyDescent="0.3">
      <c r="A70" s="1" t="str">
        <f t="shared" si="17"/>
        <v>2020-24</v>
      </c>
      <c r="B70" s="3" t="str">
        <f t="shared" si="18"/>
        <v>Earnings CAGR</v>
      </c>
      <c r="C70" s="3" t="str">
        <f t="shared" si="19"/>
        <v>Alphabet</v>
      </c>
      <c r="D70" s="48">
        <f>(Financials!T10/Financials!P10)^(1/5)-1</f>
        <v>0.26173743077641443</v>
      </c>
    </row>
    <row r="71" spans="1:4" x14ac:dyDescent="0.3">
      <c r="A71" s="1" t="str">
        <f t="shared" si="17"/>
        <v>2020-24</v>
      </c>
      <c r="B71" s="3" t="str">
        <f t="shared" si="18"/>
        <v>Earnings CAGR</v>
      </c>
      <c r="C71" s="3" t="str">
        <f t="shared" si="19"/>
        <v>Microsoft</v>
      </c>
      <c r="D71" s="48">
        <f>(Financials!AB10/Financials!X10)^(1/5)-1</f>
        <v>6.667440490721277E-2</v>
      </c>
    </row>
    <row r="72" spans="1:4" x14ac:dyDescent="0.3">
      <c r="A72" s="1" t="str">
        <f t="shared" si="17"/>
        <v>2020-24</v>
      </c>
      <c r="B72" s="3" t="str">
        <f t="shared" si="18"/>
        <v>Earnings CAGR</v>
      </c>
      <c r="C72" s="3" t="str">
        <f t="shared" si="19"/>
        <v>Oracle</v>
      </c>
      <c r="D72" s="48">
        <f>(Financials!AJ10/Financials!AG10)^(1/4)-1</f>
        <v>0.1666415457453807</v>
      </c>
    </row>
    <row r="73" spans="1:4" x14ac:dyDescent="0.3">
      <c r="A73" s="18" t="str">
        <f t="shared" si="17"/>
        <v>2020-24</v>
      </c>
      <c r="B73" s="68" t="str">
        <f t="shared" si="18"/>
        <v>Earnings CAGR</v>
      </c>
      <c r="C73" s="68" t="str">
        <f t="shared" si="19"/>
        <v>Average</v>
      </c>
      <c r="D73" s="71">
        <f>AVERAGE(D68:D72)</f>
        <v>5.1141923769600542E-2</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Profile</vt:lpstr>
      <vt:lpstr>Financials</vt:lpstr>
      <vt:lpstr>Assumptions &amp; WACC</vt:lpstr>
      <vt:lpstr>DCF</vt:lpstr>
      <vt:lpstr>Relative</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2025-11-19T15:42:06Z</dcterms:modified>
</cp:coreProperties>
</file>