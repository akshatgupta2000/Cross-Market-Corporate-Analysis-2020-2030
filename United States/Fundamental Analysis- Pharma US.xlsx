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E63B48F5-F438-43D4-97FC-33B3030C7255}" xr6:coauthVersionLast="47" xr6:coauthVersionMax="47" xr10:uidLastSave="{00000000-0000-0000-0000-000000000000}"/>
  <bookViews>
    <workbookView xWindow="13728" yWindow="0" windowWidth="9408" windowHeight="12336" firstSheet="3" activeTab="3" xr2:uid="{00000000-000D-0000-FFFF-FFFF00000000}"/>
  </bookViews>
  <sheets>
    <sheet name="Company 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5" i="2" l="1"/>
  <c r="AH35" i="2"/>
  <c r="AI35" i="2"/>
  <c r="AJ35" i="2"/>
  <c r="AG36" i="2"/>
  <c r="AH36" i="2"/>
  <c r="AI36" i="2"/>
  <c r="AJ36" i="2"/>
  <c r="AG37" i="2"/>
  <c r="AH37" i="2"/>
  <c r="AI37" i="2"/>
  <c r="AJ37" i="2"/>
  <c r="Y35" i="2"/>
  <c r="Z35" i="2"/>
  <c r="AA35" i="2"/>
  <c r="AB35" i="2"/>
  <c r="Y36" i="2"/>
  <c r="Z36" i="2"/>
  <c r="AA36" i="2"/>
  <c r="AB36" i="2"/>
  <c r="Y37" i="2"/>
  <c r="Z37" i="2"/>
  <c r="AA37" i="2"/>
  <c r="AB37" i="2"/>
  <c r="Q35" i="2"/>
  <c r="R35" i="2"/>
  <c r="S35" i="2"/>
  <c r="T35" i="2"/>
  <c r="Q36" i="2"/>
  <c r="R36" i="2"/>
  <c r="S36" i="2"/>
  <c r="T36" i="2"/>
  <c r="Q37" i="2"/>
  <c r="R37" i="2"/>
  <c r="S37" i="2"/>
  <c r="T37" i="2"/>
  <c r="AF37" i="2"/>
  <c r="AF36" i="2"/>
  <c r="AF35" i="2"/>
  <c r="X37" i="2"/>
  <c r="X36" i="2"/>
  <c r="X35" i="2"/>
  <c r="P37" i="2"/>
  <c r="P36" i="2"/>
  <c r="P35" i="2"/>
  <c r="AG40" i="2"/>
  <c r="AH40" i="2"/>
  <c r="AI40" i="2"/>
  <c r="AJ40" i="2"/>
  <c r="AK40" i="2"/>
  <c r="AG41" i="2"/>
  <c r="AH41" i="2"/>
  <c r="AI41" i="2"/>
  <c r="AJ41" i="2"/>
  <c r="AK41" i="2"/>
  <c r="AG42" i="2"/>
  <c r="AH42" i="2"/>
  <c r="AI42" i="2"/>
  <c r="AJ42" i="2"/>
  <c r="AK42" i="2"/>
  <c r="Y40" i="2"/>
  <c r="Z40" i="2"/>
  <c r="AA40" i="2"/>
  <c r="AB40" i="2"/>
  <c r="AC40" i="2"/>
  <c r="Y41" i="2"/>
  <c r="Z41" i="2"/>
  <c r="AA41" i="2"/>
  <c r="AB41" i="2"/>
  <c r="AC41" i="2"/>
  <c r="Y42" i="2"/>
  <c r="Z42" i="2"/>
  <c r="AA42" i="2"/>
  <c r="AB42" i="2"/>
  <c r="AC42" i="2"/>
  <c r="Q40" i="2"/>
  <c r="R40" i="2"/>
  <c r="S40" i="2"/>
  <c r="T40" i="2"/>
  <c r="U40" i="2"/>
  <c r="Q41" i="2"/>
  <c r="R41" i="2"/>
  <c r="S41" i="2"/>
  <c r="T41" i="2"/>
  <c r="U41" i="2"/>
  <c r="Q42" i="2"/>
  <c r="R42" i="2"/>
  <c r="S42" i="2"/>
  <c r="T42" i="2"/>
  <c r="U42" i="2"/>
  <c r="P41" i="2"/>
  <c r="P42" i="2"/>
  <c r="X41" i="2"/>
  <c r="X42" i="2"/>
  <c r="AF41" i="2"/>
  <c r="AF42" i="2"/>
  <c r="AF40" i="2"/>
  <c r="X40" i="2"/>
  <c r="P40" i="2"/>
  <c r="AE42" i="2"/>
  <c r="AE41" i="2"/>
  <c r="AE40" i="2"/>
  <c r="W42" i="2"/>
  <c r="W41" i="2"/>
  <c r="W40" i="2"/>
  <c r="O41" i="2"/>
  <c r="O42" i="2"/>
  <c r="O40" i="2"/>
  <c r="A69" i="6"/>
  <c r="B69" i="6"/>
  <c r="C69" i="6"/>
  <c r="A70" i="6"/>
  <c r="B70" i="6"/>
  <c r="C70" i="6"/>
  <c r="A71" i="6"/>
  <c r="B71" i="6"/>
  <c r="C71" i="6"/>
  <c r="A72" i="6"/>
  <c r="B72" i="6"/>
  <c r="C72" i="6"/>
  <c r="A73" i="6"/>
  <c r="B73" i="6"/>
  <c r="C73" i="6"/>
  <c r="C68" i="6"/>
  <c r="A68" i="6"/>
  <c r="B68" i="6"/>
  <c r="R2" i="6" l="1" a="1"/>
  <c r="R2" i="6" s="1"/>
  <c r="H6" i="6"/>
  <c r="H5" i="6"/>
  <c r="H4" i="6"/>
  <c r="F5" i="3"/>
  <c r="E5" i="3"/>
  <c r="D5" i="3"/>
  <c r="D6" i="6"/>
  <c r="D5" i="6"/>
  <c r="D4" i="6"/>
  <c r="E27" i="5"/>
  <c r="E26" i="5"/>
  <c r="E25" i="5"/>
  <c r="D27" i="5"/>
  <c r="D26" i="5"/>
  <c r="D25" i="5"/>
  <c r="N4" i="5"/>
  <c r="A26" i="5"/>
  <c r="A27" i="5"/>
  <c r="A25" i="5"/>
  <c r="F6" i="3"/>
  <c r="E6" i="3"/>
  <c r="D6" i="3"/>
  <c r="F3" i="3"/>
  <c r="E3" i="3"/>
  <c r="F24" i="3"/>
  <c r="E24" i="3"/>
  <c r="D24" i="3"/>
  <c r="D3" i="3"/>
  <c r="R3" i="4" s="1"/>
  <c r="AJ30" i="2"/>
  <c r="AI30" i="2"/>
  <c r="AJ22" i="2"/>
  <c r="F17" i="3" s="1"/>
  <c r="AH17" i="4" s="1"/>
  <c r="AI22" i="2"/>
  <c r="AJ6" i="2"/>
  <c r="AI6" i="2"/>
  <c r="AH30" i="2"/>
  <c r="AG30" i="2"/>
  <c r="AH22" i="2"/>
  <c r="AG22" i="2"/>
  <c r="AH6" i="2"/>
  <c r="AG6" i="2"/>
  <c r="AF30" i="2"/>
  <c r="AF22" i="2"/>
  <c r="AF6" i="2"/>
  <c r="AB22" i="2"/>
  <c r="E17" i="3" s="1"/>
  <c r="Z17" i="4" s="1"/>
  <c r="AA22" i="2"/>
  <c r="AB6" i="2"/>
  <c r="AA6" i="2"/>
  <c r="Z22" i="2"/>
  <c r="Y22" i="2"/>
  <c r="Z6" i="2"/>
  <c r="Y6" i="2"/>
  <c r="X22" i="2"/>
  <c r="X6" i="2"/>
  <c r="T22" i="2"/>
  <c r="D17" i="3" s="1"/>
  <c r="R17" i="4" s="1"/>
  <c r="S22" i="2"/>
  <c r="T6" i="2"/>
  <c r="S6" i="2"/>
  <c r="R22" i="2"/>
  <c r="Q22" i="2"/>
  <c r="R6" i="2"/>
  <c r="Q6" i="2"/>
  <c r="P22" i="2"/>
  <c r="P6" i="2"/>
  <c r="H16" i="3"/>
  <c r="H17" i="3"/>
  <c r="H15" i="3"/>
  <c r="J6" i="3"/>
  <c r="K6" i="3"/>
  <c r="L6" i="3"/>
  <c r="M6" i="3"/>
  <c r="J7" i="3"/>
  <c r="K7" i="3"/>
  <c r="L7" i="3"/>
  <c r="M7" i="3"/>
  <c r="J8" i="3"/>
  <c r="K8" i="3"/>
  <c r="L8" i="3"/>
  <c r="M8" i="3"/>
  <c r="I8" i="3"/>
  <c r="I7" i="3"/>
  <c r="I6" i="3"/>
  <c r="B4" i="1" a="1"/>
  <c r="B4" i="1" s="1"/>
  <c r="D2" i="1" a="1"/>
  <c r="D2" i="1" s="1"/>
  <c r="E2" i="1" a="1"/>
  <c r="E2" i="1" s="1"/>
  <c r="F2" i="1" a="1"/>
  <c r="F2" i="1" s="1"/>
  <c r="D3" i="1" a="1"/>
  <c r="D3" i="1" s="1"/>
  <c r="R21" i="4" s="1"/>
  <c r="J16" i="5" s="1"/>
  <c r="E3" i="1" a="1"/>
  <c r="E3" i="1" s="1"/>
  <c r="Z21" i="4" s="1"/>
  <c r="J17" i="5" s="1"/>
  <c r="F3" i="1" a="1"/>
  <c r="F3" i="1" s="1"/>
  <c r="AH21" i="4" s="1"/>
  <c r="J18" i="5" s="1"/>
  <c r="D4" i="1" a="1"/>
  <c r="D4" i="1" s="1"/>
  <c r="E4" i="1" a="1"/>
  <c r="E4" i="1" s="1"/>
  <c r="F4" i="1" a="1"/>
  <c r="F4" i="1" s="1"/>
  <c r="D5" i="1" a="1"/>
  <c r="D5" i="1" s="1"/>
  <c r="D6" i="1" s="1"/>
  <c r="D25" i="3" s="1"/>
  <c r="R19" i="4" s="1"/>
  <c r="E5" i="1" a="1"/>
  <c r="E5" i="1" s="1"/>
  <c r="E6" i="1" s="1"/>
  <c r="E25" i="3" s="1"/>
  <c r="Z19" i="4" s="1"/>
  <c r="F5" i="1" a="1"/>
  <c r="F5" i="1" s="1"/>
  <c r="F6" i="1" s="1"/>
  <c r="F25" i="3" s="1"/>
  <c r="AH19" i="4" s="1"/>
  <c r="D7" i="1" a="1"/>
  <c r="D7" i="1" s="1"/>
  <c r="D8" i="1" s="1"/>
  <c r="D16" i="3" s="1"/>
  <c r="E7" i="1" a="1"/>
  <c r="E7" i="1" s="1"/>
  <c r="E8" i="1" s="1"/>
  <c r="E16" i="3" s="1"/>
  <c r="F7" i="1" a="1"/>
  <c r="F7" i="1" s="1"/>
  <c r="F8" i="1" s="1"/>
  <c r="F16" i="3" s="1"/>
  <c r="D9" i="1" a="1"/>
  <c r="D9" i="1" s="1"/>
  <c r="D11" i="3" s="1"/>
  <c r="D12" i="3" s="1"/>
  <c r="E9" i="1" a="1"/>
  <c r="E9" i="1" s="1"/>
  <c r="E11" i="3" s="1"/>
  <c r="E12" i="3" s="1"/>
  <c r="F9" i="1" a="1"/>
  <c r="F9" i="1" s="1"/>
  <c r="F11" i="3" s="1"/>
  <c r="F12" i="3" s="1"/>
  <c r="D10" i="1" a="1"/>
  <c r="D10" i="1" s="1"/>
  <c r="E10" i="1" a="1"/>
  <c r="E10" i="1" s="1"/>
  <c r="F10" i="1" a="1"/>
  <c r="F10" i="1" s="1"/>
  <c r="D11" i="1" a="1"/>
  <c r="D11" i="1" s="1"/>
  <c r="E11" i="1" a="1"/>
  <c r="E11" i="1" s="1"/>
  <c r="F11" i="1" a="1"/>
  <c r="F11" i="1" s="1"/>
  <c r="AJ5" i="2"/>
  <c r="AJ7" i="2" s="1"/>
  <c r="AJ11" i="2" s="1"/>
  <c r="AI5" i="2"/>
  <c r="AI7" i="2" s="1"/>
  <c r="AI11" i="2" s="1"/>
  <c r="AH5" i="2"/>
  <c r="AG5" i="2"/>
  <c r="AF5" i="2"/>
  <c r="AB5" i="2"/>
  <c r="AA5" i="2"/>
  <c r="Z5" i="2"/>
  <c r="Z7" i="2" s="1"/>
  <c r="Z11" i="2" s="1"/>
  <c r="Y5" i="2"/>
  <c r="X5" i="2"/>
  <c r="T5" i="2"/>
  <c r="T7" i="2" s="1"/>
  <c r="T11" i="2" s="1"/>
  <c r="S5" i="2"/>
  <c r="R5" i="2"/>
  <c r="Q5" i="2"/>
  <c r="P5" i="2"/>
  <c r="R11" i="6" a="1"/>
  <c r="R11" i="6"/>
  <c r="R10" i="6" a="1"/>
  <c r="R10" i="6" s="1"/>
  <c r="R8" i="6" a="1"/>
  <c r="R8" i="6"/>
  <c r="R5" i="6" a="1"/>
  <c r="R5" i="6" s="1"/>
  <c r="AA3" i="6"/>
  <c r="AA2" i="6"/>
  <c r="H13" i="6"/>
  <c r="G13" i="6"/>
  <c r="G11" i="6"/>
  <c r="F5" i="6"/>
  <c r="F6" i="6"/>
  <c r="F4" i="6"/>
  <c r="B67" i="6"/>
  <c r="B66" i="6"/>
  <c r="B65" i="6"/>
  <c r="B64" i="6"/>
  <c r="B63" i="6"/>
  <c r="B62" i="6"/>
  <c r="A48" i="6"/>
  <c r="A54" i="6" s="1"/>
  <c r="A66" i="6" s="1"/>
  <c r="A46" i="6"/>
  <c r="A52" i="6" s="1"/>
  <c r="A64" i="6" s="1"/>
  <c r="A44" i="6"/>
  <c r="A50" i="6" s="1"/>
  <c r="A62" i="6" s="1"/>
  <c r="A42" i="6"/>
  <c r="A43" i="6" s="1"/>
  <c r="A41" i="6"/>
  <c r="A59" i="6" s="1"/>
  <c r="A40" i="6"/>
  <c r="A58" i="6" s="1"/>
  <c r="A39" i="6"/>
  <c r="A57" i="6" s="1"/>
  <c r="A38" i="6"/>
  <c r="A56" i="6" s="1"/>
  <c r="A37" i="6"/>
  <c r="A36" i="6"/>
  <c r="A35" i="6"/>
  <c r="A34" i="6"/>
  <c r="A33" i="6"/>
  <c r="A32" i="6"/>
  <c r="A31" i="6"/>
  <c r="A49" i="6" s="1"/>
  <c r="A55" i="6" s="1"/>
  <c r="A67" i="6" s="1"/>
  <c r="A30" i="6"/>
  <c r="A29" i="6"/>
  <c r="A47" i="6" s="1"/>
  <c r="A53" i="6" s="1"/>
  <c r="A65" i="6" s="1"/>
  <c r="A28" i="6"/>
  <c r="A27" i="6"/>
  <c r="A45" i="6" s="1"/>
  <c r="A51" i="6" s="1"/>
  <c r="A63" i="6" s="1"/>
  <c r="A26" i="6"/>
  <c r="C25" i="6"/>
  <c r="C31" i="6" s="1"/>
  <c r="C37" i="6" s="1"/>
  <c r="C43" i="6" s="1"/>
  <c r="C49" i="6" s="1"/>
  <c r="C55" i="6" s="1"/>
  <c r="C61" i="6" s="1"/>
  <c r="C67" i="6" s="1"/>
  <c r="A25" i="6"/>
  <c r="A24" i="6"/>
  <c r="A23" i="6"/>
  <c r="A22" i="6"/>
  <c r="A21" i="6"/>
  <c r="A20" i="6"/>
  <c r="C19" i="6"/>
  <c r="C18" i="6"/>
  <c r="C24" i="6" s="1"/>
  <c r="C30" i="6" s="1"/>
  <c r="C36" i="6" s="1"/>
  <c r="C42" i="6" s="1"/>
  <c r="C48" i="6" s="1"/>
  <c r="C54" i="6" s="1"/>
  <c r="C60" i="6" s="1"/>
  <c r="C66" i="6" s="1"/>
  <c r="C17" i="6"/>
  <c r="C23" i="6" s="1"/>
  <c r="C29" i="6" s="1"/>
  <c r="C35" i="6" s="1"/>
  <c r="C41" i="6" s="1"/>
  <c r="C47" i="6" s="1"/>
  <c r="C53" i="6" s="1"/>
  <c r="C59" i="6" s="1"/>
  <c r="C65" i="6" s="1"/>
  <c r="C16" i="6"/>
  <c r="C22" i="6" s="1"/>
  <c r="C28" i="6" s="1"/>
  <c r="C34" i="6" s="1"/>
  <c r="C40" i="6" s="1"/>
  <c r="C46" i="6" s="1"/>
  <c r="C52" i="6" s="1"/>
  <c r="C58" i="6" s="1"/>
  <c r="C64" i="6" s="1"/>
  <c r="C13" i="6"/>
  <c r="C12" i="6"/>
  <c r="C11" i="6"/>
  <c r="C10" i="6"/>
  <c r="E13" i="3" l="1"/>
  <c r="E15" i="3" s="1"/>
  <c r="F7" i="3"/>
  <c r="D13" i="3"/>
  <c r="D15" i="3" s="1"/>
  <c r="F13" i="3"/>
  <c r="F15" i="3" s="1"/>
  <c r="X7" i="2"/>
  <c r="X11" i="2" s="1"/>
  <c r="P7" i="2"/>
  <c r="P11" i="2" s="1"/>
  <c r="D70" i="6" s="1"/>
  <c r="D7" i="3"/>
  <c r="I15" i="3" s="1"/>
  <c r="R8" i="4" s="1"/>
  <c r="E7" i="3"/>
  <c r="R7" i="4"/>
  <c r="S3" i="4"/>
  <c r="AF7" i="2"/>
  <c r="D18" i="3"/>
  <c r="D19" i="3" s="1"/>
  <c r="B27" i="5"/>
  <c r="S7" i="2"/>
  <c r="S11" i="2" s="1"/>
  <c r="AG7" i="2"/>
  <c r="AG11" i="2" s="1"/>
  <c r="Z3" i="4"/>
  <c r="C25" i="5"/>
  <c r="AH7" i="2"/>
  <c r="AH11" i="2" s="1"/>
  <c r="D40" i="6"/>
  <c r="AH3" i="4"/>
  <c r="AH6" i="4" s="1"/>
  <c r="D42" i="6"/>
  <c r="D58" i="6"/>
  <c r="G4" i="6"/>
  <c r="I4" i="6" s="1"/>
  <c r="D34" i="6"/>
  <c r="B25" i="5"/>
  <c r="S6" i="4"/>
  <c r="G6" i="6"/>
  <c r="I6" i="6" s="1"/>
  <c r="C27" i="5"/>
  <c r="E18" i="3"/>
  <c r="E20" i="3" s="1"/>
  <c r="D36" i="6"/>
  <c r="Z6" i="4"/>
  <c r="R6" i="4"/>
  <c r="N6" i="5"/>
  <c r="N7" i="5"/>
  <c r="N8" i="5"/>
  <c r="F18" i="3"/>
  <c r="F19" i="3" s="1"/>
  <c r="AB7" i="2"/>
  <c r="AA7" i="2"/>
  <c r="AA11" i="2" s="1"/>
  <c r="Y7" i="2"/>
  <c r="Y11" i="2" s="1"/>
  <c r="R7" i="2"/>
  <c r="R11" i="2" s="1"/>
  <c r="Q7" i="2"/>
  <c r="A60" i="6"/>
  <c r="A61" i="6" s="1"/>
  <c r="E19" i="3" l="1"/>
  <c r="E21" i="3" s="1"/>
  <c r="E23" i="3" s="1"/>
  <c r="D20" i="3"/>
  <c r="D21" i="3" s="1"/>
  <c r="AB11" i="2"/>
  <c r="B26" i="5"/>
  <c r="D35" i="6"/>
  <c r="G5" i="6"/>
  <c r="I5" i="6" s="1"/>
  <c r="Q11" i="2"/>
  <c r="D4" i="3"/>
  <c r="R4" i="4" s="1"/>
  <c r="R5" i="4" s="1"/>
  <c r="R9" i="4" s="1"/>
  <c r="I16" i="3"/>
  <c r="Z8" i="4" s="1"/>
  <c r="Z7" i="4"/>
  <c r="I17" i="3"/>
  <c r="AH8" i="4" s="1"/>
  <c r="AH7" i="4"/>
  <c r="AI3" i="4"/>
  <c r="T3" i="4"/>
  <c r="S7" i="4"/>
  <c r="J15" i="3"/>
  <c r="S8" i="4" s="1"/>
  <c r="AA3" i="4"/>
  <c r="E4" i="3"/>
  <c r="Z4" i="4" s="1"/>
  <c r="Z5" i="4" s="1"/>
  <c r="AF11" i="2"/>
  <c r="F4" i="3"/>
  <c r="AH4" i="4" s="1"/>
  <c r="AH5" i="4" s="1"/>
  <c r="AH9" i="4" s="1"/>
  <c r="K8" i="5"/>
  <c r="L8" i="5"/>
  <c r="I8" i="5"/>
  <c r="L6" i="5"/>
  <c r="K6" i="5"/>
  <c r="I6" i="5"/>
  <c r="K7" i="5"/>
  <c r="L7" i="5"/>
  <c r="I7" i="5"/>
  <c r="D23" i="3"/>
  <c r="F20" i="3"/>
  <c r="F21" i="3" s="1"/>
  <c r="D3" i="6"/>
  <c r="D2" i="6"/>
  <c r="H3" i="6"/>
  <c r="H2" i="6"/>
  <c r="C3" i="6"/>
  <c r="C2" i="6"/>
  <c r="C8" i="6" s="1"/>
  <c r="C14" i="6" s="1"/>
  <c r="C20" i="6" s="1"/>
  <c r="C26" i="6" s="1"/>
  <c r="C32" i="6" s="1"/>
  <c r="C38" i="6" s="1"/>
  <c r="C44" i="6" s="1"/>
  <c r="C50" i="6" s="1"/>
  <c r="C56" i="6" s="1"/>
  <c r="C62" i="6" s="1"/>
  <c r="S4" i="4" l="1"/>
  <c r="S5" i="4" s="1"/>
  <c r="S9" i="4" s="1"/>
  <c r="D7" i="6"/>
  <c r="Z9" i="4"/>
  <c r="AA7" i="4"/>
  <c r="AB3" i="4"/>
  <c r="J16" i="3"/>
  <c r="AA8" i="4" s="1"/>
  <c r="AA4" i="4"/>
  <c r="AA5" i="4" s="1"/>
  <c r="AA6" i="4"/>
  <c r="D60" i="6"/>
  <c r="D72" i="6"/>
  <c r="U3" i="4"/>
  <c r="T4" i="4"/>
  <c r="T7" i="4"/>
  <c r="K15" i="3"/>
  <c r="T8" i="4" s="1"/>
  <c r="T6" i="4"/>
  <c r="AI7" i="4"/>
  <c r="AI4" i="4"/>
  <c r="AI5" i="4" s="1"/>
  <c r="J17" i="3"/>
  <c r="AI8" i="4" s="1"/>
  <c r="AJ3" i="4"/>
  <c r="AI6" i="4"/>
  <c r="C26" i="5"/>
  <c r="D71" i="6"/>
  <c r="D59" i="6"/>
  <c r="D41" i="6"/>
  <c r="F23" i="3"/>
  <c r="T5" i="4"/>
  <c r="F2" i="6"/>
  <c r="F3" i="6"/>
  <c r="C9" i="6"/>
  <c r="C15" i="6" s="1"/>
  <c r="C21" i="6" s="1"/>
  <c r="C27" i="6" s="1"/>
  <c r="C33" i="6" s="1"/>
  <c r="C39" i="6" s="1"/>
  <c r="C45" i="6" s="1"/>
  <c r="C51" i="6" s="1"/>
  <c r="C57" i="6" s="1"/>
  <c r="C63" i="6" s="1"/>
  <c r="E24" i="5"/>
  <c r="E23" i="5"/>
  <c r="L4" i="5" s="1"/>
  <c r="D24" i="5"/>
  <c r="D23" i="5"/>
  <c r="K4" i="5" s="1"/>
  <c r="D20" i="5"/>
  <c r="E20" i="5"/>
  <c r="B20" i="5"/>
  <c r="C4" i="5" a="1"/>
  <c r="C4" i="5" s="1"/>
  <c r="C5" i="5" a="1"/>
  <c r="C5" i="5" s="1"/>
  <c r="C6" i="5" a="1"/>
  <c r="C6" i="5" s="1"/>
  <c r="C7" i="5" a="1"/>
  <c r="C7" i="5" s="1"/>
  <c r="C8" i="5" a="1"/>
  <c r="C8" i="5" s="1"/>
  <c r="C10" i="5" a="1"/>
  <c r="C10" i="5" s="1"/>
  <c r="C11" i="5" a="1"/>
  <c r="C11" i="5" s="1"/>
  <c r="C12" i="5" a="1"/>
  <c r="C12" i="5" s="1"/>
  <c r="C13" i="5" a="1"/>
  <c r="C13" i="5" s="1"/>
  <c r="C14" i="5" a="1"/>
  <c r="C14" i="5" s="1"/>
  <c r="C15" i="5" a="1"/>
  <c r="C15" i="5" s="1"/>
  <c r="C16" i="5" a="1"/>
  <c r="C16" i="5" s="1"/>
  <c r="C17" i="5" a="1"/>
  <c r="C17" i="5" s="1"/>
  <c r="C18" i="5" a="1"/>
  <c r="C18" i="5" s="1"/>
  <c r="C3" i="5" a="1"/>
  <c r="C3" i="5" s="1"/>
  <c r="C6" i="3"/>
  <c r="B6" i="3"/>
  <c r="M31" i="2"/>
  <c r="L31" i="2"/>
  <c r="K31" i="2"/>
  <c r="J31" i="2"/>
  <c r="I31" i="2"/>
  <c r="B5" i="3"/>
  <c r="C3" i="3"/>
  <c r="J3" i="4" s="1"/>
  <c r="C24" i="3"/>
  <c r="B24" i="3"/>
  <c r="B19" i="4"/>
  <c r="J4" i="3"/>
  <c r="K4" i="3"/>
  <c r="L4" i="3"/>
  <c r="M4" i="3"/>
  <c r="J5" i="3"/>
  <c r="K5" i="3"/>
  <c r="L5" i="3"/>
  <c r="M5" i="3"/>
  <c r="I5" i="3"/>
  <c r="I4" i="3"/>
  <c r="B3" i="3"/>
  <c r="M22" i="2"/>
  <c r="C17" i="3" s="1"/>
  <c r="L22" i="2"/>
  <c r="K22" i="2"/>
  <c r="J22" i="2"/>
  <c r="I22" i="2"/>
  <c r="C13" i="3" s="1"/>
  <c r="C15" i="3" s="1"/>
  <c r="M6" i="2"/>
  <c r="L6" i="2"/>
  <c r="K6" i="2"/>
  <c r="J6" i="2"/>
  <c r="I6" i="2"/>
  <c r="J5" i="2"/>
  <c r="K5" i="2"/>
  <c r="L5" i="2"/>
  <c r="L7" i="2" s="1"/>
  <c r="L11" i="2" s="1"/>
  <c r="M5" i="2"/>
  <c r="I5" i="2"/>
  <c r="F30" i="2"/>
  <c r="E30" i="2"/>
  <c r="D30" i="2"/>
  <c r="B30" i="2"/>
  <c r="F22" i="2"/>
  <c r="B17" i="3" s="1"/>
  <c r="E22" i="2"/>
  <c r="B13" i="3" s="1"/>
  <c r="B15" i="3" s="1"/>
  <c r="C23" i="2"/>
  <c r="D22" i="2"/>
  <c r="C22" i="2"/>
  <c r="B22" i="2"/>
  <c r="F6" i="2"/>
  <c r="E6" i="2"/>
  <c r="D6" i="2"/>
  <c r="D7" i="2" s="1"/>
  <c r="D11" i="2" s="1"/>
  <c r="C6" i="2"/>
  <c r="C7" i="2" s="1"/>
  <c r="C11" i="2" s="1"/>
  <c r="C5" i="2"/>
  <c r="D5" i="2"/>
  <c r="E5" i="2"/>
  <c r="F5" i="2"/>
  <c r="B6" i="2"/>
  <c r="B5" i="2"/>
  <c r="J7" i="2" l="1"/>
  <c r="J11" i="2" s="1"/>
  <c r="C5" i="3"/>
  <c r="T9" i="4"/>
  <c r="AA9" i="4"/>
  <c r="AK3" i="4"/>
  <c r="K17" i="3"/>
  <c r="AJ8" i="4" s="1"/>
  <c r="AJ7" i="4"/>
  <c r="AJ4" i="4"/>
  <c r="AJ5" i="4" s="1"/>
  <c r="AJ9" i="4" s="1"/>
  <c r="AJ6" i="4"/>
  <c r="AB7" i="4"/>
  <c r="K16" i="3"/>
  <c r="AB8" i="4" s="1"/>
  <c r="AB4" i="4"/>
  <c r="AB5" i="4" s="1"/>
  <c r="AC3" i="4"/>
  <c r="AB6" i="4"/>
  <c r="I7" i="2"/>
  <c r="I11" i="2" s="1"/>
  <c r="V3" i="4"/>
  <c r="L15" i="3"/>
  <c r="U8" i="4" s="1"/>
  <c r="U4" i="4"/>
  <c r="U5" i="4" s="1"/>
  <c r="U7" i="4"/>
  <c r="U6" i="4"/>
  <c r="AI9" i="4"/>
  <c r="B7" i="2"/>
  <c r="C7" i="3"/>
  <c r="I14" i="3" s="1"/>
  <c r="J8" i="4" s="1"/>
  <c r="B7" i="3"/>
  <c r="J17" i="4"/>
  <c r="B3" i="4"/>
  <c r="C20" i="5"/>
  <c r="J6" i="4"/>
  <c r="J7" i="4"/>
  <c r="K3" i="4"/>
  <c r="B17" i="4"/>
  <c r="M7" i="2"/>
  <c r="D33" i="6" s="1"/>
  <c r="K7" i="2"/>
  <c r="K11" i="2" s="1"/>
  <c r="F7" i="2"/>
  <c r="D32" i="6" s="1"/>
  <c r="E7" i="2"/>
  <c r="E11" i="2" s="1"/>
  <c r="C2" i="1" a="1"/>
  <c r="C2" i="1" s="1"/>
  <c r="C3" i="1" a="1"/>
  <c r="C3" i="1" s="1"/>
  <c r="C4" i="1" a="1"/>
  <c r="C4" i="1" s="1"/>
  <c r="C5" i="1" a="1"/>
  <c r="C5" i="1" s="1"/>
  <c r="C6" i="1" s="1"/>
  <c r="C25" i="3" s="1"/>
  <c r="N5" i="5" s="1"/>
  <c r="C7" i="1" a="1"/>
  <c r="C7" i="1" s="1"/>
  <c r="C8" i="1" s="1"/>
  <c r="C16" i="3" s="1"/>
  <c r="C9" i="1" a="1"/>
  <c r="C9" i="1" s="1"/>
  <c r="C11" i="3" s="1"/>
  <c r="C12" i="3" s="1"/>
  <c r="AB3" i="6" s="1"/>
  <c r="C10" i="1" a="1"/>
  <c r="C10" i="1" s="1"/>
  <c r="C11" i="1" a="1"/>
  <c r="C11" i="1" s="1"/>
  <c r="B11" i="1" a="1"/>
  <c r="B11" i="1" s="1"/>
  <c r="B10" i="1" a="1"/>
  <c r="B10" i="1" s="1"/>
  <c r="B9" i="1" a="1"/>
  <c r="B9" i="1" s="1"/>
  <c r="B11" i="3" s="1"/>
  <c r="B7" i="1" a="1"/>
  <c r="B7" i="1" s="1"/>
  <c r="B8" i="1" s="1"/>
  <c r="B16" i="3" s="1"/>
  <c r="B5" i="1" a="1"/>
  <c r="B5" i="1" s="1"/>
  <c r="B6" i="1" s="1"/>
  <c r="B3" i="1" a="1"/>
  <c r="B3" i="1" s="1"/>
  <c r="B2" i="1" a="1"/>
  <c r="B2" i="1" s="1"/>
  <c r="U9" i="4" l="1"/>
  <c r="B7" i="4"/>
  <c r="AC7" i="4"/>
  <c r="AD3" i="4"/>
  <c r="L16" i="3"/>
  <c r="AC8" i="4" s="1"/>
  <c r="AC4" i="4"/>
  <c r="AC5" i="4" s="1"/>
  <c r="AC6" i="4"/>
  <c r="AB9" i="4"/>
  <c r="AK7" i="4"/>
  <c r="AK4" i="4"/>
  <c r="AK5" i="4" s="1"/>
  <c r="AK6" i="4"/>
  <c r="AL3" i="4"/>
  <c r="L17" i="3"/>
  <c r="AK8" i="4" s="1"/>
  <c r="AK9" i="4" s="1"/>
  <c r="W3" i="4"/>
  <c r="M15" i="3"/>
  <c r="V8" i="4" s="1"/>
  <c r="V4" i="4"/>
  <c r="V7" i="4"/>
  <c r="V6" i="4"/>
  <c r="D46" i="6"/>
  <c r="D37" i="6"/>
  <c r="B12" i="3"/>
  <c r="K5" i="5"/>
  <c r="L5" i="5"/>
  <c r="J7" i="5"/>
  <c r="I17" i="5" s="1"/>
  <c r="K17" i="5" s="1"/>
  <c r="J8" i="5"/>
  <c r="I18" i="5" s="1"/>
  <c r="K18" i="5" s="1"/>
  <c r="J6" i="5"/>
  <c r="I16" i="5" s="1"/>
  <c r="K16" i="5" s="1"/>
  <c r="V5" i="4"/>
  <c r="G2" i="6"/>
  <c r="I2" i="6" s="1"/>
  <c r="B23" i="5"/>
  <c r="I4" i="5" s="1"/>
  <c r="F11" i="2"/>
  <c r="R3" i="6" a="1"/>
  <c r="R3" i="6" s="1"/>
  <c r="B4" i="3"/>
  <c r="B4" i="4" s="1"/>
  <c r="B5" i="4" s="1"/>
  <c r="B11" i="2"/>
  <c r="R4" i="6" s="1" a="1"/>
  <c r="R4" i="6" s="1"/>
  <c r="M11" i="2"/>
  <c r="G3" i="6"/>
  <c r="I3" i="6" s="1"/>
  <c r="B24" i="5"/>
  <c r="I5" i="5" s="1"/>
  <c r="C4" i="3"/>
  <c r="J4" i="4" s="1"/>
  <c r="J14" i="3"/>
  <c r="K8" i="4" s="1"/>
  <c r="R9" i="6" a="1"/>
  <c r="R9" i="6" s="1"/>
  <c r="I13" i="3"/>
  <c r="B8" i="4" s="1"/>
  <c r="B6" i="4"/>
  <c r="C3" i="4"/>
  <c r="B21" i="4"/>
  <c r="AD2" i="6" s="1"/>
  <c r="J14" i="5"/>
  <c r="J21" i="4"/>
  <c r="AD3" i="6" s="1"/>
  <c r="J15" i="5"/>
  <c r="J19" i="4"/>
  <c r="K7" i="4"/>
  <c r="L3" i="4"/>
  <c r="K6" i="4"/>
  <c r="B18" i="3"/>
  <c r="B19" i="3" s="1"/>
  <c r="C18" i="3"/>
  <c r="C19" i="3" s="1"/>
  <c r="AL7" i="4" l="1"/>
  <c r="AL4" i="4"/>
  <c r="AL5" i="4" s="1"/>
  <c r="AL6" i="4"/>
  <c r="M17" i="3"/>
  <c r="AL8" i="4" s="1"/>
  <c r="AL9" i="4" s="1"/>
  <c r="AM3" i="4"/>
  <c r="D48" i="6" s="1"/>
  <c r="C24" i="5"/>
  <c r="J5" i="5" s="1"/>
  <c r="I15" i="5" s="1"/>
  <c r="K15" i="5" s="1"/>
  <c r="D69" i="6"/>
  <c r="D57" i="6"/>
  <c r="D39" i="6"/>
  <c r="AD7" i="4"/>
  <c r="M16" i="3"/>
  <c r="AD8" i="4" s="1"/>
  <c r="AD4" i="4"/>
  <c r="AD5" i="4" s="1"/>
  <c r="AD6" i="4"/>
  <c r="AE3" i="4"/>
  <c r="D47" i="6" s="1"/>
  <c r="C23" i="5"/>
  <c r="J4" i="5" s="1"/>
  <c r="I14" i="5" s="1"/>
  <c r="K14" i="5" s="1"/>
  <c r="D68" i="6"/>
  <c r="D56" i="6"/>
  <c r="D61" i="6" s="1"/>
  <c r="G14" i="6" s="1"/>
  <c r="D38" i="6"/>
  <c r="W7" i="4"/>
  <c r="N15" i="3"/>
  <c r="W8" i="4" s="1"/>
  <c r="W4" i="4"/>
  <c r="J4" i="6" s="1"/>
  <c r="W6" i="4"/>
  <c r="L4" i="6" s="1"/>
  <c r="I7" i="6"/>
  <c r="AC9" i="4"/>
  <c r="AB2" i="6"/>
  <c r="V9" i="4"/>
  <c r="K4" i="4"/>
  <c r="K5" i="4" s="1"/>
  <c r="K9" i="4" s="1"/>
  <c r="J5" i="4"/>
  <c r="J13" i="3"/>
  <c r="C8" i="4" s="1"/>
  <c r="D3" i="4"/>
  <c r="C6" i="4"/>
  <c r="C4" i="4"/>
  <c r="C7" i="4"/>
  <c r="B9" i="4"/>
  <c r="M3" i="4"/>
  <c r="L6" i="4"/>
  <c r="L7" i="4"/>
  <c r="L4" i="4"/>
  <c r="K14" i="3"/>
  <c r="L8" i="4" s="1"/>
  <c r="C20" i="3"/>
  <c r="C21" i="3" s="1"/>
  <c r="Z3" i="6" s="1"/>
  <c r="B20" i="3"/>
  <c r="W5" i="4" l="1"/>
  <c r="AD9" i="4"/>
  <c r="D73" i="6"/>
  <c r="R15" i="4"/>
  <c r="AE7" i="4"/>
  <c r="N16" i="3"/>
  <c r="AE8" i="4" s="1"/>
  <c r="AE4" i="4"/>
  <c r="AE6" i="4"/>
  <c r="L5" i="6" s="1"/>
  <c r="W9" i="4"/>
  <c r="R13" i="4" s="1"/>
  <c r="R14" i="4" s="1"/>
  <c r="D64" i="6"/>
  <c r="D16" i="6"/>
  <c r="D22" i="6" s="1"/>
  <c r="D28" i="6" s="1"/>
  <c r="D10" i="6"/>
  <c r="D43" i="6"/>
  <c r="N17" i="3"/>
  <c r="AM8" i="4" s="1"/>
  <c r="AM4" i="4"/>
  <c r="AM7" i="4"/>
  <c r="AM6" i="4"/>
  <c r="L6" i="6" s="1"/>
  <c r="B21" i="3"/>
  <c r="Z2" i="6" s="1"/>
  <c r="J9" i="4"/>
  <c r="E3" i="4"/>
  <c r="D7" i="4"/>
  <c r="D4" i="4"/>
  <c r="D5" i="4" s="1"/>
  <c r="D6" i="4"/>
  <c r="K13" i="3"/>
  <c r="D8" i="4" s="1"/>
  <c r="D9" i="4" s="1"/>
  <c r="L5" i="4"/>
  <c r="C5" i="4"/>
  <c r="C23" i="3"/>
  <c r="N3" i="4"/>
  <c r="M7" i="4"/>
  <c r="M4" i="4"/>
  <c r="M5" i="4" s="1"/>
  <c r="M6" i="4"/>
  <c r="L14" i="3"/>
  <c r="M8" i="4" s="1"/>
  <c r="M9" i="4" s="1"/>
  <c r="J6" i="6" l="1"/>
  <c r="AM5" i="4"/>
  <c r="J5" i="6"/>
  <c r="AE5" i="4"/>
  <c r="D17" i="6"/>
  <c r="D23" i="6" s="1"/>
  <c r="D29" i="6" s="1"/>
  <c r="D11" i="6"/>
  <c r="K4" i="6"/>
  <c r="M4" i="6" s="1"/>
  <c r="N4" i="6" s="1"/>
  <c r="O4" i="6" s="1"/>
  <c r="D52" i="6"/>
  <c r="D18" i="6"/>
  <c r="D24" i="6" s="1"/>
  <c r="D30" i="6" s="1"/>
  <c r="D12" i="6"/>
  <c r="B23" i="3"/>
  <c r="R16" i="4"/>
  <c r="R18" i="4" s="1"/>
  <c r="R20" i="4" s="1"/>
  <c r="R22" i="4" s="1"/>
  <c r="C9" i="4"/>
  <c r="F3" i="4"/>
  <c r="E6" i="4"/>
  <c r="E7" i="4"/>
  <c r="E4" i="4"/>
  <c r="L13" i="3"/>
  <c r="E8" i="4" s="1"/>
  <c r="L9" i="4"/>
  <c r="O3" i="4"/>
  <c r="N6" i="4"/>
  <c r="N4" i="4"/>
  <c r="N7" i="4"/>
  <c r="M14" i="3"/>
  <c r="N8" i="4" s="1"/>
  <c r="D53" i="6" l="1"/>
  <c r="K5" i="6"/>
  <c r="M5" i="6" s="1"/>
  <c r="D65" i="6"/>
  <c r="AE9" i="4"/>
  <c r="N5" i="6"/>
  <c r="O5" i="6" s="1"/>
  <c r="D66" i="6"/>
  <c r="AM9" i="4"/>
  <c r="R21" i="6" a="1"/>
  <c r="R21" i="6" s="1"/>
  <c r="D45" i="6"/>
  <c r="D54" i="6"/>
  <c r="K6" i="6"/>
  <c r="M6" i="6" s="1"/>
  <c r="N6" i="6" s="1"/>
  <c r="O6" i="6" s="1"/>
  <c r="N5" i="4"/>
  <c r="G3" i="4"/>
  <c r="M13" i="3"/>
  <c r="F7" i="4"/>
  <c r="F6" i="4"/>
  <c r="F4" i="4"/>
  <c r="F5" i="4" s="1"/>
  <c r="E5" i="4"/>
  <c r="O6" i="4"/>
  <c r="L3" i="6" s="1"/>
  <c r="O4" i="4"/>
  <c r="R22" i="6" s="1" a="1"/>
  <c r="R22" i="6" s="1"/>
  <c r="N14" i="3"/>
  <c r="O8" i="4" s="1"/>
  <c r="O7" i="4"/>
  <c r="R24" i="6" l="1" a="1"/>
  <c r="R24" i="6" s="1"/>
  <c r="D15" i="6"/>
  <c r="D21" i="6" s="1"/>
  <c r="D27" i="6" s="1"/>
  <c r="D9" i="6"/>
  <c r="R14" i="6" a="1"/>
  <c r="R14" i="6" s="1"/>
  <c r="D44" i="6"/>
  <c r="D49" i="6" s="1"/>
  <c r="AH13" i="4"/>
  <c r="AH14" i="4" s="1"/>
  <c r="AH15" i="4"/>
  <c r="Z13" i="4"/>
  <c r="Z14" i="4" s="1"/>
  <c r="Z15" i="4"/>
  <c r="N9" i="4"/>
  <c r="N13" i="3"/>
  <c r="G8" i="4" s="1"/>
  <c r="G6" i="4"/>
  <c r="L2" i="6" s="1"/>
  <c r="G7" i="4"/>
  <c r="G4" i="4"/>
  <c r="R15" i="6" s="1" a="1"/>
  <c r="R15" i="6" s="1"/>
  <c r="E9" i="4"/>
  <c r="O5" i="4"/>
  <c r="D63" i="6" s="1"/>
  <c r="J3" i="6"/>
  <c r="F8" i="4"/>
  <c r="F9" i="4" s="1"/>
  <c r="Z16" i="4" l="1"/>
  <c r="Z18" i="4" s="1"/>
  <c r="Z20" i="4" s="1"/>
  <c r="Z22" i="4" s="1"/>
  <c r="AH16" i="4"/>
  <c r="AH18" i="4" s="1"/>
  <c r="AH20" i="4" s="1"/>
  <c r="AH22" i="4" s="1"/>
  <c r="R17" i="6" a="1"/>
  <c r="R17" i="6" s="1"/>
  <c r="D14" i="6"/>
  <c r="D8" i="6"/>
  <c r="K3" i="6"/>
  <c r="M3" i="6" s="1"/>
  <c r="N3" i="6" s="1"/>
  <c r="O3" i="6" s="1"/>
  <c r="D51" i="6"/>
  <c r="R23" i="6" a="1"/>
  <c r="R23" i="6" s="1"/>
  <c r="O9" i="4"/>
  <c r="R25" i="6" s="1" a="1"/>
  <c r="R25" i="6" s="1"/>
  <c r="G5" i="4"/>
  <c r="J2" i="6"/>
  <c r="J15" i="4" l="1"/>
  <c r="D50" i="6"/>
  <c r="D13" i="6"/>
  <c r="K2" i="6"/>
  <c r="M2" i="6" s="1"/>
  <c r="N2" i="6" s="1"/>
  <c r="D55" i="6"/>
  <c r="R16" i="6" a="1"/>
  <c r="R16" i="6" s="1"/>
  <c r="D62" i="6"/>
  <c r="D67" i="6" s="1"/>
  <c r="H14" i="6" s="1"/>
  <c r="D20" i="6"/>
  <c r="D19" i="6"/>
  <c r="J13" i="4"/>
  <c r="J14" i="4" s="1"/>
  <c r="G9" i="4"/>
  <c r="B13" i="4" s="1"/>
  <c r="B14" i="4" s="1"/>
  <c r="B15" i="4"/>
  <c r="J16" i="4" l="1"/>
  <c r="J18" i="4" s="1"/>
  <c r="J20" i="4" s="1"/>
  <c r="AC3" i="6" s="1"/>
  <c r="AE3" i="6" s="1"/>
  <c r="N7" i="6"/>
  <c r="O2" i="6"/>
  <c r="O7" i="6" s="1"/>
  <c r="D25" i="6"/>
  <c r="D26" i="6"/>
  <c r="D31" i="6" s="1"/>
  <c r="R18" i="6" a="1"/>
  <c r="R18" i="6" s="1"/>
  <c r="B16" i="4"/>
  <c r="B18" i="4" s="1"/>
  <c r="B20" i="4" s="1"/>
  <c r="AC2" i="6" s="1"/>
  <c r="AE2" i="6" s="1"/>
  <c r="J22" i="4" l="1"/>
  <c r="B2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7">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futureMetadata>
  <cellMetadata count="1">
    <bk>
      <rc t="1" v="0"/>
    </bk>
  </cellMetadata>
  <valueMetadata count="17">
    <bk>
      <rc t="2" v="0"/>
    </bk>
    <bk>
      <rc t="2" v="1"/>
    </bk>
    <bk>
      <rc t="2" v="2"/>
    </bk>
    <bk>
      <rc t="2" v="3"/>
    </bk>
    <bk>
      <rc t="2" v="4"/>
    </bk>
    <bk>
      <rc t="2" v="5"/>
    </bk>
    <bk>
      <rc t="2" v="6"/>
    </bk>
    <bk>
      <rc t="2" v="7"/>
    </bk>
    <bk>
      <rc t="2" v="8"/>
    </bk>
    <bk>
      <rc t="2" v="9"/>
    </bk>
    <bk>
      <rc t="2" v="10"/>
    </bk>
    <bk>
      <rc t="2" v="11"/>
    </bk>
    <bk>
      <rc t="2" v="12"/>
    </bk>
    <bk>
      <rc t="2" v="13"/>
    </bk>
    <bk>
      <rc t="2" v="14"/>
    </bk>
    <bk>
      <rc t="2" v="15"/>
    </bk>
    <bk>
      <rc t="2" v="16"/>
    </bk>
  </valueMetadata>
</metadata>
</file>

<file path=xl/sharedStrings.xml><?xml version="1.0" encoding="utf-8"?>
<sst xmlns="http://schemas.openxmlformats.org/spreadsheetml/2006/main" count="638" uniqueCount="131">
  <si>
    <t>Company</t>
  </si>
  <si>
    <t>Official name</t>
  </si>
  <si>
    <t>Share Price</t>
  </si>
  <si>
    <t>Change (%)</t>
  </si>
  <si>
    <t>Shares outstanding</t>
  </si>
  <si>
    <t>in mn</t>
  </si>
  <si>
    <t>Market cap</t>
  </si>
  <si>
    <t>Beta</t>
  </si>
  <si>
    <t>P/E</t>
  </si>
  <si>
    <t>Year</t>
  </si>
  <si>
    <t>Income Statement</t>
  </si>
  <si>
    <t>Particulars</t>
  </si>
  <si>
    <t>Revenue</t>
  </si>
  <si>
    <t>Cost of goods sold</t>
  </si>
  <si>
    <t>Gross profit</t>
  </si>
  <si>
    <t>Opex</t>
  </si>
  <si>
    <t>Operating income (EBIT)</t>
  </si>
  <si>
    <t>Depreciation &amp; Amortization</t>
  </si>
  <si>
    <t>Internet expense</t>
  </si>
  <si>
    <t>Income tax expense</t>
  </si>
  <si>
    <t>Net Income</t>
  </si>
  <si>
    <t>Balance Sheet</t>
  </si>
  <si>
    <t>Cash &amp; Cash equivalents</t>
  </si>
  <si>
    <t>Accounts Receivables</t>
  </si>
  <si>
    <t>Inventories</t>
  </si>
  <si>
    <t>Total current assets</t>
  </si>
  <si>
    <t>Accounts payable</t>
  </si>
  <si>
    <t>Total current liabilities</t>
  </si>
  <si>
    <t>PPE</t>
  </si>
  <si>
    <t>Total debt</t>
  </si>
  <si>
    <t>Shareholder's equity</t>
  </si>
  <si>
    <t>Cash flow statement</t>
  </si>
  <si>
    <t>Cash flow from operating activities</t>
  </si>
  <si>
    <t>Capex</t>
  </si>
  <si>
    <t>Dividends paid</t>
  </si>
  <si>
    <t>Debt paid</t>
  </si>
  <si>
    <t>2020</t>
  </si>
  <si>
    <t>2021</t>
  </si>
  <si>
    <t>2022</t>
  </si>
  <si>
    <t>2023</t>
  </si>
  <si>
    <t>2024</t>
  </si>
  <si>
    <t>Assumptions &amp; WACC</t>
  </si>
  <si>
    <t xml:space="preserve">Metric </t>
  </si>
  <si>
    <t>Pfizer</t>
  </si>
  <si>
    <t>Merck</t>
  </si>
  <si>
    <t>Revenue CAGR</t>
  </si>
  <si>
    <t>EBIT Margin</t>
  </si>
  <si>
    <t>Depreciation</t>
  </si>
  <si>
    <t>Working capital</t>
  </si>
  <si>
    <t>Risk-free rate</t>
  </si>
  <si>
    <t>Equity risk premium</t>
  </si>
  <si>
    <t>Cost of equity</t>
  </si>
  <si>
    <t>Kd (pre-tax)</t>
  </si>
  <si>
    <t>Tax rate</t>
  </si>
  <si>
    <t>Kd (after-tax)</t>
  </si>
  <si>
    <t>Total capital</t>
  </si>
  <si>
    <t>Debt weight</t>
  </si>
  <si>
    <t>Equity weight</t>
  </si>
  <si>
    <t>WACC</t>
  </si>
  <si>
    <t>Terminal Growth rate</t>
  </si>
  <si>
    <t>PV discount (terminal year)</t>
  </si>
  <si>
    <t>Cash &amp; cash equivalents</t>
  </si>
  <si>
    <t>2025</t>
  </si>
  <si>
    <t>2026</t>
  </si>
  <si>
    <t>2027</t>
  </si>
  <si>
    <t>2028</t>
  </si>
  <si>
    <t>2029</t>
  </si>
  <si>
    <t>2030</t>
  </si>
  <si>
    <t>EBIT</t>
  </si>
  <si>
    <t>NOPAT</t>
  </si>
  <si>
    <t xml:space="preserve"> Change in Working capital</t>
  </si>
  <si>
    <t>FCFF</t>
  </si>
  <si>
    <t>Metrics</t>
  </si>
  <si>
    <t>Value</t>
  </si>
  <si>
    <t>Terminal Value</t>
  </si>
  <si>
    <t>PV of Terminal value</t>
  </si>
  <si>
    <t>PV of FCFF</t>
  </si>
  <si>
    <t>Total enterprise value</t>
  </si>
  <si>
    <t>Net debt</t>
  </si>
  <si>
    <t>Total equity value</t>
  </si>
  <si>
    <t>Outstanding shares</t>
  </si>
  <si>
    <t>Intrinsic value</t>
  </si>
  <si>
    <t>Current market price</t>
  </si>
  <si>
    <t>Upside/Downside</t>
  </si>
  <si>
    <t>WC-Pfizer</t>
  </si>
  <si>
    <t>WC-Merck</t>
  </si>
  <si>
    <t>Project horizon (years)</t>
  </si>
  <si>
    <t>RELATIVE</t>
  </si>
  <si>
    <t>EV/EBITDA</t>
  </si>
  <si>
    <t>P/S</t>
  </si>
  <si>
    <t>P/B</t>
  </si>
  <si>
    <t>Average</t>
  </si>
  <si>
    <t>EBITDA</t>
  </si>
  <si>
    <t>Book Value</t>
  </si>
  <si>
    <t>Target Price</t>
  </si>
  <si>
    <t>CMP</t>
  </si>
  <si>
    <t>U/D</t>
  </si>
  <si>
    <t>Change in EBIT (historical)</t>
  </si>
  <si>
    <t>Change in CE</t>
  </si>
  <si>
    <t>Incremental ROCE (Historical)</t>
  </si>
  <si>
    <t>Change in EBIT (Forecast)</t>
  </si>
  <si>
    <t>Effective capital</t>
  </si>
  <si>
    <t>Raw ROCE</t>
  </si>
  <si>
    <t>Adjusted ROCE (Forecast)</t>
  </si>
  <si>
    <t>2020-24</t>
  </si>
  <si>
    <t>Avg Capex</t>
  </si>
  <si>
    <t>2025-30</t>
  </si>
  <si>
    <t>Capex CAGR</t>
  </si>
  <si>
    <t>GDP</t>
  </si>
  <si>
    <t>Earnings CAGR</t>
  </si>
  <si>
    <t>Change</t>
  </si>
  <si>
    <t>Sensitivity</t>
  </si>
  <si>
    <t>Earnings Growth</t>
  </si>
  <si>
    <t>EBITDA Margin</t>
  </si>
  <si>
    <t>Avg Revenue (Exp)</t>
  </si>
  <si>
    <t>Operating income</t>
  </si>
  <si>
    <t>Net income</t>
  </si>
  <si>
    <t>Terminal growth</t>
  </si>
  <si>
    <t>Share price</t>
  </si>
  <si>
    <t>Amgen</t>
  </si>
  <si>
    <t>Eli Lilly</t>
  </si>
  <si>
    <t>J&amp;J</t>
  </si>
  <si>
    <t>NPM</t>
  </si>
  <si>
    <t>Capex Intensity</t>
  </si>
  <si>
    <t>Metric</t>
  </si>
  <si>
    <t>WC-Amgen</t>
  </si>
  <si>
    <t>WC-LLY</t>
  </si>
  <si>
    <t>WC-JnJ</t>
  </si>
  <si>
    <t>Total assets</t>
  </si>
  <si>
    <t>LLY</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</si>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</sst>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3" formatCode="_ * #,##0.00_ ;_ * \-#,##0.00_ ;_ * &quot;-&quot;??_ ;_ @_ "/>
    <numFmt numFmtId="164" formatCode="_([$$-409]* #,##0.00_);_([$$-409]* \(#,##0.00\);_([$$-409]* &quot;-&quot;??_);_(@_)"/>
    <numFmt numFmtId="165" formatCode="_([$$-409]* #,##0_);_([$$-409]* \(#,##0\);_([$$-409]* &quot;-&quot;_);_(@_)"/>
    <numFmt numFmtId="166" formatCode="_-[$$-409]* #,##0.00_ ;_-[$$-409]* \-#,##0.00\ ;_-[$$-409]* &quot;-&quot;??_ ;_-@_ "/>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7030A0"/>
        <bgColor indexed="64"/>
      </patternFill>
    </fill>
    <fill>
      <patternFill patternType="solid">
        <fgColor theme="0" tint="-4.9989318521683403E-2"/>
        <bgColor indexed="64"/>
      </patternFill>
    </fill>
    <fill>
      <patternFill patternType="solid">
        <fgColor rgb="FF007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wrapText="1"/>
    </xf>
    <xf numFmtId="0" fontId="0" fillId="0" borderId="0" xfId="0" applyAlignment="1">
      <alignment horizontal="right" vertical="center"/>
    </xf>
    <xf numFmtId="0" fontId="0" fillId="0" borderId="1" xfId="0" applyBorder="1" applyAlignment="1">
      <alignment vertical="center"/>
    </xf>
    <xf numFmtId="0" fontId="0" fillId="0" borderId="1" xfId="0" applyBorder="1" applyAlignment="1">
      <alignment horizontal="right" vertical="center"/>
    </xf>
    <xf numFmtId="164" fontId="0" fillId="0" borderId="1" xfId="0" applyNumberFormat="1" applyBorder="1" applyAlignment="1">
      <alignment horizontal="right" vertical="center"/>
    </xf>
    <xf numFmtId="10" fontId="0" fillId="0" borderId="1" xfId="0" applyNumberFormat="1" applyBorder="1" applyAlignment="1">
      <alignment horizontal="right" vertical="center"/>
    </xf>
    <xf numFmtId="3" fontId="0" fillId="0" borderId="1" xfId="0" applyNumberFormat="1" applyBorder="1" applyAlignment="1">
      <alignment horizontal="right" vertical="center"/>
    </xf>
    <xf numFmtId="165" fontId="0" fillId="0" borderId="1" xfId="0" applyNumberFormat="1" applyBorder="1" applyAlignment="1">
      <alignment horizontal="right" vertical="center"/>
    </xf>
    <xf numFmtId="166" fontId="0" fillId="0" borderId="1" xfId="0" applyNumberFormat="1" applyBorder="1" applyAlignment="1">
      <alignment horizontal="right" vertical="center"/>
    </xf>
    <xf numFmtId="4" fontId="0" fillId="0" borderId="1" xfId="0" applyNumberFormat="1" applyBorder="1" applyAlignment="1">
      <alignment horizontal="right" vertical="center"/>
    </xf>
    <xf numFmtId="1" fontId="0" fillId="0" borderId="1" xfId="0" applyNumberFormat="1" applyBorder="1" applyAlignment="1">
      <alignment horizontal="right" vertical="center"/>
    </xf>
    <xf numFmtId="0" fontId="0" fillId="0" borderId="0" xfId="0"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43" fontId="0" fillId="0" borderId="0" xfId="0" applyNumberFormat="1" applyAlignment="1">
      <alignment vertical="center"/>
    </xf>
    <xf numFmtId="43" fontId="0" fillId="0" borderId="1" xfId="1" applyFont="1" applyBorder="1" applyAlignment="1">
      <alignment horizontal="right" vertical="center"/>
    </xf>
    <xf numFmtId="49" fontId="0" fillId="0" borderId="0" xfId="1" applyNumberFormat="1" applyFont="1" applyAlignment="1">
      <alignment horizontal="left" vertical="center"/>
    </xf>
    <xf numFmtId="43" fontId="3" fillId="0" borderId="0" xfId="0" applyNumberFormat="1" applyFont="1" applyAlignment="1">
      <alignment vertical="center"/>
    </xf>
    <xf numFmtId="0" fontId="3" fillId="0" borderId="2" xfId="0" applyFont="1" applyBorder="1" applyAlignment="1">
      <alignment vertical="center"/>
    </xf>
    <xf numFmtId="43" fontId="3" fillId="0" borderId="2"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10" fontId="0" fillId="0" borderId="0" xfId="2" applyNumberFormat="1" applyFont="1" applyAlignment="1">
      <alignment horizontal="right" vertical="center"/>
    </xf>
    <xf numFmtId="10" fontId="0" fillId="0" borderId="1" xfId="2" applyNumberFormat="1" applyFont="1" applyBorder="1" applyAlignment="1">
      <alignment horizontal="right" vertical="center"/>
    </xf>
    <xf numFmtId="43" fontId="0" fillId="0" borderId="0" xfId="0" applyNumberFormat="1" applyAlignment="1">
      <alignment horizontal="right" vertical="center"/>
    </xf>
    <xf numFmtId="43" fontId="0" fillId="0" borderId="0" xfId="1" applyFont="1" applyAlignment="1">
      <alignment horizontal="right" vertical="center"/>
    </xf>
    <xf numFmtId="43" fontId="0" fillId="0" borderId="1" xfId="0" applyNumberFormat="1" applyBorder="1" applyAlignment="1">
      <alignment horizontal="right" vertical="center"/>
    </xf>
    <xf numFmtId="0" fontId="3" fillId="0" borderId="0" xfId="0" applyFont="1" applyAlignment="1">
      <alignment horizontal="center"/>
    </xf>
    <xf numFmtId="43" fontId="0" fillId="0" borderId="0" xfId="1" applyFont="1" applyAlignment="1">
      <alignment vertical="center"/>
    </xf>
    <xf numFmtId="49" fontId="3" fillId="0" borderId="0" xfId="0" applyNumberFormat="1" applyFont="1" applyAlignment="1">
      <alignment vertical="center"/>
    </xf>
    <xf numFmtId="49" fontId="0" fillId="0" borderId="0" xfId="0" applyNumberFormat="1" applyAlignment="1">
      <alignment vertical="center"/>
    </xf>
    <xf numFmtId="49" fontId="0" fillId="0" borderId="0" xfId="1" applyNumberFormat="1" applyFont="1" applyAlignment="1">
      <alignment vertical="center"/>
    </xf>
    <xf numFmtId="49" fontId="3" fillId="0" borderId="0" xfId="1" applyNumberFormat="1" applyFont="1" applyAlignment="1">
      <alignment vertical="center"/>
    </xf>
    <xf numFmtId="43" fontId="3" fillId="0" borderId="0" xfId="1" applyFont="1" applyAlignment="1">
      <alignment vertical="center"/>
    </xf>
    <xf numFmtId="0" fontId="2" fillId="2" borderId="0" xfId="0" applyFont="1" applyFill="1" applyAlignment="1">
      <alignment vertical="center"/>
    </xf>
    <xf numFmtId="0" fontId="2" fillId="2" borderId="0" xfId="0" applyFont="1" applyFill="1" applyAlignment="1">
      <alignment horizontal="right" vertical="center"/>
    </xf>
    <xf numFmtId="0" fontId="0" fillId="3" borderId="1" xfId="0" applyFill="1" applyBorder="1" applyAlignment="1">
      <alignment vertical="center"/>
    </xf>
    <xf numFmtId="0" fontId="0" fillId="3" borderId="1" xfId="0" applyFill="1" applyBorder="1" applyAlignment="1">
      <alignment horizontal="right" vertical="center"/>
    </xf>
    <xf numFmtId="0" fontId="3" fillId="3" borderId="1" xfId="0" applyFont="1" applyFill="1" applyBorder="1" applyAlignment="1">
      <alignment vertical="center"/>
    </xf>
    <xf numFmtId="10" fontId="0" fillId="3" borderId="1" xfId="2" applyNumberFormat="1" applyFont="1" applyFill="1" applyBorder="1" applyAlignment="1">
      <alignment horizontal="right" vertical="center"/>
    </xf>
    <xf numFmtId="10" fontId="3" fillId="3" borderId="1" xfId="2" applyNumberFormat="1" applyFont="1" applyFill="1" applyBorder="1" applyAlignment="1">
      <alignment horizontal="right" vertical="center"/>
    </xf>
    <xf numFmtId="43" fontId="0" fillId="3" borderId="1" xfId="1" applyFont="1" applyFill="1" applyBorder="1" applyAlignment="1">
      <alignment horizontal="right" vertical="center"/>
    </xf>
    <xf numFmtId="10" fontId="0" fillId="3" borderId="5" xfId="2" applyNumberFormat="1" applyFont="1" applyFill="1" applyBorder="1" applyAlignment="1">
      <alignment horizontal="right" vertical="center"/>
    </xf>
    <xf numFmtId="4" fontId="0" fillId="3" borderId="1" xfId="0" applyNumberFormat="1" applyFill="1" applyBorder="1" applyAlignment="1">
      <alignment horizontal="right" vertical="center"/>
    </xf>
    <xf numFmtId="43" fontId="3" fillId="3" borderId="1" xfId="1" applyFont="1" applyFill="1" applyBorder="1" applyAlignment="1">
      <alignment horizontal="right" vertical="center"/>
    </xf>
    <xf numFmtId="0" fontId="0" fillId="3" borderId="3" xfId="0" applyFill="1" applyBorder="1" applyAlignment="1">
      <alignment vertical="center"/>
    </xf>
    <xf numFmtId="43" fontId="0" fillId="3" borderId="0" xfId="1" applyFont="1" applyFill="1" applyBorder="1" applyAlignment="1">
      <alignment horizontal="right" vertical="center"/>
    </xf>
    <xf numFmtId="43" fontId="0" fillId="3" borderId="4" xfId="1" applyFont="1" applyFill="1" applyBorder="1" applyAlignment="1">
      <alignment horizontal="right" vertical="center"/>
    </xf>
    <xf numFmtId="0" fontId="2" fillId="2" borderId="0" xfId="0" applyFont="1" applyFill="1" applyAlignment="1">
      <alignment vertical="center" wrapText="1"/>
    </xf>
    <xf numFmtId="0" fontId="2" fillId="2" borderId="0" xfId="0" applyFont="1" applyFill="1" applyAlignment="1">
      <alignment horizontal="right" vertical="center" wrapText="1"/>
    </xf>
    <xf numFmtId="0" fontId="0" fillId="0" borderId="0" xfId="0" applyAlignment="1">
      <alignment horizontal="left" vertical="center"/>
    </xf>
    <xf numFmtId="0" fontId="0" fillId="0" borderId="0" xfId="0" applyAlignment="1">
      <alignment horizontal="left" vertical="center" wrapText="1"/>
    </xf>
    <xf numFmtId="0" fontId="3" fillId="2" borderId="0" xfId="0" applyFont="1" applyFill="1" applyAlignment="1">
      <alignment horizontal="right" vertical="center"/>
    </xf>
    <xf numFmtId="0" fontId="3" fillId="2" borderId="0" xfId="0" applyFont="1" applyFill="1" applyAlignment="1">
      <alignment horizontal="left" vertical="center"/>
    </xf>
    <xf numFmtId="0" fontId="0" fillId="0" borderId="1" xfId="0" applyBorder="1" applyAlignment="1">
      <alignment horizontal="left" vertical="center"/>
    </xf>
    <xf numFmtId="10" fontId="0" fillId="0" borderId="0" xfId="0" applyNumberFormat="1" applyAlignment="1">
      <alignment horizontal="right" vertical="center"/>
    </xf>
    <xf numFmtId="0" fontId="3" fillId="0" borderId="0" xfId="0" applyFont="1" applyAlignment="1">
      <alignment horizontal="right" vertical="center"/>
    </xf>
    <xf numFmtId="43" fontId="3" fillId="0" borderId="0" xfId="0" applyNumberFormat="1" applyFont="1" applyAlignment="1">
      <alignment horizontal="right" vertical="center"/>
    </xf>
    <xf numFmtId="10" fontId="3" fillId="0" borderId="0" xfId="0" applyNumberFormat="1" applyFont="1" applyAlignment="1">
      <alignment horizontal="right" vertical="center"/>
    </xf>
    <xf numFmtId="10" fontId="3" fillId="0" borderId="0" xfId="2" applyNumberFormat="1" applyFont="1" applyAlignment="1">
      <alignment horizontal="right" vertical="center"/>
    </xf>
    <xf numFmtId="43" fontId="3" fillId="0" borderId="0" xfId="1" applyFont="1" applyAlignment="1">
      <alignment horizontal="right" vertical="center"/>
    </xf>
    <xf numFmtId="49" fontId="0" fillId="0" borderId="0" xfId="0" applyNumberFormat="1" applyAlignment="1">
      <alignment horizontal="left" vertical="center"/>
    </xf>
    <xf numFmtId="49" fontId="3" fillId="0" borderId="0" xfId="1" applyNumberFormat="1" applyFont="1" applyAlignment="1">
      <alignment horizontal="left" vertical="center"/>
    </xf>
    <xf numFmtId="49" fontId="1" fillId="0" borderId="0" xfId="1" applyNumberFormat="1" applyFont="1" applyAlignment="1">
      <alignment horizontal="left" vertical="center"/>
    </xf>
    <xf numFmtId="49" fontId="1" fillId="0" borderId="1" xfId="1" applyNumberFormat="1" applyFont="1" applyBorder="1" applyAlignment="1">
      <alignment horizontal="left" vertical="center"/>
    </xf>
    <xf numFmtId="49" fontId="0" fillId="0" borderId="1" xfId="1" applyNumberFormat="1" applyFont="1" applyBorder="1" applyAlignment="1">
      <alignment horizontal="left" vertical="center"/>
    </xf>
    <xf numFmtId="10" fontId="0" fillId="0" borderId="1" xfId="1" applyNumberFormat="1" applyFont="1" applyBorder="1" applyAlignment="1">
      <alignment horizontal="right" vertical="center"/>
    </xf>
    <xf numFmtId="49" fontId="0" fillId="0" borderId="5" xfId="1" applyNumberFormat="1" applyFont="1" applyBorder="1" applyAlignment="1">
      <alignment horizontal="left" vertical="center"/>
    </xf>
    <xf numFmtId="10" fontId="0" fillId="0" borderId="5" xfId="1" applyNumberFormat="1" applyFont="1" applyBorder="1" applyAlignment="1">
      <alignment horizontal="right" vertical="center"/>
    </xf>
    <xf numFmtId="43" fontId="0" fillId="0" borderId="5" xfId="1" applyFont="1" applyBorder="1" applyAlignment="1">
      <alignment horizontal="right" vertical="center"/>
    </xf>
    <xf numFmtId="10" fontId="0" fillId="0" borderId="5" xfId="2" applyNumberFormat="1" applyFont="1" applyBorder="1" applyAlignment="1">
      <alignment horizontal="right" vertical="center"/>
    </xf>
    <xf numFmtId="49" fontId="1" fillId="0" borderId="5" xfId="1" applyNumberFormat="1" applyFont="1" applyBorder="1" applyAlignment="1">
      <alignment horizontal="left" vertical="center"/>
    </xf>
    <xf numFmtId="49" fontId="2" fillId="4" borderId="6" xfId="0" applyNumberFormat="1" applyFont="1" applyFill="1" applyBorder="1" applyAlignment="1">
      <alignment horizontal="left" vertical="center"/>
    </xf>
    <xf numFmtId="0" fontId="2" fillId="4" borderId="7" xfId="0" applyFont="1" applyFill="1" applyBorder="1" applyAlignment="1">
      <alignment horizontal="right" vertical="center"/>
    </xf>
    <xf numFmtId="0" fontId="2" fillId="4" borderId="8" xfId="0" applyFont="1" applyFill="1" applyBorder="1" applyAlignment="1">
      <alignment horizontal="right" vertical="center"/>
    </xf>
    <xf numFmtId="43" fontId="1" fillId="0" borderId="1" xfId="1" applyFont="1" applyBorder="1" applyAlignment="1">
      <alignment horizontal="right" vertical="center"/>
    </xf>
    <xf numFmtId="10" fontId="1" fillId="0" borderId="0" xfId="2" applyNumberFormat="1" applyFont="1" applyAlignment="1">
      <alignment horizontal="right" vertical="center"/>
    </xf>
    <xf numFmtId="43" fontId="1" fillId="0" borderId="0" xfId="2"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0" fontId="0" fillId="0" borderId="5" xfId="0" applyBorder="1" applyAlignment="1">
      <alignment vertical="center"/>
    </xf>
    <xf numFmtId="0" fontId="0" fillId="0" borderId="5" xfId="0" applyBorder="1" applyAlignment="1">
      <alignment horizontal="right" vertical="center"/>
    </xf>
    <xf numFmtId="0" fontId="2" fillId="2" borderId="6" xfId="0" applyFont="1" applyFill="1" applyBorder="1" applyAlignment="1">
      <alignment vertical="center" wrapText="1"/>
    </xf>
    <xf numFmtId="0" fontId="2" fillId="2" borderId="7" xfId="0" applyFont="1" applyFill="1" applyBorder="1" applyAlignment="1">
      <alignment horizontal="right" vertical="center" wrapText="1"/>
    </xf>
    <xf numFmtId="0" fontId="2" fillId="2" borderId="8" xfId="0" applyFont="1" applyFill="1" applyBorder="1" applyAlignment="1">
      <alignment horizontal="right" vertical="center" wrapText="1"/>
    </xf>
    <xf numFmtId="0" fontId="0" fillId="3" borderId="9" xfId="0" applyFill="1" applyBorder="1" applyAlignment="1">
      <alignment vertical="center"/>
    </xf>
    <xf numFmtId="0" fontId="0" fillId="3" borderId="10" xfId="0" applyFill="1" applyBorder="1" applyAlignment="1">
      <alignment horizontal="right" vertical="center"/>
    </xf>
    <xf numFmtId="0" fontId="0" fillId="3" borderId="11" xfId="0" applyFill="1" applyBorder="1" applyAlignment="1">
      <alignment vertical="center"/>
    </xf>
    <xf numFmtId="0" fontId="3" fillId="3" borderId="11" xfId="0" applyFont="1" applyFill="1" applyBorder="1" applyAlignment="1">
      <alignment vertical="center"/>
    </xf>
    <xf numFmtId="0" fontId="0" fillId="3" borderId="12" xfId="0" applyFill="1" applyBorder="1" applyAlignment="1">
      <alignment vertical="center"/>
    </xf>
    <xf numFmtId="43" fontId="0" fillId="3" borderId="13" xfId="1" applyFont="1" applyFill="1" applyBorder="1" applyAlignment="1">
      <alignment horizontal="right" vertical="center"/>
    </xf>
    <xf numFmtId="0" fontId="2" fillId="2" borderId="16" xfId="0" applyFont="1" applyFill="1" applyBorder="1" applyAlignment="1">
      <alignment vertical="center"/>
    </xf>
    <xf numFmtId="0" fontId="2" fillId="2" borderId="17" xfId="0" applyFont="1" applyFill="1" applyBorder="1" applyAlignment="1">
      <alignment horizontal="right" vertical="center"/>
    </xf>
    <xf numFmtId="0" fontId="2" fillId="2" borderId="18" xfId="0" applyFont="1" applyFill="1" applyBorder="1" applyAlignment="1">
      <alignment horizontal="right" vertical="center"/>
    </xf>
    <xf numFmtId="10" fontId="0" fillId="3" borderId="15" xfId="2" applyNumberFormat="1" applyFont="1" applyFill="1" applyBorder="1" applyAlignment="1">
      <alignment horizontal="right" vertical="center"/>
    </xf>
    <xf numFmtId="10" fontId="0" fillId="3" borderId="10" xfId="2" applyNumberFormat="1" applyFont="1" applyFill="1" applyBorder="1" applyAlignment="1">
      <alignment horizontal="right" vertical="center"/>
    </xf>
    <xf numFmtId="4" fontId="0" fillId="3" borderId="10" xfId="0" applyNumberFormat="1" applyFill="1" applyBorder="1" applyAlignment="1">
      <alignment horizontal="right" vertical="center"/>
    </xf>
    <xf numFmtId="10" fontId="3" fillId="3" borderId="10" xfId="2" applyNumberFormat="1" applyFont="1" applyFill="1" applyBorder="1" applyAlignment="1">
      <alignment horizontal="right" vertical="center"/>
    </xf>
    <xf numFmtId="43" fontId="0" fillId="3" borderId="10" xfId="1" applyFont="1" applyFill="1" applyBorder="1" applyAlignment="1">
      <alignment horizontal="right" vertical="center"/>
    </xf>
    <xf numFmtId="43" fontId="0" fillId="3" borderId="14" xfId="1" applyFont="1" applyFill="1" applyBorder="1" applyAlignment="1">
      <alignment horizontal="right" vertical="center"/>
    </xf>
    <xf numFmtId="43" fontId="0" fillId="3" borderId="1" xfId="0" applyNumberFormat="1" applyFill="1" applyBorder="1" applyAlignment="1">
      <alignment horizontal="right" vertical="center"/>
    </xf>
    <xf numFmtId="43" fontId="0" fillId="3" borderId="10" xfId="0" applyNumberFormat="1" applyFill="1" applyBorder="1" applyAlignment="1">
      <alignment horizontal="right" vertical="center"/>
    </xf>
    <xf numFmtId="0" fontId="0" fillId="0" borderId="0" xfId="2" applyNumberFormat="1" applyFont="1" applyAlignment="1">
      <alignment horizontal="right" vertical="center"/>
    </xf>
    <xf numFmtId="0" fontId="3" fillId="0" borderId="1" xfId="0" applyFont="1" applyBorder="1" applyAlignment="1">
      <alignment vertical="center"/>
    </xf>
    <xf numFmtId="43" fontId="3" fillId="0" borderId="1" xfId="1" applyFont="1" applyBorder="1" applyAlignment="1">
      <alignment horizontal="right" vertical="center"/>
    </xf>
    <xf numFmtId="0" fontId="3" fillId="0" borderId="0" xfId="0" applyFont="1"/>
    <xf numFmtId="8" fontId="0" fillId="0" borderId="0" xfId="1" applyNumberFormat="1" applyFont="1" applyAlignment="1">
      <alignment horizontal="right" vertical="center"/>
    </xf>
    <xf numFmtId="0" fontId="0" fillId="0" borderId="2" xfId="0" applyBorder="1" applyAlignment="1">
      <alignment horizontal="left" vertical="center"/>
    </xf>
    <xf numFmtId="10" fontId="0" fillId="0" borderId="2" xfId="2" applyNumberFormat="1" applyFont="1" applyBorder="1" applyAlignment="1">
      <alignment horizontal="right" vertical="center"/>
    </xf>
    <xf numFmtId="10" fontId="0" fillId="0" borderId="0" xfId="2" applyNumberFormat="1" applyFont="1" applyBorder="1" applyAlignment="1">
      <alignment horizontal="right" vertical="center"/>
    </xf>
    <xf numFmtId="0" fontId="0" fillId="0" borderId="2" xfId="0" applyBorder="1" applyAlignment="1">
      <alignment vertical="center"/>
    </xf>
    <xf numFmtId="166" fontId="0" fillId="0" borderId="2" xfId="0" applyNumberFormat="1" applyBorder="1" applyAlignment="1">
      <alignment horizontal="right" vertical="center"/>
    </xf>
    <xf numFmtId="43" fontId="0" fillId="0" borderId="2" xfId="0" applyNumberFormat="1" applyBorder="1" applyAlignment="1">
      <alignment horizontal="right" vertical="center"/>
    </xf>
    <xf numFmtId="49" fontId="0" fillId="4" borderId="0" xfId="0" applyNumberFormat="1" applyFill="1" applyAlignment="1">
      <alignment horizontal="left" vertical="center"/>
    </xf>
    <xf numFmtId="0" fontId="0" fillId="4" borderId="0" xfId="0" applyFill="1" applyAlignment="1">
      <alignment horizontal="right" vertical="center"/>
    </xf>
    <xf numFmtId="49" fontId="0" fillId="4" borderId="0" xfId="0" applyNumberFormat="1" applyFill="1" applyBorder="1" applyAlignment="1">
      <alignment horizontal="left" vertical="center"/>
    </xf>
    <xf numFmtId="0" fontId="0" fillId="4" borderId="0" xfId="0" applyFill="1" applyBorder="1" applyAlignment="1">
      <alignment horizontal="right" vertical="center"/>
    </xf>
  </cellXfs>
  <cellStyles count="3">
    <cellStyle name="Comma" xfId="1" builtinId="3"/>
    <cellStyle name="Normal" xfId="0" builtinId="0"/>
    <cellStyle name="Percent" xfId="2" builtinId="5"/>
  </cellStyles>
  <dxfs count="292">
    <dxf>
      <fill>
        <patternFill patternType="solid">
          <fgColor indexed="64"/>
          <bgColor rgb="FF0070C0"/>
        </patternFill>
      </fill>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0" formatCode="@"/>
      <alignment horizontal="lef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0" formatCode="@"/>
      <alignment horizontal="lef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0" formatCode="@"/>
      <alignment horizontal="lef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0" formatCode="@"/>
      <alignment horizontal="lef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0" formatCode="@"/>
      <alignment horizontal="lef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0" formatCode="@"/>
      <alignment horizontal="left"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409]* #,##0.00_ ;_-[$$-409]* \-#,##0.00\ ;_-[$$-409]* &quot;-&quot;??_ ;_-@_ "/>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409]* #,##0.00_ ;_-[$$-409]* \-#,##0.00\ ;_-[$$-409]* &quot;-&quot;??_ ;_-@_ "/>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rgb="FF7030A0"/>
        </patternFill>
      </fill>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rgb="FF7030A0"/>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right" vertical="center" textRotation="0" wrapText="1"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center"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8">
  <rv s="0">
    <v>https://www.bing.com/financeapi/forcetrigger?t=a1zqnm&amp;q=XNYS%3aPFE&amp;form=skydnc</v>
    <v>Learn more on Bing</v>
  </rv>
  <rv s="1">
    <v>en-IN</v>
    <v>a1zqnm</v>
    <v>268435456</v>
    <v>1</v>
    <v>Powered by Refinitiv</v>
    <v>0</v>
    <v>PFIZER INC. (XNYS:PFE)</v>
    <v>2</v>
    <v>3</v>
    <v>Finance</v>
    <v>4</v>
    <v>27.69</v>
    <v>20.914999999999999</v>
    <v>0.40799999999999997</v>
    <v>-0.55000000000000004</v>
    <v>-2.0080000000000002E-3</v>
    <v>-2.1610999999999998E-2</v>
    <v>-0.05</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BeneFIX, Xyntha, Somavert, Ngenla, Hympavzi, Sulperazon, Zavicefta, Octagam and others.</v>
    <v>81000</v>
    <v>New York Stock Exchange</v>
    <v>XNYS</v>
    <v>XNYS</v>
    <v>66 HUDSON BOULEVARD EAST, NEW YORK, NY, 10001-2192 US</v>
    <v>25.5</v>
    <v>Pharmaceuticals</v>
    <v>Stock</v>
    <v>45980.880742603906</v>
    <v>0</v>
    <v>24.72</v>
    <v>141574129200</v>
    <v>PFIZER INC.</v>
    <v>PFIZER INC.</v>
    <v>25.36</v>
    <v>14.5139</v>
    <v>25.45</v>
    <v>24.9</v>
    <v>24.85</v>
    <v>5685708000</v>
    <v>PFE</v>
    <v>PFIZER INC. (XNYS:PFE)</v>
    <v>60960971</v>
    <v>86993985</v>
    <v>1942</v>
  </rv>
  <rv s="2">
    <v>1</v>
  </rv>
  <rv s="0">
    <v>https://www.bing.com/financeapi/forcetrigger?t=a1xxmw&amp;q=XNYS%3aMRK&amp;form=skydnc</v>
    <v>Learn more on Bing</v>
  </rv>
  <rv s="1">
    <v>en-IN</v>
    <v>a1xxmw</v>
    <v>268435456</v>
    <v>1</v>
    <v>Powered by Refinitiv</v>
    <v>0</v>
    <v>MERCK &amp; CO., INC. (XNYS:MRK)</v>
    <v>2</v>
    <v>3</v>
    <v>Finance</v>
    <v>4</v>
    <v>105.0681</v>
    <v>73.31</v>
    <v>0.28320000000000001</v>
    <v>-1.38</v>
    <v>1.052E-4</v>
    <v>-1.4311000000000001E-2</v>
    <v>0.01</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97.14</v>
    <v>Pharmaceuticals</v>
    <v>Stock</v>
    <v>45980.880428726559</v>
    <v>3</v>
    <v>94.09</v>
    <v>235916191100</v>
    <v>MERCK &amp; CO., INC.</v>
    <v>MERCK &amp; CO., INC.</v>
    <v>96.11</v>
    <v>12.5716</v>
    <v>96.43</v>
    <v>95.05</v>
    <v>95.06</v>
    <v>2482022000</v>
    <v>MRK</v>
    <v>MERCK &amp; CO., INC. (XNYS:MRK)</v>
    <v>14563876</v>
    <v>12133791</v>
    <v>1970</v>
  </rv>
  <rv s="2">
    <v>4</v>
  </rv>
  <rv s="0">
    <v>http://en.wikipedia.org/wiki/Public_domain</v>
    <v>Public domain</v>
  </rv>
  <rv s="0">
    <v>http://en.wikipedia.org/wiki/Amgen</v>
    <v>Wikipedia</v>
  </rv>
  <rv s="3">
    <v>6</v>
    <v>7</v>
  </rv>
  <rv s="4">
    <v>9</v>
    <v>https://www.bing.com/th?id=AMMS_7651d2e878d4df4bb82a200be2db03e3&amp;qlt=95</v>
    <v>8</v>
    <v>0</v>
    <v>https://www.bing.com/images/search?form=xlimg&amp;q=amgen</v>
    <v>Image of AMGEN INC.</v>
  </rv>
  <rv s="0">
    <v>https://www.bing.com/financeapi/forcetrigger?t=a1nec7&amp;q=XNAS%3aAMGN&amp;form=skydnc</v>
    <v>Learn more on Bing</v>
  </rv>
  <rv s="5">
    <v>en-IN</v>
    <v>a1nec7</v>
    <v>268435456</v>
    <v>1</v>
    <v>Powered by Refinitiv</v>
    <v>5</v>
    <v>AMGEN INC. (XNAS:AMGN)</v>
    <v>7</v>
    <v>8</v>
    <v>Finance</v>
    <v>4</v>
    <v>345.84</v>
    <v>253.3</v>
    <v>0.4103</v>
    <v>-1.59</v>
    <v>2.395E-3</v>
    <v>-4.6220000000000002E-3</v>
    <v>0.82</v>
    <v>USD</v>
    <v>Amgen Inc. is a biotechnology company. It discovers, develops, manufactures and delivers medicines for the toughest diseases. It focuses on areas of high unmet medical need and leverages its expertise to strive for solutions that improve people’s lives. It operates in the human therapeutics segment. Its marketed products portfolio includes EPOGEN (epoetin alfa); Aranesp (darbepoetin alfa); Parsabiv (etelcalcetide); Neulasta (pegfilgrastim); KANJINTI (trastuzumab-anns); Otezla; BLINCYTO (blinatumomab); ACTIMMUNE (interferon gamma-1b); Neulasta (pegfilgrastim); Sensipar/Mimpara (cinacalcet); Prolia (denosumab); ENBREL; QUINSAIR (levofloxacin); Repatha (evolocumab) and others. It markets ENBREL, a tumor necrosis factor blocker, in the United States and Canada. It markets Otezla, a small molecule that inhibits phosphodiesterase 4, in many countries around the world. It markets Repatha, a proprotein convertase subtilisin/kexin type 9 (PCSK9) inhibitor, in many countries around the world.</v>
    <v>28000</v>
    <v>Nasdaq Stock Market</v>
    <v>XNAS</v>
    <v>XNAS</v>
    <v>One Amgen Center Drive, THOUSAND OAKS, CA, 91320-1799 US</v>
    <v>345.27</v>
    <v>9</v>
    <v>Pharmaceuticals</v>
    <v>Stock</v>
    <v>45980.880894212503</v>
    <v>10</v>
    <v>340.02</v>
    <v>184375791680</v>
    <v>AMGEN INC.</v>
    <v>AMGEN INC.</v>
    <v>343.47</v>
    <v>26.466100000000001</v>
    <v>343.99</v>
    <v>342.4</v>
    <v>343.22</v>
    <v>538480700</v>
    <v>AMGN</v>
    <v>AMGEN INC. (XNAS:AMGN)</v>
    <v>2119505</v>
    <v>2576380</v>
    <v>1986</v>
  </rv>
  <rv s="2">
    <v>11</v>
  </rv>
  <rv s="0">
    <v>https://www.bing.com/financeapi/forcetrigger?t=a1wyu2&amp;q=XNYS%3aLLY&amp;form=skydnc</v>
    <v>Learn more on Bing</v>
  </rv>
  <rv s="1">
    <v>en-IN</v>
    <v>a1wyu2</v>
    <v>268435456</v>
    <v>1</v>
    <v>Powered by Refinitiv</v>
    <v>0</v>
    <v>ELI LILLY AND COMPANY (XNYS:LLY)</v>
    <v>2</v>
    <v>3</v>
    <v>Finance</v>
    <v>4</v>
    <v>1055.55</v>
    <v>623.78</v>
    <v>0.33489999999999998</v>
    <v>19.04</v>
    <v>-7.7689999999999996E-4</v>
    <v>1.8485000000000001E-2</v>
    <v>-0.81499999999999995</v>
    <v>USD</v>
    <v>Eli Lilly and Company is a medicine company, which discovers, develops, manufactures and markets products in the human pharmaceutical products segment. Its cardiometabolic health products include Basaglar; Humalog, Humalog Mix 75/25, Humalog U-100, Humalog U-200, Humalog Mix 50/50, insulin lispro, and others; Humulin, Humulin 70/30, and others; Jardiance; Mounjaro; Trulicity; Zepbound; VERVE-102; VERVE-201, and VERVE-301. Its oncology products include Cyramza, Erbitux, Tyvyt, and Verzenio. Its immunology products include Ebglyss, Olumiant, Omvoh, and Taltz. Its neuroscience products include Emgality and Kisunla. The Company, through its subsidiary, POINT Biopharma Global Inc., is engaged in radiopharmaceutical discovery, development, and manufacturing efforts, as well as clinical and pre-clinical radioligand therapies in development for the treatment of cancer. It is also developing an oral small molecule inhibitor of a4b7 integrin for inflammatory bowel disease (IBD).</v>
    <v>47000</v>
    <v>New York Stock Exchange</v>
    <v>XNYS</v>
    <v>XNYS</v>
    <v>Lilly Corporate Ctr, Drop Code 1094, INDIANAPOLIS, IN, 46285 US</v>
    <v>1055.55</v>
    <v>Pharmaceuticals</v>
    <v>Stock</v>
    <v>45980.880668205471</v>
    <v>13</v>
    <v>1026.25</v>
    <v>991792690741</v>
    <v>ELI LILLY AND COMPANY</v>
    <v>ELI LILLY AND COMPANY</v>
    <v>1031.8</v>
    <v>51.302500000000002</v>
    <v>1030.05</v>
    <v>1049.0899999999999</v>
    <v>1048.2750000000001</v>
    <v>945383800</v>
    <v>LLY</v>
    <v>ELI LILLY AND COMPANY (XNYS:LLY)</v>
    <v>3424432</v>
    <v>4024346</v>
    <v>1901</v>
  </rv>
  <rv s="2">
    <v>14</v>
  </rv>
  <rv s="0">
    <v>https://www.bing.com/financeapi/forcetrigger?t=a1w8ec&amp;q=XNYS%3aJNJ&amp;form=skydnc</v>
    <v>Learn more on Bing</v>
  </rv>
  <rv s="1">
    <v>en-IN</v>
    <v>a1w8ec</v>
    <v>268435456</v>
    <v>1</v>
    <v>Powered by Refinitiv</v>
    <v>0</v>
    <v>JOHNSON &amp; JOHNSON (XNYS:JNJ)</v>
    <v>2</v>
    <v>3</v>
    <v>Finance</v>
    <v>4</v>
    <v>203.48</v>
    <v>140.68</v>
    <v>0.3372</v>
    <v>2.66</v>
    <v>-6.4150000000000003E-4</v>
    <v>1.3300000000000001E-2</v>
    <v>-0.13</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138100</v>
    <v>New York Stock Exchange</v>
    <v>XNYS</v>
    <v>XNYS</v>
    <v>One Johnson &amp; Johnson Plaza, NEW BRUNSWICK, NJ, 08933 US</v>
    <v>203.48</v>
    <v>Pharmaceuticals</v>
    <v>Stock</v>
    <v>45980.880001874997</v>
    <v>16</v>
    <v>199.38</v>
    <v>488267724700</v>
    <v>JOHNSON &amp; JOHNSON</v>
    <v>JOHNSON &amp; JOHNSON</v>
    <v>200</v>
    <v>19.560600000000001</v>
    <v>200</v>
    <v>202.66</v>
    <v>202.53</v>
    <v>2409295000</v>
    <v>JNJ</v>
    <v>JOHNSON &amp; JOHNSON (XNYS:JNJ)</v>
    <v>14619796</v>
    <v>8196127</v>
    <v>1887</v>
  </rv>
  <rv s="2">
    <v>17</v>
  </rv>
  <rv s="0">
    <v>https://www.bing.com/financeapi/forcetrigger?t=a1yvxm&amp;q=XNYS%3aNVO&amp;form=skydnc</v>
    <v>Learn more on Bing</v>
  </rv>
  <rv s="1">
    <v>en-IN</v>
    <v>a1yvxm</v>
    <v>268435456</v>
    <v>1</v>
    <v>Powered by Refinitiv</v>
    <v>0</v>
    <v>Novo Nordisk A/S (XNYS:NVO)</v>
    <v>2</v>
    <v>3</v>
    <v>Finance</v>
    <v>4</v>
    <v>112.52</v>
    <v>45.05</v>
    <v>0.67530000000000001</v>
    <v>1.47</v>
    <v>1.224E-3</v>
    <v>3.0914999999999998E-2</v>
    <v>0.06</v>
    <v>USD</v>
    <v>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v>
    <v>78554</v>
    <v>New York Stock Exchange</v>
    <v>XNYS</v>
    <v>XNYS</v>
    <v>Novo Alle 1, BAGSVAERD, 2880 DK</v>
    <v>49.384999999999998</v>
    <v>Pharmaceuticals</v>
    <v>Stock</v>
    <v>45980.880898425785</v>
    <v>19</v>
    <v>47.76</v>
    <v>160269300000</v>
    <v>Novo Nordisk A/S</v>
    <v>Novo Nordisk A/S</v>
    <v>48.04</v>
    <v>13.3668</v>
    <v>47.55</v>
    <v>49.02</v>
    <v>49.08</v>
    <v>3390128000</v>
    <v>NVO</v>
    <v>Novo Nordisk A/S (XNYS:NVO)</v>
    <v>16478161</v>
    <v>16930355</v>
    <v>1931</v>
  </rv>
  <rv s="2">
    <v>20</v>
  </rv>
  <rv s="0">
    <v>https://www.bing.com/financeapi/forcetrigger?t=a1mpqh&amp;q=XNYS%3aABBV&amp;form=skydnc</v>
    <v>Learn more on Bing</v>
  </rv>
  <rv s="1">
    <v>en-IN</v>
    <v>a1mpqh</v>
    <v>268435456</v>
    <v>1</v>
    <v>Powered by Refinitiv</v>
    <v>0</v>
    <v>ABBVIE INC. (XNYS:ABBV)</v>
    <v>2</v>
    <v>3</v>
    <v>Finance</v>
    <v>4</v>
    <v>244.81</v>
    <v>163.81</v>
    <v>0.3296</v>
    <v>-1.02</v>
    <v>5.1540000000000006E-4</v>
    <v>-4.3610000000000003E-3</v>
    <v>0.12</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Aesthetics portfolio consists of facial injectables, plastics and regenerative medicine, body contouring, and skincare products. Its Neuroscience products include Botox Therapeutic, Vraylar, Duopa and Duodopa, Ubrelvy, and Qulipta. Eye Care products include Ozurdex, Lumigan/Ganfort, Alphagan/Combigan, Restasis, and other eye care. Other key products include Mavyret/Maviret, Creon, and Linzess/Constella. Its investigational candidate, bretisilocin, is for the treatment of patients with moderate-to-severe major depressive disorder (MDD).</v>
    <v>55000</v>
    <v>New York Stock Exchange</v>
    <v>XNYS</v>
    <v>XNYS</v>
    <v>1 N Waukegan Rd, NORTH CHICAGO, IL, 60064 US</v>
    <v>238.15</v>
    <v>Pharmaceuticals</v>
    <v>Stock</v>
    <v>45980.880385647659</v>
    <v>22</v>
    <v>230.36</v>
    <v>411535597250</v>
    <v>ABBVIE INC.</v>
    <v>ABBVIE INC.</v>
    <v>233.63</v>
    <v>175.6961</v>
    <v>233.87</v>
    <v>232.85</v>
    <v>232.97</v>
    <v>1767385000</v>
    <v>ABBV</v>
    <v>ABBVIE INC. (XNYS:ABBV)</v>
    <v>7583765</v>
    <v>5618631</v>
    <v>2012</v>
  </rv>
  <rv s="2">
    <v>23</v>
  </rv>
  <rv s="0">
    <v>https://www.bing.com/financeapi/forcetrigger?t=an34c7&amp;q=XSWX%3aRO&amp;form=skydnc</v>
    <v>Learn more on Bing</v>
  </rv>
  <rv s="6">
    <v>en-IN</v>
    <v>an34c7</v>
    <v>268435456</v>
    <v>1</v>
    <v>Powered by Refinitiv</v>
    <v>10</v>
    <v>Roche Holding Ltd (XSWX:RO)</v>
    <v>2</v>
    <v>11</v>
    <v>Finance</v>
    <v>12</v>
    <v>333.6</v>
    <v>244</v>
    <v>0.98250000000000004</v>
    <v>3.8</v>
    <v>1.1927E-2</v>
    <v>CHF</v>
    <v>Roche Holding AG (Roche) is a research-based healthcare company. The Company's operating businesses are organized into two divisions: Pharmaceuticals and Diagnostics. The Pharmaceuticals Division consists of two business segments: Roche Pharmaceuticals and Chugai. The Diagnostics Division consists of four business areas: Diabetes Care, Molecular Diagnostics, Professional Diagnostics and Tissue Diagnostics. The Company develops medicines for various disease areas, including oncology, immunology, infectious diseases, ophthalmology and neuroscience. Its pharmaceutical products include Anaprox, Avastin, Bactrim, Bondronat, CellCept, Cotellic, Dilatrend, Dormicum, Invirase, Kadcyla, Kytril (Kevatril), Lariam, MabThera, Madopar, Neupogen, Pegasys, Perjeta, Pulmozyme, Rocaltrol, Rocephin and Roferon-A. The Company offers products for researchers, including cell analysis, gene expression, genome sequencing and nucleic acid purification.</v>
    <v>103249</v>
    <v>SIX Swiss Exchange</v>
    <v>XSWX</v>
    <v>XSWX</v>
    <v>Grenzacherstrasse 124, BASEL, BASEL-STADT, 4002 CH</v>
    <v>324</v>
    <v>Pharmaceuticals</v>
    <v>Stock</v>
    <v>45980.694444444445</v>
    <v>25</v>
    <v>320.2</v>
    <v>249467700000</v>
    <v>Roche Holding Ltd</v>
    <v>Roche Holding Ltd</v>
    <v>321</v>
    <v>27.229700000000001</v>
    <v>318.60000000000002</v>
    <v>322.39999999999998</v>
    <v>809253700</v>
    <v>RO</v>
    <v>Roche Holding Ltd (XSWX:RO)</v>
    <v>30449</v>
    <v>971690</v>
    <v>1966</v>
  </rv>
  <rv s="2">
    <v>26</v>
  </rv>
  <rv s="0">
    <v>http://en.wikipedia.org/wiki/Novartis</v>
    <v>Wikipedia</v>
  </rv>
  <rv s="3">
    <v>6</v>
    <v>28</v>
  </rv>
  <rv s="4">
    <v>9</v>
    <v>https://www.bing.com/th?id=AMMS_3a4201ed5d487670c98d0ce5663b2ca7&amp;qlt=95</v>
    <v>29</v>
    <v>0</v>
    <v>https://www.bing.com/images/search?form=xlimg&amp;q=novartis</v>
    <v>Image of Novartis Inc.</v>
  </rv>
  <rv s="0">
    <v>https://www.bing.com/financeapi/forcetrigger?t=a1yw77&amp;q=XNYS%3aNVS&amp;form=skydnc</v>
    <v>Learn more on Bing</v>
  </rv>
  <rv s="5">
    <v>en-IN</v>
    <v>a1yw77</v>
    <v>268435456</v>
    <v>1</v>
    <v>Powered by Refinitiv</v>
    <v>5</v>
    <v>Novartis Inc. (XNYS:NVS)</v>
    <v>7</v>
    <v>8</v>
    <v>Finance</v>
    <v>4</v>
    <v>134</v>
    <v>96.061999999999998</v>
    <v>0.50309999999999999</v>
    <v>-0.68500000000000005</v>
    <v>-1.178E-4</v>
    <v>-5.3509999999999999E-3</v>
    <v>-1.4999999999999999E-2</v>
    <v>USD</v>
    <v>Novartis AG is a Switzerland-based pharmaceutical company. The Company develops, manufactures, and markets branded and generic prescription drugs, active pharmaceutical ingredients (APIs), biosimilars and ophthalmic products. The Company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v>
    <v>75883</v>
    <v>New York Stock Exchange</v>
    <v>XNYS</v>
    <v>XNYS</v>
    <v>Lichtstrasse 35, BASEL, BASEL-STADT, 4056 CH</v>
    <v>128.39500000000001</v>
    <v>30</v>
    <v>Pharmaceuticals</v>
    <v>Stock</v>
    <v>45980.877922510939</v>
    <v>31</v>
    <v>126.31</v>
    <v>270755300000</v>
    <v>Novartis Inc.</v>
    <v>Novartis Inc.</v>
    <v>128.19999999999999</v>
    <v>17.4132</v>
    <v>128.01</v>
    <v>127.325</v>
    <v>127.31</v>
    <v>2112422000</v>
    <v>NVS</v>
    <v>Novartis Inc. (XNYS:NVS)</v>
    <v>1715868</v>
    <v>1681658</v>
    <v>1996</v>
  </rv>
  <rv s="2">
    <v>32</v>
  </rv>
  <rv s="0">
    <v>https://www.bing.com/financeapi/forcetrigger?t=by7vvh&amp;q=XLON%3a0A4J&amp;form=skydnc</v>
    <v>Learn more on Bing</v>
  </rv>
  <rv s="7">
    <v>en-IN</v>
    <v>by7vvh</v>
    <v>268435456</v>
    <v>1</v>
    <v>Powered by Refinitiv</v>
    <v>13</v>
    <v>ASTRAZENECA PLC (XLON:0A4J)</v>
    <v>2</v>
    <v>14</v>
    <v>Finance</v>
    <v>15</v>
    <v>84.549000000000007</v>
    <v>62.792000000000002</v>
    <v>0.30880000000000002</v>
    <v>USD</v>
    <v>AstraZeneca PLC is a United Kingdom-based science-led biopharmaceutical company. The Company focuses on the discovery, development, and commercialization of prescription medicines. The Company operates across therapy areas, including Oncology; Cardiovascular, Renal and Metabolism (CVRM); Respiratory and Immunology (R&amp;I); Vaccines and Immune Therapies (V&amp;I), and Rare Disease. In the Oncology area, its key products include Tagrisso, Imfinzi, Calquence, Lynparza, and Enhertu. The key products of CVRM area include Farxiga/Forxiga, Brilinta/Brilique, Crestor, and Lokelma. In the R&amp;I area, the key products are Symbicort, Fasenra, Breztri/Trixeo, and Tezspire. In the V&amp;I Therapies area, the products are Beyfortus and FluMist. The products in the Rare Disease area are Ultomiris, Soliris, Strensiq, and Koselugo. It has about 191 projects in its development pipeline, including 19 new molecular entities (NMEs) in the late-stage pipeline. The Company distributes its products in over 125 countries.</v>
    <v>94300</v>
    <v>London Stock Exchange</v>
    <v>XLON</v>
    <v>XLON</v>
    <v>1 Francis Crick Avenue, Cambridge Biomedical Campus, CAMBRIDGE, CB2 0AA GB</v>
    <v>Pharmaceuticals</v>
    <v>Stock</v>
    <v>45959.684976851851</v>
    <v>34</v>
    <v>256537600000</v>
    <v>ASTRAZENECA PLC</v>
    <v>ASTRAZENECA PLC</v>
    <v>82.887500000000003</v>
    <v>3101426000</v>
    <v>0A4J</v>
    <v>ASTRAZENECA PLC (XLON:0A4J)</v>
    <v>360</v>
    <v>5000780</v>
    <v>1992</v>
  </rv>
  <rv s="2">
    <v>35</v>
  </rv>
  <rv s="0">
    <v>https://www.bing.com/financeapi/forcetrigger?t=ahk6a2&amp;q=XNSE%3aSUNPHARMA&amp;form=skydnc</v>
    <v>Learn more on Bing</v>
  </rv>
  <rv s="6">
    <v>en-IN</v>
    <v>ahk6a2</v>
    <v>268435456</v>
    <v>1</v>
    <v>Powered by Refinitiv</v>
    <v>10</v>
    <v>SUN PHARMACEUTICAL INDUSTRIES LIMITED (XNSE:SUNPHARMA)</v>
    <v>2</v>
    <v>16</v>
    <v>Finance</v>
    <v>17</v>
    <v>1910</v>
    <v>1548</v>
    <v>0.87009999999999998</v>
    <v>25.3</v>
    <v>1.4384999999999998E-2</v>
    <v>INR</v>
    <v>Sun Pharmaceutical Industries Limited is an India-based specialty generic pharmaceutical company with a presence in specialty,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Bromsite, Xelpros, and others. Its portfolio also includes UNLOXCYTTM, an anti-PD-L1 treatment for advanced cutaneous squamous cell carcinoma.</v>
    <v>43000</v>
    <v>National Stock Exchange of India</v>
    <v>XNSE</v>
    <v>XNSE</v>
    <v>Sun House,, CTS No. 201 B/1,, Western Express Highway,Goregaon (E),, MUMBAI, MAHARASHTRA, 400063 IN</v>
    <v>1790.3</v>
    <v>Pharmaceuticals</v>
    <v>Stock</v>
    <v>45980.492893518516</v>
    <v>37</v>
    <v>1751.1</v>
    <v>4219951000000</v>
    <v>SUN PHARMACEUTICAL INDUSTRIES LIMITED</v>
    <v>SUN PHARMACEUTICAL INDUSTRIES LIMITED</v>
    <v>1762</v>
    <v>40.78</v>
    <v>1758.8</v>
    <v>1784.1</v>
    <v>2399335000</v>
    <v>SUNPHARMA</v>
    <v>SUN PHARMACEUTICAL INDUSTRIES LIMITED (XNSE:SUNPHARMA)</v>
    <v>2131124</v>
    <v>1714000</v>
    <v>1993</v>
  </rv>
  <rv s="2">
    <v>38</v>
  </rv>
  <rv s="0">
    <v>https://www.bing.com/financeapi/forcetrigger?t=ahhlpr&amp;q=XNSE%3aDRREDDY&amp;form=skydnc</v>
    <v>Learn more on Bing</v>
  </rv>
  <rv s="6">
    <v>en-IN</v>
    <v>ahhlpr</v>
    <v>268435456</v>
    <v>1</v>
    <v>Powered by Refinitiv</v>
    <v>10</v>
    <v>DR.REDDY'S LABORATORIES LTD (XNSE:DRREDDY)</v>
    <v>2</v>
    <v>16</v>
    <v>Finance</v>
    <v>17</v>
    <v>1405.9</v>
    <v>1020</v>
    <v>0.4718</v>
    <v>6.4</v>
    <v>5.1459999999999995E-3</v>
    <v>INR</v>
    <v>Dr. Reddy’s Laboratories Limited is an India-based pharmaceutical company. Its products and services are spread across its core businesses of active pharmaceutical ingredients (APIs), generics, branded generics, biosimilars and over-the-counter (OTC) pharmaceutical products. It works in the areas of gastrointestinal, cardiovascular, diabetology, oncology, pain management and dermatology. Its segments consist of Global Generics; Pharmaceutical Services and Active Ingredients (PSAI), and Others. The Global Generics segment consists of the Company's business of manufacturing and marketing prescription and over-the-counter finished pharmaceutical products ready for consumption by the patient, marketed under a brand name (branded formulations) or as generic finished dosages with therapeutic equivalence to branded formulations (generics). The Pharmaceutical Services and Active Ingredients segment consists of the Company's business of manufacturing and marketing APIs and intermediates.</v>
    <v>26944</v>
    <v>National Stock Exchange of India</v>
    <v>XNSE</v>
    <v>XNSE</v>
    <v>8-2-337, Road No.3 Banjara Hills, HYDERABAD, TELANGANA, 500-034 IN</v>
    <v>1252.7</v>
    <v>Pharmaceuticals</v>
    <v>Stock</v>
    <v>45980.49287037037</v>
    <v>40</v>
    <v>1237</v>
    <v>1035492000000</v>
    <v>DR.REDDY'S LABORATORIES LTD</v>
    <v>DR.REDDY'S LABORATORIES LTD</v>
    <v>1248.7</v>
    <v>17.940000000000001</v>
    <v>1243.8</v>
    <v>1250.2</v>
    <v>832522800</v>
    <v>DRREDDY</v>
    <v>DR.REDDY'S LABORATORIES LTD (XNSE:DRREDDY)</v>
    <v>830105</v>
    <v>1405580</v>
    <v>1984</v>
  </rv>
  <rv s="2">
    <v>41</v>
  </rv>
  <rv s="0">
    <v>https://www.bing.com/financeapi/forcetrigger?t=a23a2w&amp;q=XNAS%3aSNY&amp;form=skydnc</v>
    <v>Learn more on Bing</v>
  </rv>
  <rv s="1">
    <v>en-IN</v>
    <v>a23a2w</v>
    <v>268435456</v>
    <v>1</v>
    <v>Powered by Refinitiv</v>
    <v>0</v>
    <v>Sanofi SA (XNAS:SNY)</v>
    <v>2</v>
    <v>3</v>
    <v>Finance</v>
    <v>4</v>
    <v>60.115000000000002</v>
    <v>44.616799999999998</v>
    <v>0.41889999999999999</v>
    <v>-1.1100000000000001</v>
    <v>0</v>
    <v>-2.1911E-2</v>
    <v>0</v>
    <v>USD</v>
    <v>Sanofi SA is a France-based healthcare company based in France. The Company focuses on patient needs and engages in the research, development, manufacture, and marketing of therapeutic solutions. Its three operating segments are: Pharmaceuticals, Consumer Healthcare (CHC), and Vaccines. The Pharmaceuticals includes: Immunology, Multiple Sclerosis / Neurology, Oncology, Rare Diseases, Rare Blood Disorders, Cardiovascular, Diabetes, Established Prescription Products. The Vaccines segment comprises, for all geographical territories, the commercial operations of Sanofi Pasteur, together with research, development, and production activities dedicated to vaccines. The CHC segment comprises the commercial operations for Sanofi’s Consumer Healthcare products, together with research, development and production activities dedicated to those products. The Company’s products developed in collaboration or franchise include Dupixent, Aubagio, Lemtrada, Cerezyme, Lumizyme, Jevtana, Fabrazyme.</v>
    <v>84587</v>
    <v>Nasdaq Stock Market</v>
    <v>XNAS</v>
    <v>XNAS</v>
    <v>46 Avenue de la Grande Armee, PARIS, ILE-DE-FRANCE, 75017 FR</v>
    <v>50.52</v>
    <v>Pharmaceuticals</v>
    <v>Stock</v>
    <v>45980.877910601565</v>
    <v>43</v>
    <v>49.284999999999997</v>
    <v>124594900000</v>
    <v>Sanofi SA</v>
    <v>Sanofi SA</v>
    <v>50.39</v>
    <v>16.797699999999999</v>
    <v>50.66</v>
    <v>49.55</v>
    <v>49.55</v>
    <v>2454938000</v>
    <v>SNY</v>
    <v>Sanofi SA (XNAS:SNY)</v>
    <v>3765342</v>
    <v>2387158</v>
    <v>1994</v>
  </rv>
  <rv s="2">
    <v>44</v>
  </rv>
  <rv s="0">
    <v>https://www.bing.com/financeapi/forcetrigger?t=ao95c7&amp;q=XLON%3aGSK&amp;form=skydnc</v>
    <v>Learn more on Bing</v>
  </rv>
  <rv s="6">
    <v>en-IN</v>
    <v>ao95c7</v>
    <v>268435456</v>
    <v>1</v>
    <v>Powered by Refinitiv</v>
    <v>10</v>
    <v>GSK PLC (XLON:GSK)</v>
    <v>2</v>
    <v>18</v>
    <v>Finance</v>
    <v>19</v>
    <v>1830</v>
    <v>1242.5</v>
    <v>0.63649999999999995</v>
    <v>-14.5</v>
    <v>-8.1139999999999997E-3</v>
    <v>GBp</v>
    <v>GSK plc is a biopharma company. The Company’s segments include Commercial Operations and Research and Development. Its portfolio and pipeline are focused on developing medicines and vaccines in four core therapeutic areas, which are the areas of human health it focuses on to prevent and treat disease: respiratory, immunology and inflammation; oncology; human immunodeficiency virus (HIV), and infectious diseases. Its specialty medicines prevent and treat diseases, from HIV to respiratory diseases, immune-mediated conditions like lupus, and cancer. Its vaccine portfolio includes over 20 vaccines to protect people from diseases and infections throughout their lives. General medicines include inhaled medicines for asthma and COPD to antibiotics. It develops and commercializes preclinical antibody-drug conjugate for Metastatic castration-resistant prostate cancer. Its portfolio also includes Efimosfermin, a fibroblast growth factor 21 (FGF21) analog therapeutic in clinical development.</v>
    <v>68629</v>
    <v>London Stock Exchange</v>
    <v>XLON</v>
    <v>XLON</v>
    <v>980 Great West Road, BRENTFORD, MIDDLESEX, TW8 9GS GB</v>
    <v>1788</v>
    <v>Pharmaceuticals</v>
    <v>Stock</v>
    <v>45980.684847568751</v>
    <v>46</v>
    <v>1772.5</v>
    <v>72530690000</v>
    <v>GSK PLC</v>
    <v>GSK PLC</v>
    <v>1784</v>
    <v>13.105399999999999</v>
    <v>1787</v>
    <v>1772.5</v>
    <v>4058796000</v>
    <v>GSK</v>
    <v>GSK PLC (XLON:GSK)</v>
    <v>8032604</v>
    <v>8970270</v>
    <v>1999</v>
  </rv>
  <rv s="2">
    <v>47</v>
  </rv>
  <rv s="0">
    <v>https://www.bing.com/financeapi/forcetrigger?t=a1tvoc&amp;q=XNAS%3aGILD&amp;form=skydnc</v>
    <v>Learn more on Bing</v>
  </rv>
  <rv s="1">
    <v>en-IN</v>
    <v>a1tvoc</v>
    <v>268435456</v>
    <v>1</v>
    <v>Powered by Refinitiv</v>
    <v>0</v>
    <v>GILEAD SCIENCES, INC. (XNAS:GILD)</v>
    <v>2</v>
    <v>3</v>
    <v>Finance</v>
    <v>4</v>
    <v>128.1</v>
    <v>86.08</v>
    <v>0.31559999999999999</v>
    <v>0.89</v>
    <v>0</v>
    <v>6.9979999999999999E-3</v>
    <v>0</v>
    <v>USD</v>
    <v>Gilead Sciences, Inc. is a biopharmaceutical company. It is engaged in advancing medicines to prevent and treat life-threatening diseases, including HIV, viral hepatitis, COVID-19, cancer and inflammation. It is focused on discovering, developing and delivering medicines to address unmet medical needs in virology, oncology and other therapeutic areas. Its portfolio of marketed products includes Biktarvy, Genvoya, Descovy, Complera/Eviplera, Symtuza, Truvada, Stribild, Sunlenca, Epclusa, Vemlidy, Harvoni, Viread, Livdelzi, Veklury, Yescarta, Tecartus, Trodelvy, AmBisome, and Letairis. Its product candidates include Bulevirtide, Lenacapavir, Axicabtagene ciloleucel, Sacituzumab govitecan-hziy, and others. It also develops the HB-400 program and the HB-500 program. It develops therapies that are intended to provide functional cures for hepatitis B virus and human immunodeficiency virus-1. It operates in more than 35 countries worldwide.</v>
    <v>17600</v>
    <v>Nasdaq Stock Market</v>
    <v>XNAS</v>
    <v>XNAS</v>
    <v>333 LAKESIDE DR, FOSTER CITY, CA, 94404-1147 US</v>
    <v>128.1</v>
    <v>Pharmaceuticals</v>
    <v>Stock</v>
    <v>45980.880110428123</v>
    <v>49</v>
    <v>125.86</v>
    <v>157789600000</v>
    <v>GILEAD SCIENCES, INC.</v>
    <v>GILEAD SCIENCES, INC.</v>
    <v>127.09</v>
    <v>19.904900000000001</v>
    <v>127.18</v>
    <v>128.07</v>
    <v>128.07</v>
    <v>1240680000</v>
    <v>GILD</v>
    <v>GILEAD SCIENCES, INC. (XNAS:GILD)</v>
    <v>6732202</v>
    <v>7128931</v>
    <v>1987</v>
  </rv>
  <rv s="2">
    <v>50</v>
  </rv>
  <rv s="0">
    <v>https://www.bing.com/financeapi/forcetrigger?t=a25k5r&amp;q=XNAS%3aVRTX&amp;form=skydnc</v>
    <v>Learn more on Bing</v>
  </rv>
  <rv s="1">
    <v>en-IN</v>
    <v>a25k5r</v>
    <v>268435456</v>
    <v>1</v>
    <v>Powered by Refinitiv</v>
    <v>0</v>
    <v>VERTEX PHARMACEUTICALS INCORPORATED (XNAS:VRTX)</v>
    <v>2</v>
    <v>3</v>
    <v>Finance</v>
    <v>4</v>
    <v>519.67999999999995</v>
    <v>362.5</v>
    <v>0.31519999999999998</v>
    <v>-14.49</v>
    <v>-6.6500000000000001E-4</v>
    <v>-3.3271000000000002E-2</v>
    <v>-0.28000000000000003</v>
    <v>USD</v>
    <v>Vertex Pharmaceuticals Incorporated is a global biotechnology company that invests in scientific innovation to create transformative medicines for people with serious diseases, with a focus on specialty markets. It has seven approved medicines: five that treat the underlying cause of cystic fibrosis (CF), one that treats severe sickle cell disease (SCD) and transfusion dependent beta thalassemia (TDT), and one that treats moderate-to-severe acute pain. Its pipeline includes clinical-stage programs in CF, SCD, beta thalassemia, acute and peripheral neuropathic pain, APOL1-mediated kidney disease, IgA nephropathy and other autoimmune renal diseases and cytopenias, type 1 diabetes, myotonic dystrophy type 1, and autosomal dominant polycystic kidney disease. Its marketed medicines are TRIKAFTA/KAFTRIO (elexacaftor/tezacaftor/ivacaftor and ivacaftor), SYMDEKO/SYMKEVI (elexacaftor/tezacaftor/ivacaftor and ivacaftor), ORKAMBI (lumacaftor/ivacaftor), and KALYDECO (ivacaftor).</v>
    <v>6100</v>
    <v>Nasdaq Stock Market</v>
    <v>XNAS</v>
    <v>XNAS</v>
    <v>50 Northern Avenue, BOSTON, MA, 02210 US</v>
    <v>434.93</v>
    <v>Pharmaceuticals</v>
    <v>Stock</v>
    <v>45980.879575532032</v>
    <v>52</v>
    <v>418.53</v>
    <v>106823226364</v>
    <v>VERTEX PHARMACEUTICALS INCORPORATED</v>
    <v>VERTEX PHARMACEUTICALS INCORPORATED</v>
    <v>434.36</v>
    <v>29.582699999999999</v>
    <v>435.52</v>
    <v>421.03</v>
    <v>420.75</v>
    <v>253718800</v>
    <v>VRTX</v>
    <v>VERTEX PHARMACEUTICALS INCORPORATED (XNAS:VRTX)</v>
    <v>1538429</v>
    <v>1371375</v>
    <v>1989</v>
  </rv>
  <rv s="2">
    <v>53</v>
  </rv>
  <rv s="0">
    <v>https://www.bing.com/financeapi/forcetrigger?t=a1ook2&amp;q=XNYS%3aBMY&amp;form=skydnc</v>
    <v>Learn more on Bing</v>
  </rv>
  <rv s="1">
    <v>en-IN</v>
    <v>a1ook2</v>
    <v>268435456</v>
    <v>1</v>
    <v>Powered by Refinitiv</v>
    <v>0</v>
    <v>BRISTOL-MYERS SQUIBB COMPANY (XNYS:BMY)</v>
    <v>2</v>
    <v>3</v>
    <v>Finance</v>
    <v>4</v>
    <v>63.33</v>
    <v>42.52</v>
    <v>0.29780000000000001</v>
    <v>-1.28</v>
    <v>1.075E-3</v>
    <v>-2.7199000000000001E-2</v>
    <v>4.9200000000000001E-2</v>
    <v>USD</v>
    <v>Bristol-Myers Squibb Company is a global biopharmaceutical company. It is engaged in the discovery, development and delivery of transformational medicines for patients facing serious diseases in areas: oncology, hematology, immunology, cardiovascular, neuroscience and other areas. Its growth portfolio includes Opdivo (nivolumab), Opdivo Qvantig (nivolumab and hyaluronidase-nvhy), Yervoy (ipilimumab), Reblozyl (luspatercept-aamt), Opdualag (nivolumab and relatlimab-rmbw), Breyanzi (lisocabtagene maraleucel), Camzyos (mavacamten), Zeposia (ozanimod), Abecma (idecabtagene vicleucel), and Sotyktu (deucravacitinib). Its other growth products include Onureg, Inrebic, and Empliciti. Its legacy portfolio includes Eliquis (apixaban), Revlimid (lenalidomide), Pomalyst/Imnovid (pomalidomide), Sprycel (dasatinib), and Abraxane (paclitaxel albumin-bound particles for injectable suspension). Opdivo (nivolumab) is a fully human monoclonal antibody that binds to the PD-1 on T and NKT cells.</v>
    <v>34100</v>
    <v>New York Stock Exchange</v>
    <v>XNYS</v>
    <v>XNYS</v>
    <v>Route 206 And Province Line Road, PRINCETON, NJ, 08543 US</v>
    <v>47</v>
    <v>Pharmaceuticals</v>
    <v>Stock</v>
    <v>45980.880345786718</v>
    <v>55</v>
    <v>45.74</v>
    <v>93196772340</v>
    <v>BRISTOL-MYERS SQUIBB COMPANY</v>
    <v>BRISTOL-MYERS SQUIBB COMPANY</v>
    <v>47</v>
    <v>15.489800000000001</v>
    <v>47.06</v>
    <v>45.78</v>
    <v>45.8292</v>
    <v>2035753000</v>
    <v>BMY</v>
    <v>BRISTOL-MYERS SQUIBB COMPANY (XNYS:BMY)</v>
    <v>14687728</v>
    <v>15766394</v>
    <v>1933</v>
  </rv>
  <rv s="2">
    <v>56</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urrency" t="s"/>
    <k n="Description" t="s"/>
    <k n="Employees"/>
    <k n="Exchange" t="s"/>
    <k n="Exchange abbreviation" t="s"/>
    <k n="ExchangeID" t="s"/>
    <k n="Headquarters" t="s"/>
    <k n="Industry" t="s"/>
    <k n="Instrument type" t="s"/>
    <k n="Last trade time"/>
    <k n="LearnMoreOnLink" t="r"/>
    <k n="Market cap"/>
    <k n="Name" t="s"/>
    <k n="Official name" t="s"/>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5">
      <v t="s">%EntityServiceId</v>
      <v t="s">_Format</v>
      <v t="s">%IsRefreshable</v>
      <v t="s">%EntityCulture</v>
      <v t="s">%EntityId</v>
      <v t="s">_Icon</v>
      <v t="s">_Display</v>
      <v t="s">Name</v>
      <v t="s">_SubLabel</v>
      <v t="s">Price</v>
      <v t="s">Exchange</v>
      <v t="s">Official name</v>
      <v t="s">Last trade time</v>
      <v t="s">Ticker symbol</v>
      <v t="s">Exchange abbreviation</v>
      <v t="s">Currency</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20">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0</v>
      <v>0</v>
    </spb>
    <spb s="6">
      <v>6</v>
      <v>1</v>
      <v>1</v>
      <v>1</v>
      <v>1</v>
    </spb>
    <spb s="7">
      <v>1</v>
      <v>2</v>
      <v>2</v>
      <v>1</v>
      <v>3</v>
      <v>1</v>
      <v>10</v>
      <v>1</v>
      <v>1</v>
      <v>4</v>
      <v>4</v>
      <v>5</v>
      <v>6</v>
      <v>1</v>
      <v>1</v>
      <v>1</v>
      <v>4</v>
      <v>7</v>
      <v>8</v>
      <v>9</v>
      <v>4</v>
      <v>1</v>
      <v>1</v>
      <v>5</v>
    </spb>
    <spb s="8">
      <v>Powered by Refinitiv</v>
    </spb>
    <spb s="0">
      <v>2</v>
      <v>Name</v>
      <v>LearnMoreOnLink</v>
    </spb>
    <spb s="9">
      <v>11</v>
      <v>2</v>
      <v>2</v>
      <v>11</v>
      <v>3</v>
      <v>11</v>
      <v>11</v>
      <v>11</v>
      <v>4</v>
      <v>4</v>
      <v>5</v>
      <v>12</v>
      <v>11</v>
      <v>11</v>
      <v>11</v>
      <v>4</v>
      <v>7</v>
      <v>8</v>
      <v>9</v>
      <v>4</v>
    </spb>
    <spb s="10">
      <v>Delayed 15 minutes</v>
      <v>from previous close</v>
      <v>from previous close</v>
      <v>GMT</v>
    </spb>
    <spb s="0">
      <v>3</v>
      <v>Name</v>
      <v>LearnMoreOnLink</v>
    </spb>
    <spb s="11">
      <v>2</v>
      <v>3</v>
      <v>1</v>
      <v>4</v>
      <v>4</v>
      <v>6</v>
      <v>1</v>
      <v>1</v>
      <v>4</v>
      <v>7</v>
      <v>8</v>
      <v>9</v>
      <v>4</v>
    </spb>
    <spb s="12">
      <v>Delayed 15 minutes</v>
      <v>LSE</v>
      <v>GMT</v>
    </spb>
    <spb s="9">
      <v>13</v>
      <v>2</v>
      <v>2</v>
      <v>13</v>
      <v>3</v>
      <v>13</v>
      <v>13</v>
      <v>13</v>
      <v>4</v>
      <v>4</v>
      <v>5</v>
      <v>14</v>
      <v>13</v>
      <v>13</v>
      <v>13</v>
      <v>4</v>
      <v>7</v>
      <v>8</v>
      <v>9</v>
      <v>4</v>
    </spb>
    <spb s="10">
      <v>Delayed 5 minutes</v>
      <v>from previous close</v>
      <v>from previous close</v>
      <v>GMT</v>
    </spb>
    <spb s="9">
      <v>15</v>
      <v>2</v>
      <v>2</v>
      <v>15</v>
      <v>3</v>
      <v>15</v>
      <v>15</v>
      <v>15</v>
      <v>4</v>
      <v>4</v>
      <v>5</v>
      <v>16</v>
      <v>15</v>
      <v>15</v>
      <v>15</v>
      <v>4</v>
      <v>7</v>
      <v>8</v>
      <v>9</v>
      <v>4</v>
    </spb>
    <spb s="13">
      <v>Delayed 15 minutes</v>
      <v>from previous close</v>
      <v>from previous close</v>
      <v>LSE</v>
      <v>GMT</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Beta" t="i"/>
    <k n="Name" t="i"/>
    <k n="Price" t="i"/>
    <k n="Volume" t="i"/>
    <k n="Employees" t="i"/>
    <k n="Market cap" t="i"/>
    <k n="52 week low" t="i"/>
    <k n="52 week high" t="i"/>
    <k n="Volume average" t="i"/>
    <k n="Last trade time" t="i"/>
    <k n="Year incorporated" t="i"/>
    <k n="`%EntityServiceId" t="i"/>
    <k n="Shares outstanding" t="i"/>
  </s>
  <s>
    <k n="Price" t="s"/>
    <k n="ExchangeID" t="s"/>
    <k n="Last trade time" t="s"/>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x:dxf>
      <x:numFmt numFmtId="35" formatCode="_ * #,##0.00_ ;_ * \-#,##0.00_ ;_ * &quot;-&quot;??_ ;_ @_ "/>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 #,##0.00 [$CHF-fr-CH]_-;-* #,##0.00 [$CHF-fr-CH]_-;_-* "-"?? [$CHF-fr-CH]_-;_-@_-</rpv>
    </rSty>
    <rSty dxfid="1">
      <rpv i="0">_-* #,##0 [$CHF-fr-CH]_-;-* #,##0 [$CHF-fr-CH]_-;_-* "-" [$CHF-fr-CH]_-;_-@_-</rpv>
    </rSty>
    <rSty dxfid="1">
      <rpv i="0" xml:space="preserve">_ [$₹-en-IN] * #,##0.00_ ;_ [$₹-en-IN] * -#,##0.00_ ;_ [$₹-en-IN] * "-"??_ ;_ @_ </rpv>
    </rSty>
    <rSty dxfid="1">
      <rpv i="0" xml:space="preserve">_ [$₹-en-IN] * #,##0_ ;_ [$₹-en-IN] * -#,##0_ ;_ [$₹-en-IN] * "-"_ ;_ @_ </rpv>
    </rSty>
    <rSty dxfid="7">
      <rpv i="0">_(* #,##0.00_);_(* (#,##0.00);_(* "-"??_);_(@_)</rpv>
    </rSty>
    <rSty dxfid="1">
      <rpv i="0">_-[$£-en-GB]* #,##0_-;-[$£-en-GB]* #,##0_-;_-[$£-en-GB]*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CA9F41-CC06-46D2-B77A-08DF88E2C29A}" name="Table1" displayName="Table1" ref="A2:F11" totalsRowShown="0" headerRowDxfId="291" dataDxfId="290" dataCellStyle="Comma">
  <autoFilter ref="A2:F11" xr:uid="{45CA9F41-CC06-46D2-B77A-08DF88E2C29A}">
    <filterColumn colId="0" hiddenButton="1"/>
    <filterColumn colId="1" hiddenButton="1"/>
    <filterColumn colId="2" hiddenButton="1"/>
    <filterColumn colId="3" hiddenButton="1"/>
    <filterColumn colId="4" hiddenButton="1"/>
    <filterColumn colId="5" hiddenButton="1"/>
  </autoFilter>
  <tableColumns count="6">
    <tableColumn id="1" xr3:uid="{F136E191-451C-4461-BAC6-E7CC40A876F4}" name="Particulars" dataDxfId="289" dataCellStyle="Comma"/>
    <tableColumn id="2" xr3:uid="{D219F8C4-7279-438C-9228-655AB18EB307}" name="2020" dataDxfId="288" dataCellStyle="Comma"/>
    <tableColumn id="3" xr3:uid="{05C022DA-283A-40D7-860E-16BFC8D8ED56}" name="2021" dataDxfId="287" dataCellStyle="Comma"/>
    <tableColumn id="4" xr3:uid="{27924B04-2129-407B-9C03-30246FF5F2E0}" name="2022" dataDxfId="286" dataCellStyle="Comma"/>
    <tableColumn id="5" xr3:uid="{53B32A10-9FF6-4073-8FE4-93D04BFA37C1}" name="2023" dataDxfId="285" dataCellStyle="Comma"/>
    <tableColumn id="6" xr3:uid="{EC7AA11B-FB9D-4C9E-BF07-99B86AC0D413}" name="2024" dataDxfId="284" dataCellStyle="Comm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00F484-5002-41BF-9D47-CC1332F15C70}" name="Table2" displayName="Table2" ref="A14:F23" totalsRowShown="0" headerRowDxfId="283" dataDxfId="282" dataCellStyle="Comma">
  <autoFilter ref="A14:F23" xr:uid="{AB00F484-5002-41BF-9D47-CC1332F15C70}">
    <filterColumn colId="0" hiddenButton="1"/>
    <filterColumn colId="1" hiddenButton="1"/>
    <filterColumn colId="2" hiddenButton="1"/>
    <filterColumn colId="3" hiddenButton="1"/>
    <filterColumn colId="4" hiddenButton="1"/>
    <filterColumn colId="5" hiddenButton="1"/>
  </autoFilter>
  <tableColumns count="6">
    <tableColumn id="1" xr3:uid="{D97B04F7-D2F0-40C7-9001-D7F9F1CB8E55}" name="Particulars" dataDxfId="281" dataCellStyle="Comma"/>
    <tableColumn id="2" xr3:uid="{BD25A264-D942-4B4B-BFDB-A7842649EAB2}" name="2020" dataDxfId="280" dataCellStyle="Comma"/>
    <tableColumn id="3" xr3:uid="{CC003957-A9E5-49DC-A91D-20A70198DADB}" name="2021" dataDxfId="279" dataCellStyle="Comma"/>
    <tableColumn id="4" xr3:uid="{FB7BC031-5DFF-4918-9D36-6F53CF2EA6C6}" name="2022" dataDxfId="278" dataCellStyle="Comma"/>
    <tableColumn id="5" xr3:uid="{FD5C837C-F66D-467A-89DB-F6046948B1CC}" name="2023" dataDxfId="277" dataCellStyle="Comma"/>
    <tableColumn id="6" xr3:uid="{54A30DF7-B71A-4512-B9AB-EA002FDB1A29}" name="2024" dataDxfId="276" dataCellStyle="Comm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5DFADC-7F93-47B3-8481-DD339949CAE8}" name="Table3" displayName="Table3" ref="A26:F30" totalsRowShown="0" headerRowDxfId="275" dataDxfId="274" dataCellStyle="Comma">
  <autoFilter ref="A26:F30" xr:uid="{565DFADC-7F93-47B3-8481-DD339949CAE8}">
    <filterColumn colId="0" hiddenButton="1"/>
    <filterColumn colId="1" hiddenButton="1"/>
    <filterColumn colId="2" hiddenButton="1"/>
    <filterColumn colId="3" hiddenButton="1"/>
    <filterColumn colId="4" hiddenButton="1"/>
    <filterColumn colId="5" hiddenButton="1"/>
  </autoFilter>
  <tableColumns count="6">
    <tableColumn id="1" xr3:uid="{FEB221D3-FD4C-433F-96E8-9EDC65DA3CC9}" name="Particulars" dataDxfId="273" dataCellStyle="Comma"/>
    <tableColumn id="2" xr3:uid="{283228E0-9805-48B2-9BAC-1B81CF6F46F8}" name="2020" dataDxfId="272" dataCellStyle="Comma"/>
    <tableColumn id="3" xr3:uid="{E8B60052-8435-4435-9BF2-C297185B63E2}" name="2021" dataDxfId="271" dataCellStyle="Comma"/>
    <tableColumn id="4" xr3:uid="{A76DDA08-168D-40C2-8ECB-A04B0051F2E1}" name="2022" dataDxfId="270" dataCellStyle="Comma"/>
    <tableColumn id="5" xr3:uid="{BAA0027F-C28D-400B-B518-009E3A1C5F6A}" name="2023" dataDxfId="269" dataCellStyle="Comma"/>
    <tableColumn id="6" xr3:uid="{600F1F4D-2311-4660-9AD7-4421A6F1F93E}" name="2024" dataDxfId="268" dataCellStyle="Comma"/>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3A0236-9AB2-4D93-83E0-CB417CA8A68F}" name="Table18" displayName="Table18" ref="H2:M11" totalsRowShown="0" headerRowDxfId="267" dataDxfId="266" dataCellStyle="Comma">
  <autoFilter ref="H2:M11" xr:uid="{FD3A0236-9AB2-4D93-83E0-CB417CA8A68F}">
    <filterColumn colId="0" hiddenButton="1"/>
    <filterColumn colId="1" hiddenButton="1"/>
    <filterColumn colId="2" hiddenButton="1"/>
    <filterColumn colId="3" hiddenButton="1"/>
    <filterColumn colId="4" hiddenButton="1"/>
    <filterColumn colId="5" hiddenButton="1"/>
  </autoFilter>
  <tableColumns count="6">
    <tableColumn id="1" xr3:uid="{7C2935BF-5FBA-495D-A195-0829C042807D}" name="Particulars" dataDxfId="265" dataCellStyle="Comma"/>
    <tableColumn id="2" xr3:uid="{19CEE94B-3CE1-43DE-8DE9-41FFD9712932}" name="2020" dataDxfId="264" dataCellStyle="Comma"/>
    <tableColumn id="3" xr3:uid="{061B76B8-4A3F-479B-ABAE-6A2D3FF80D19}" name="2021" dataDxfId="263" dataCellStyle="Comma"/>
    <tableColumn id="4" xr3:uid="{CB505864-F250-4565-A04D-637F1EB5635B}" name="2022" dataDxfId="262" dataCellStyle="Comma"/>
    <tableColumn id="5" xr3:uid="{F9376C6C-93F8-4400-A2F8-1AD4446E6AEF}" name="2023" dataDxfId="261" dataCellStyle="Comma"/>
    <tableColumn id="6" xr3:uid="{B0392401-DC31-4419-9EB5-5A04BD39B9DB}" name="2024" dataDxfId="260" dataCellStyle="Comma"/>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A9A12A2-9EA4-40A4-BDCA-71688ACE9F8C}" name="Table29" displayName="Table29" ref="H14:M23" totalsRowShown="0" headerRowDxfId="259" dataDxfId="258" dataCellStyle="Comma">
  <autoFilter ref="H14:M23" xr:uid="{FA9A12A2-9EA4-40A4-BDCA-71688ACE9F8C}">
    <filterColumn colId="0" hiddenButton="1"/>
    <filterColumn colId="1" hiddenButton="1"/>
    <filterColumn colId="2" hiddenButton="1"/>
    <filterColumn colId="3" hiddenButton="1"/>
    <filterColumn colId="4" hiddenButton="1"/>
    <filterColumn colId="5" hiddenButton="1"/>
  </autoFilter>
  <tableColumns count="6">
    <tableColumn id="1" xr3:uid="{9F8F1B6B-38D3-45A2-A704-068212EDB1E8}" name="Particulars" dataDxfId="257" dataCellStyle="Comma"/>
    <tableColumn id="2" xr3:uid="{8897B4F5-D719-4BBF-BC1D-6EAF16FEA077}" name="2020" dataDxfId="256" dataCellStyle="Comma"/>
    <tableColumn id="3" xr3:uid="{50220CB7-57DD-40EB-B80E-48BE213E450F}" name="2021" dataDxfId="255" dataCellStyle="Comma"/>
    <tableColumn id="4" xr3:uid="{5E146487-DF0E-4B2A-901F-B38DE3D40D6A}" name="2022" dataDxfId="254" dataCellStyle="Comma"/>
    <tableColumn id="5" xr3:uid="{15691859-84A5-420B-8A10-048F5A3D6FC5}" name="2023" dataDxfId="253" dataCellStyle="Comma"/>
    <tableColumn id="6" xr3:uid="{0BF9A93F-07B0-45E9-8272-B73376A1250E}" name="2024" dataDxfId="252" dataCellStyle="Comma"/>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EA65E65-6038-4025-A6D1-1C64195FA502}" name="Table310" displayName="Table310" ref="H26:M31" totalsRowShown="0" headerRowDxfId="251" dataDxfId="250" dataCellStyle="Comma">
  <autoFilter ref="H26:M31" xr:uid="{9EA65E65-6038-4025-A6D1-1C64195FA502}">
    <filterColumn colId="0" hiddenButton="1"/>
    <filterColumn colId="1" hiddenButton="1"/>
    <filterColumn colId="2" hiddenButton="1"/>
    <filterColumn colId="3" hiddenButton="1"/>
    <filterColumn colId="4" hiddenButton="1"/>
    <filterColumn colId="5" hiddenButton="1"/>
  </autoFilter>
  <tableColumns count="6">
    <tableColumn id="1" xr3:uid="{A8DB4074-9142-4767-ADB5-113288FBC41C}" name="Particulars" dataDxfId="249" dataCellStyle="Comma"/>
    <tableColumn id="2" xr3:uid="{4BED3065-4E2B-4C6A-909A-FF03B0AC6F85}" name="2020" dataDxfId="248" dataCellStyle="Comma"/>
    <tableColumn id="3" xr3:uid="{38776DC0-E3FD-40C1-A91F-6DC06BA1A178}" name="2021" dataDxfId="247" dataCellStyle="Comma"/>
    <tableColumn id="4" xr3:uid="{04761D91-AC31-45BE-A54F-0E1D5E678DAC}" name="2022" dataDxfId="246" dataCellStyle="Comma"/>
    <tableColumn id="5" xr3:uid="{0777913F-7FF4-4669-9137-2AA87976E72C}" name="2023" dataDxfId="245" dataCellStyle="Comma"/>
    <tableColumn id="6" xr3:uid="{43AB607A-E517-44C3-AEEA-36DA8E4A81BD}" name="2024" dataDxfId="244" dataCellStyle="Comma"/>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3D1BB8-3977-4AEE-A298-5284CBC5B3AF}" name="Table15" displayName="Table15" ref="O2:T11" totalsRowShown="0" headerRowDxfId="243" dataDxfId="242" dataCellStyle="Comma">
  <autoFilter ref="O2:T11" xr:uid="{DC3D1BB8-3977-4AEE-A298-5284CBC5B3AF}">
    <filterColumn colId="0" hiddenButton="1"/>
    <filterColumn colId="1" hiddenButton="1"/>
    <filterColumn colId="2" hiddenButton="1"/>
    <filterColumn colId="3" hiddenButton="1"/>
    <filterColumn colId="4" hiddenButton="1"/>
    <filterColumn colId="5" hiddenButton="1"/>
  </autoFilter>
  <tableColumns count="6">
    <tableColumn id="1" xr3:uid="{C289A06F-0BE2-4323-94D7-7ACDE70C3556}" name="Particulars" dataDxfId="241" dataCellStyle="Comma"/>
    <tableColumn id="2" xr3:uid="{FEE8FFA6-EFFE-498E-893D-5171909698B0}" name="2020" dataDxfId="240" dataCellStyle="Comma"/>
    <tableColumn id="3" xr3:uid="{4D7C46FE-BB9A-45CA-8811-59AEF381689F}" name="2021" dataDxfId="239" dataCellStyle="Comma"/>
    <tableColumn id="4" xr3:uid="{CA12CC62-0C65-4FB6-9883-DCB804E38C6A}" name="2022" dataDxfId="238" dataCellStyle="Comma"/>
    <tableColumn id="5" xr3:uid="{77BFD6C9-EDBC-4CD6-BC2D-DFA4871F1FE9}" name="2023" dataDxfId="237" dataCellStyle="Comma"/>
    <tableColumn id="6" xr3:uid="{551CD8DD-5567-4883-BFF2-3C8F27F9B881}" name="2024" dataDxfId="236" dataCellStyle="Comma"/>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A783B5-776C-4068-837D-FC4D019FF288}" name="Table26" displayName="Table26" ref="O14:T23" totalsRowShown="0" headerRowDxfId="235" dataDxfId="234" dataCellStyle="Comma">
  <autoFilter ref="O14:T23" xr:uid="{B9A783B5-776C-4068-837D-FC4D019FF288}">
    <filterColumn colId="0" hiddenButton="1"/>
    <filterColumn colId="1" hiddenButton="1"/>
    <filterColumn colId="2" hiddenButton="1"/>
    <filterColumn colId="3" hiddenButton="1"/>
    <filterColumn colId="4" hiddenButton="1"/>
    <filterColumn colId="5" hiddenButton="1"/>
  </autoFilter>
  <tableColumns count="6">
    <tableColumn id="1" xr3:uid="{65325298-1AC7-491A-B90D-55EB5C5D229E}" name="Particulars" dataDxfId="233" dataCellStyle="Comma"/>
    <tableColumn id="2" xr3:uid="{FA227D76-738E-4CBA-8385-562D05D99C7C}" name="2020" dataDxfId="232" dataCellStyle="Comma"/>
    <tableColumn id="3" xr3:uid="{A7AC4997-9D30-48EA-B004-413DD84EB733}" name="2021" dataDxfId="231" dataCellStyle="Comma"/>
    <tableColumn id="4" xr3:uid="{DC4AE382-C24F-4358-BF56-AD9569767CD9}" name="2022" dataDxfId="230" dataCellStyle="Comma"/>
    <tableColumn id="5" xr3:uid="{98B8A2DF-BC11-4B54-8D5A-46F3E4C7FCFB}" name="2023" dataDxfId="229" dataCellStyle="Comma"/>
    <tableColumn id="6" xr3:uid="{CAAB4FB3-CC09-4409-ADE4-176C64AA5D85}" name="2024" dataDxfId="228" dataCellStyle="Comma"/>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9D8E1F-B46A-481E-9732-2A000917DB01}" name="Table37" displayName="Table37" ref="O26:T31" totalsRowShown="0" headerRowDxfId="227" dataDxfId="226" dataCellStyle="Comma">
  <autoFilter ref="O26:T31" xr:uid="{4C9D8E1F-B46A-481E-9732-2A000917DB01}">
    <filterColumn colId="0" hiddenButton="1"/>
    <filterColumn colId="1" hiddenButton="1"/>
    <filterColumn colId="2" hiddenButton="1"/>
    <filterColumn colId="3" hiddenButton="1"/>
    <filterColumn colId="4" hiddenButton="1"/>
    <filterColumn colId="5" hiddenButton="1"/>
  </autoFilter>
  <tableColumns count="6">
    <tableColumn id="1" xr3:uid="{53B36B74-0227-4B0C-82E1-4E894E1A9E97}" name="Particulars" dataDxfId="225" dataCellStyle="Comma"/>
    <tableColumn id="2" xr3:uid="{859CB1C4-678A-414F-859D-C7F4FFB4B9E2}" name="2020" dataDxfId="224" dataCellStyle="Comma"/>
    <tableColumn id="3" xr3:uid="{A0691272-E56C-49B7-83CA-5C3001E540D8}" name="2021" dataDxfId="223" dataCellStyle="Comma"/>
    <tableColumn id="4" xr3:uid="{E776A6FD-EDD6-4FEF-B3BB-7EE9612BCA71}" name="2022" dataDxfId="222" dataCellStyle="Comma"/>
    <tableColumn id="5" xr3:uid="{DB19DA6D-CECB-4724-B442-59DA0EF002AE}" name="2023" dataDxfId="221" dataCellStyle="Comma"/>
    <tableColumn id="6" xr3:uid="{CAF0A2CF-0FEC-4879-8D84-115D66DA69E8}" name="2024" dataDxfId="220" dataCellStyle="Comma"/>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D81EE24-F28F-40D9-8513-F3F2D3B0313E}" name="Table1811" displayName="Table1811" ref="W2:AB11" totalsRowShown="0" headerRowDxfId="219" dataDxfId="218" dataCellStyle="Comma">
  <autoFilter ref="W2:AB11" xr:uid="{9D81EE24-F28F-40D9-8513-F3F2D3B0313E}">
    <filterColumn colId="0" hiddenButton="1"/>
    <filterColumn colId="1" hiddenButton="1"/>
    <filterColumn colId="2" hiddenButton="1"/>
    <filterColumn colId="3" hiddenButton="1"/>
    <filterColumn colId="4" hiddenButton="1"/>
    <filterColumn colId="5" hiddenButton="1"/>
  </autoFilter>
  <tableColumns count="6">
    <tableColumn id="1" xr3:uid="{7DA61C31-0733-4E1E-BEF1-33AAAED4AB3B}" name="Particulars" dataDxfId="217" dataCellStyle="Comma"/>
    <tableColumn id="2" xr3:uid="{AEACFB88-4690-42B6-96F6-DC7D8A8AF646}" name="2020" dataDxfId="216" dataCellStyle="Comma"/>
    <tableColumn id="3" xr3:uid="{7BF8C540-0DF1-4A6B-B02D-BA3A2D3013CE}" name="2021" dataDxfId="215" dataCellStyle="Comma"/>
    <tableColumn id="4" xr3:uid="{E3924494-622F-4ADC-B075-6E7741D2AE84}" name="2022" dataDxfId="214" dataCellStyle="Comma"/>
    <tableColumn id="5" xr3:uid="{CBEB8652-679B-4697-90B9-3EE2DA7BF525}" name="2023" dataDxfId="213" dataCellStyle="Comma"/>
    <tableColumn id="6" xr3:uid="{EAD14ECF-9209-4CBB-A47F-78E844633247}" name="2024" dataDxfId="212" dataCellStyle="Comma"/>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CF3CD93-85A3-4CAE-B7A3-EBA359CCF57E}" name="Table2912" displayName="Table2912" ref="W14:AB23" totalsRowShown="0" headerRowDxfId="211" dataDxfId="210" dataCellStyle="Comma">
  <autoFilter ref="W14:AB23" xr:uid="{4CF3CD93-85A3-4CAE-B7A3-EBA359CCF57E}">
    <filterColumn colId="0" hiddenButton="1"/>
    <filterColumn colId="1" hiddenButton="1"/>
    <filterColumn colId="2" hiddenButton="1"/>
    <filterColumn colId="3" hiddenButton="1"/>
    <filterColumn colId="4" hiddenButton="1"/>
    <filterColumn colId="5" hiddenButton="1"/>
  </autoFilter>
  <tableColumns count="6">
    <tableColumn id="1" xr3:uid="{8C4FB2F0-B058-4FC0-84F7-FEF9FDD757FF}" name="Particulars" dataDxfId="209" dataCellStyle="Comma"/>
    <tableColumn id="2" xr3:uid="{A8529FA9-7A40-4AEB-AF04-035489C7FA7E}" name="2020" dataDxfId="208" dataCellStyle="Comma"/>
    <tableColumn id="3" xr3:uid="{4DFC0414-20D1-4AE0-96F2-52CC3AA8E9F5}" name="2021" dataDxfId="207" dataCellStyle="Comma"/>
    <tableColumn id="4" xr3:uid="{6184FC27-B1DF-4BFE-BC84-158D378C49B4}" name="2022" dataDxfId="206" dataCellStyle="Comma"/>
    <tableColumn id="5" xr3:uid="{1068A026-4F81-4A5E-B853-77B1C0039044}" name="2023" dataDxfId="205" dataCellStyle="Comma"/>
    <tableColumn id="6" xr3:uid="{4EF420E7-224F-4389-8940-2303C28D76A6}" name="2024" dataDxfId="204" dataCellStyle="Comma"/>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7790414-20A7-43A3-98E6-B362E9603342}" name="Table31013" displayName="Table31013" ref="W26:AB31" totalsRowShown="0" headerRowDxfId="203" dataDxfId="202" dataCellStyle="Comma">
  <autoFilter ref="W26:AB31" xr:uid="{97790414-20A7-43A3-98E6-B362E9603342}">
    <filterColumn colId="0" hiddenButton="1"/>
    <filterColumn colId="1" hiddenButton="1"/>
    <filterColumn colId="2" hiddenButton="1"/>
    <filterColumn colId="3" hiddenButton="1"/>
    <filterColumn colId="4" hiddenButton="1"/>
    <filterColumn colId="5" hiddenButton="1"/>
  </autoFilter>
  <tableColumns count="6">
    <tableColumn id="1" xr3:uid="{9D098F22-26CC-4B68-9B87-FD5F5FB044CF}" name="Particulars" dataDxfId="201" dataCellStyle="Comma"/>
    <tableColumn id="2" xr3:uid="{344B98EE-1C85-4031-87A0-618A6CCC2FBA}" name="2020" dataDxfId="200" dataCellStyle="Comma"/>
    <tableColumn id="3" xr3:uid="{5F7CC3C8-32B9-4F0D-AD9A-10B678479F2F}" name="2021" dataDxfId="199" dataCellStyle="Comma"/>
    <tableColumn id="4" xr3:uid="{D368F514-FFCA-4CED-8F97-9121058EA434}" name="2022" dataDxfId="198" dataCellStyle="Comma"/>
    <tableColumn id="5" xr3:uid="{91468219-6BEE-4BC5-8B69-B75A0CB2B958}" name="2023" dataDxfId="197" dataCellStyle="Comma"/>
    <tableColumn id="6" xr3:uid="{28D9701C-9A99-4503-9F27-9E573DFA1F21}" name="2024" dataDxfId="196" dataCellStyle="Comma"/>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FF357F6-FB55-43D8-8774-62530CCB7A28}" name="Table181114" displayName="Table181114" ref="AE2:AJ11" totalsRowShown="0" headerRowDxfId="195" dataDxfId="194" dataCellStyle="Comma">
  <autoFilter ref="AE2:AJ11" xr:uid="{4FF357F6-FB55-43D8-8774-62530CCB7A28}">
    <filterColumn colId="0" hiddenButton="1"/>
    <filterColumn colId="1" hiddenButton="1"/>
    <filterColumn colId="2" hiddenButton="1"/>
    <filterColumn colId="3" hiddenButton="1"/>
    <filterColumn colId="4" hiddenButton="1"/>
    <filterColumn colId="5" hiddenButton="1"/>
  </autoFilter>
  <tableColumns count="6">
    <tableColumn id="1" xr3:uid="{020267C5-F036-4C54-A8FD-F40441814945}" name="Particulars" dataDxfId="193" dataCellStyle="Comma"/>
    <tableColumn id="2" xr3:uid="{46BA390E-510C-40AC-8F09-5DFEB8FCD452}" name="2020" dataDxfId="192" dataCellStyle="Comma"/>
    <tableColumn id="3" xr3:uid="{9311CF1F-30C6-429C-936A-DFA7F2A6ED67}" name="2021" dataDxfId="191" dataCellStyle="Comma"/>
    <tableColumn id="4" xr3:uid="{D4FBE3F9-58BA-4C97-A34B-DE2B24F058ED}" name="2022" dataDxfId="190" dataCellStyle="Comma"/>
    <tableColumn id="5" xr3:uid="{E9C3C5CB-47D9-4E72-8271-56BE14EF28C5}" name="2023" dataDxfId="189" dataCellStyle="Comma"/>
    <tableColumn id="6" xr3:uid="{3DFDED22-3DA8-42AD-8484-03DF95F285EF}" name="2024" dataDxfId="188" dataCellStyle="Comma"/>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11D0D95-94FB-452A-A996-8A5867DB6969}" name="Table291224" displayName="Table291224" ref="AE14:AJ23" totalsRowShown="0" headerRowDxfId="187" dataDxfId="186" dataCellStyle="Comma">
  <autoFilter ref="AE14:AJ23" xr:uid="{211D0D95-94FB-452A-A996-8A5867DB6969}">
    <filterColumn colId="0" hiddenButton="1"/>
    <filterColumn colId="1" hiddenButton="1"/>
    <filterColumn colId="2" hiddenButton="1"/>
    <filterColumn colId="3" hiddenButton="1"/>
    <filterColumn colId="4" hiddenButton="1"/>
    <filterColumn colId="5" hiddenButton="1"/>
  </autoFilter>
  <tableColumns count="6">
    <tableColumn id="1" xr3:uid="{8598349C-4F95-4004-ACAC-C7D638D4C5D0}" name="Particulars" dataDxfId="185" dataCellStyle="Comma"/>
    <tableColumn id="2" xr3:uid="{CBFDC6E8-80C2-4442-98B3-EC44B6BC3F13}" name="2020" dataDxfId="184" dataCellStyle="Comma"/>
    <tableColumn id="3" xr3:uid="{AF110E41-4A5F-460E-9468-3F6594BF7E3F}" name="2021" dataDxfId="183" dataCellStyle="Comma"/>
    <tableColumn id="4" xr3:uid="{2A663C64-45D0-457B-A28F-BD6BA2B15AF1}" name="2022" dataDxfId="182" dataCellStyle="Comma"/>
    <tableColumn id="5" xr3:uid="{4DA03D5A-50D6-4E10-AA5D-610137D32C13}" name="2023" dataDxfId="181" dataCellStyle="Comma"/>
    <tableColumn id="6" xr3:uid="{39C60054-8781-42DF-8DED-7F56E05D141C}" name="2024" dataDxfId="180" dataCellStyle="Comma"/>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9DD952E-4C52-496C-AEB3-FD57F6D7CCD8}" name="Table3101325" displayName="Table3101325" ref="AE26:AJ31" totalsRowShown="0" headerRowDxfId="179" dataDxfId="178" dataCellStyle="Comma">
  <autoFilter ref="AE26:AJ31" xr:uid="{99DD952E-4C52-496C-AEB3-FD57F6D7CCD8}">
    <filterColumn colId="0" hiddenButton="1"/>
    <filterColumn colId="1" hiddenButton="1"/>
    <filterColumn colId="2" hiddenButton="1"/>
    <filterColumn colId="3" hiddenButton="1"/>
    <filterColumn colId="4" hiddenButton="1"/>
    <filterColumn colId="5" hiddenButton="1"/>
  </autoFilter>
  <tableColumns count="6">
    <tableColumn id="1" xr3:uid="{0271AC3E-9D5E-498A-A4EF-22AB404D8C71}" name="Particulars" dataDxfId="177" dataCellStyle="Comma"/>
    <tableColumn id="2" xr3:uid="{58C5DB4C-4B99-4F13-8090-98F1199D7609}" name="2020" dataDxfId="176" dataCellStyle="Comma"/>
    <tableColumn id="3" xr3:uid="{775B040D-D128-47C8-8A0D-21298683CF81}" name="2021" dataDxfId="175" dataCellStyle="Comma"/>
    <tableColumn id="4" xr3:uid="{74C51092-DEE2-4093-8ACD-3AF632356BC2}" name="2022" dataDxfId="174" dataCellStyle="Comma"/>
    <tableColumn id="5" xr3:uid="{1B3666C3-678D-458C-8785-8BDBC9C59480}" name="2023" dataDxfId="173" dataCellStyle="Comma"/>
    <tableColumn id="6" xr3:uid="{6AA9FD7A-61CC-491A-BD24-C1B50B3D0201}" name="2024" dataDxfId="172" dataCellStyle="Comma"/>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A71F54D-4903-4419-B84C-E3AF59C989CE}" name="Table25" displayName="Table25" ref="O34:T37" totalsRowShown="0" headerRowDxfId="5" dataDxfId="44">
  <autoFilter ref="O34:T37" xr:uid="{6A71F54D-4903-4419-B84C-E3AF59C989CE}">
    <filterColumn colId="0" hiddenButton="1"/>
    <filterColumn colId="1" hiddenButton="1"/>
    <filterColumn colId="2" hiddenButton="1"/>
    <filterColumn colId="3" hiddenButton="1"/>
    <filterColumn colId="4" hiddenButton="1"/>
    <filterColumn colId="5" hiddenButton="1"/>
  </autoFilter>
  <tableColumns count="6">
    <tableColumn id="1" xr3:uid="{993ED0A5-9E88-482D-B383-66F769134D72}" name="Particulars" dataDxfId="50"/>
    <tableColumn id="2" xr3:uid="{DFAC2AFB-5A55-4723-BB5D-0CF9845C7FA7}" name="2020" dataDxfId="49"/>
    <tableColumn id="3" xr3:uid="{66CC66E5-DBE5-4CAF-9CF4-D2F7C00434C3}" name="2021" dataDxfId="48"/>
    <tableColumn id="4" xr3:uid="{C8FA44CE-791B-470C-8E64-2C29D84023A5}" name="2022" dataDxfId="47"/>
    <tableColumn id="5" xr3:uid="{0FDE8FCF-963B-47CF-822F-8BDD046B1202}" name="2023" dataDxfId="46"/>
    <tableColumn id="6" xr3:uid="{B6C8CEDD-46E0-42F8-8AE3-D940C114A24B}" name="2024" dataDxfId="45"/>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8ECEDB0-2BF0-4F73-90DE-AF0742E40CA9}" name="Table27" displayName="Table27" ref="O39:U42" totalsRowShown="0" headerRowDxfId="4" dataDxfId="36">
  <autoFilter ref="O39:U42" xr:uid="{88ECEDB0-2BF0-4F73-90DE-AF0742E40CA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19B161-3E63-4F9E-B129-E91EE31D51ED}" name="Particulars" dataDxfId="43">
      <calculatedColumnFormula>O35</calculatedColumnFormula>
    </tableColumn>
    <tableColumn id="2" xr3:uid="{F625D3B7-55E7-4547-B300-145020DCCDBF}" name="2025" dataDxfId="42">
      <calculatedColumnFormula>DCF!R3</calculatedColumnFormula>
    </tableColumn>
    <tableColumn id="3" xr3:uid="{A5C17EFC-91CC-4ECD-82B7-A4F8E90A09AC}" name="2026" dataDxfId="41">
      <calculatedColumnFormula>DCF!S3</calculatedColumnFormula>
    </tableColumn>
    <tableColumn id="4" xr3:uid="{C7B590FA-4A92-441E-8979-82ACB32A5902}" name="2027" dataDxfId="40">
      <calculatedColumnFormula>DCF!T3</calculatedColumnFormula>
    </tableColumn>
    <tableColumn id="5" xr3:uid="{9C26FD13-648D-4F37-9097-1A9EB13B2D5F}" name="2028" dataDxfId="39">
      <calculatedColumnFormula>DCF!U3</calculatedColumnFormula>
    </tableColumn>
    <tableColumn id="6" xr3:uid="{FD539B6B-90A8-417E-B18F-934B8BF264E5}" name="2029" dataDxfId="38">
      <calculatedColumnFormula>DCF!V3</calculatedColumnFormula>
    </tableColumn>
    <tableColumn id="7" xr3:uid="{DB6BCF94-DAA8-4035-8C8E-19A5E8E77599}" name="2030" dataDxfId="37">
      <calculatedColumnFormula>DCF!W3</calculatedColumnFormula>
    </tableColumn>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E4647C9-45E7-4972-A93E-C62BF5A0CF3E}" name="Table2528" displayName="Table2528" ref="W34:AB37" totalsRowShown="0" headerRowDxfId="3" dataDxfId="35">
  <autoFilter ref="W34:AB37" xr:uid="{BE4647C9-45E7-4972-A93E-C62BF5A0CF3E}">
    <filterColumn colId="0" hiddenButton="1"/>
    <filterColumn colId="1" hiddenButton="1"/>
    <filterColumn colId="2" hiddenButton="1"/>
    <filterColumn colId="3" hiddenButton="1"/>
    <filterColumn colId="4" hiddenButton="1"/>
    <filterColumn colId="5" hiddenButton="1"/>
  </autoFilter>
  <tableColumns count="6">
    <tableColumn id="1" xr3:uid="{B00D16BE-C338-42A7-A175-35439B718E95}" name="Particulars" dataDxfId="34"/>
    <tableColumn id="2" xr3:uid="{DF9B4BD5-D8E3-48ED-A732-A5642913E020}" name="2020" dataDxfId="33"/>
    <tableColumn id="3" xr3:uid="{F1FD6556-E4CD-454F-8674-376C4AF31140}" name="2021" dataDxfId="32"/>
    <tableColumn id="4" xr3:uid="{9ABE5D89-6F28-4F71-B91A-C4F43C91427F}" name="2022" dataDxfId="31"/>
    <tableColumn id="5" xr3:uid="{785605A4-12F9-48EB-A054-558C4B7C138D}" name="2023" dataDxfId="30"/>
    <tableColumn id="6" xr3:uid="{57E77A15-647D-402A-8F41-D295AAAAEBBD}" name="2024" dataDxfId="29"/>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4CE33C5-7B28-47AF-A894-277C0E5A95F0}" name="Table2729" displayName="Table2729" ref="W39:AC42" totalsRowShown="0" headerRowDxfId="2" dataDxfId="28">
  <autoFilter ref="W39:AC42" xr:uid="{14CE33C5-7B28-47AF-A894-277C0E5A95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AD5ABF6-11BA-49FC-A1F4-A2DFC4067D6A}" name="Particulars" dataDxfId="27">
      <calculatedColumnFormula>W35</calculatedColumnFormula>
    </tableColumn>
    <tableColumn id="2" xr3:uid="{1D72D6E1-4392-4458-90CC-4DF98C99D789}" name="2025" dataDxfId="26">
      <calculatedColumnFormula>DCF!Z3</calculatedColumnFormula>
    </tableColumn>
    <tableColumn id="3" xr3:uid="{7FE6C62E-84F4-45ED-A81F-A13B0F9086ED}" name="2026" dataDxfId="25">
      <calculatedColumnFormula>DCF!AA3</calculatedColumnFormula>
    </tableColumn>
    <tableColumn id="4" xr3:uid="{25689FD1-A17E-483A-9580-299BD2A0B0BA}" name="2027" dataDxfId="24">
      <calculatedColumnFormula>DCF!AB3</calculatedColumnFormula>
    </tableColumn>
    <tableColumn id="5" xr3:uid="{1E62C4FA-BB80-4E4C-B426-CBA842068DA2}" name="2028" dataDxfId="23">
      <calculatedColumnFormula>DCF!AC3</calculatedColumnFormula>
    </tableColumn>
    <tableColumn id="6" xr3:uid="{7AFAE4D9-5286-4A6E-8C51-271B57760E31}" name="2029" dataDxfId="22">
      <calculatedColumnFormula>DCF!AD3</calculatedColumnFormula>
    </tableColumn>
    <tableColumn id="7" xr3:uid="{47186D23-2072-4970-8AED-57B1157949B8}" name="2030" dataDxfId="21">
      <calculatedColumnFormula>DCF!AE3</calculatedColumnFormula>
    </tableColumn>
  </tableColumns>
  <tableStyleInfo name="TableStyleMedium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FF7E6B7-A207-4B9D-8EF0-5AAB48531659}" name="Table2536" displayName="Table2536" ref="AE34:AJ37" totalsRowShown="0" headerRowDxfId="1" dataDxfId="20">
  <autoFilter ref="AE34:AJ37" xr:uid="{5FF7E6B7-A207-4B9D-8EF0-5AAB48531659}">
    <filterColumn colId="0" hiddenButton="1"/>
    <filterColumn colId="1" hiddenButton="1"/>
    <filterColumn colId="2" hiddenButton="1"/>
    <filterColumn colId="3" hiddenButton="1"/>
    <filterColumn colId="4" hiddenButton="1"/>
    <filterColumn colId="5" hiddenButton="1"/>
  </autoFilter>
  <tableColumns count="6">
    <tableColumn id="1" xr3:uid="{1F1ECDF7-FD37-4D3F-BE2D-11F769B3A639}" name="Particulars" dataDxfId="19"/>
    <tableColumn id="2" xr3:uid="{B01F5159-E89D-480A-9F93-018C811801C2}" name="2020" dataDxfId="18"/>
    <tableColumn id="3" xr3:uid="{8D0AE01A-2EFA-424C-8DB0-CCC53C93C532}" name="2021" dataDxfId="17"/>
    <tableColumn id="4" xr3:uid="{A9AA9639-7A8E-4435-BA90-0D4BF967A0D0}" name="2022" dataDxfId="16"/>
    <tableColumn id="5" xr3:uid="{B063769F-FB9F-45DF-B4F5-E90D2C70ED16}" name="2023" dataDxfId="15"/>
    <tableColumn id="6" xr3:uid="{675CB238-A22C-4E67-B6CF-6C4B16E8A0D9}" name="2024" dataDxfId="14"/>
  </tableColumns>
  <tableStyleInfo name="TableStyleMedium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2FF84E5-F1D2-4368-ACC1-915CD2FB8CE2}" name="Table2737" displayName="Table2737" ref="AE39:AK42" totalsRowShown="0" headerRowDxfId="0" dataDxfId="13">
  <autoFilter ref="AE39:AK42" xr:uid="{92FF84E5-F1D2-4368-ACC1-915CD2FB8CE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412E967-C4F6-40D4-A2F3-BB6844C54E1F}" name="Particulars" dataDxfId="12">
      <calculatedColumnFormula>AE35</calculatedColumnFormula>
    </tableColumn>
    <tableColumn id="2" xr3:uid="{EAF6F9EB-E937-4458-9D59-AB93F81676B3}" name="2025" dataDxfId="11">
      <calculatedColumnFormula>DCF!AH3</calculatedColumnFormula>
    </tableColumn>
    <tableColumn id="3" xr3:uid="{E9F6B29A-ADC7-47E0-888A-04A7FA49CCEA}" name="2026" dataDxfId="10">
      <calculatedColumnFormula>DCF!AI3</calculatedColumnFormula>
    </tableColumn>
    <tableColumn id="4" xr3:uid="{76F22D31-0ECF-4F2A-BF51-7F6E954C5B0D}" name="2027" dataDxfId="9">
      <calculatedColumnFormula>DCF!AJ3</calculatedColumnFormula>
    </tableColumn>
    <tableColumn id="5" xr3:uid="{D2BC103F-FBCE-4187-90ED-8846B6883645}" name="2028" dataDxfId="8">
      <calculatedColumnFormula>DCF!AK3</calculatedColumnFormula>
    </tableColumn>
    <tableColumn id="6" xr3:uid="{E4E783B5-E6BC-48C8-A18F-03B1CF3400BC}" name="2029" dataDxfId="7">
      <calculatedColumnFormula>DCF!AL3</calculatedColumnFormula>
    </tableColumn>
    <tableColumn id="7" xr3:uid="{1F6071C6-2D29-4F92-A860-37299C44BAE4}" name="2030" dataDxfId="6">
      <calculatedColumnFormula>DCF!AM3</calculatedColumnFormula>
    </tableColumn>
  </tableColumns>
  <tableStyleInfo name="TableStyleMedium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600C45D-CEFD-485C-9B65-AD99B52118BF}" name="Table19" displayName="Table19" ref="H3:M8" totalsRowShown="0" headerRowDxfId="171" dataDxfId="170">
  <autoFilter ref="H3:M8" xr:uid="{D600C45D-CEFD-485C-9B65-AD99B52118BF}">
    <filterColumn colId="0" hiddenButton="1"/>
    <filterColumn colId="1" hiddenButton="1"/>
    <filterColumn colId="2" hiddenButton="1"/>
    <filterColumn colId="3" hiddenButton="1"/>
    <filterColumn colId="4" hiddenButton="1"/>
    <filterColumn colId="5" hiddenButton="1"/>
  </autoFilter>
  <tableColumns count="6">
    <tableColumn id="1" xr3:uid="{36C75B84-3D14-401E-9FC4-48ECEB3B4220}" name="Particulars" dataDxfId="169"/>
    <tableColumn id="2" xr3:uid="{FE9B51E2-2F1E-4074-81A7-045734BE579F}" name="2020" dataDxfId="168">
      <calculatedColumnFormula>Financials!I17-Financials!I19</calculatedColumnFormula>
    </tableColumn>
    <tableColumn id="3" xr3:uid="{CCE2EEBB-855C-4203-B7D8-2ADF22AD91DB}" name="2021" dataDxfId="167">
      <calculatedColumnFormula>Financials!J17-Financials!J19</calculatedColumnFormula>
    </tableColumn>
    <tableColumn id="4" xr3:uid="{46222DC0-06AE-46DB-9108-115D903867AF}" name="2022" dataDxfId="166">
      <calculatedColumnFormula>Financials!K17-Financials!K19</calculatedColumnFormula>
    </tableColumn>
    <tableColumn id="5" xr3:uid="{A9C768D2-83C1-4B51-B3E2-91B0153A4C10}" name="2023" dataDxfId="165">
      <calculatedColumnFormula>Financials!L17-Financials!L19</calculatedColumnFormula>
    </tableColumn>
    <tableColumn id="6" xr3:uid="{B415D61A-7941-4622-915A-0B86DF5EA13B}" name="2024" dataDxfId="164">
      <calculatedColumnFormula>Financials!M17-Financials!M19</calculatedColumnFormula>
    </tableColumn>
  </tableColumns>
  <tableStyleInfo name="TableStyleDark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F92C95A-0A78-4370-B537-A65FA2565590}" name="Table20" displayName="Table20" ref="H12:N17" totalsRowShown="0" headerRowDxfId="163" dataDxfId="162">
  <autoFilter ref="H12:N17" xr:uid="{5F92C95A-0A78-4370-B537-A65FA256559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F39FF54-F7F0-45F3-A149-DE7E90AA634F}" name="Particulars" dataDxfId="161"/>
    <tableColumn id="2" xr3:uid="{B977FF01-5B67-4ED8-82C9-BADC6109158D}" name="2025" dataDxfId="160">
      <calculatedColumnFormula>DCF!J2*'Assumptions &amp; WACC'!$C$7</calculatedColumnFormula>
    </tableColumn>
    <tableColumn id="3" xr3:uid="{4C1479AE-8107-4A16-9AF9-490D7BF8443A}" name="2026" dataDxfId="159">
      <calculatedColumnFormula>DCF!K2*'Assumptions &amp; WACC'!$C$7</calculatedColumnFormula>
    </tableColumn>
    <tableColumn id="4" xr3:uid="{E2B639C9-790E-4C75-8688-8A6AA03BE6CD}" name="2027" dataDxfId="158">
      <calculatedColumnFormula>DCF!L2*'Assumptions &amp; WACC'!$C$7</calculatedColumnFormula>
    </tableColumn>
    <tableColumn id="5" xr3:uid="{6C5E9D8F-3D35-4FE4-A648-C5D1EB8EEBBC}" name="2028" dataDxfId="157">
      <calculatedColumnFormula>DCF!M2*'Assumptions &amp; WACC'!$C$7</calculatedColumnFormula>
    </tableColumn>
    <tableColumn id="6" xr3:uid="{A74AC753-7E93-4C70-8906-C913B5ABC64A}" name="2029" dataDxfId="156">
      <calculatedColumnFormula>DCF!N2*'Assumptions &amp; WACC'!$C$7</calculatedColumnFormula>
    </tableColumn>
    <tableColumn id="7" xr3:uid="{43D8B2E2-3D26-4087-86CD-24A26ADCD385}" name="2030" dataDxfId="155">
      <calculatedColumnFormula>DCF!O2*'Assumptions &amp; WACC'!$C$7</calculatedColumnFormula>
    </tableColumn>
  </tableColumns>
  <tableStyleInfo name="TableStyleDark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EC76B42-7789-4881-895D-1BA0050E8440}" name="Table8" displayName="Table8" ref="A12:B22" totalsRowShown="0" headerRowDxfId="154" dataDxfId="153">
  <autoFilter ref="A12:B22" xr:uid="{BEC76B42-7789-4881-895D-1BA0050E8440}">
    <filterColumn colId="0" hiddenButton="1"/>
    <filterColumn colId="1" hiddenButton="1"/>
  </autoFilter>
  <tableColumns count="2">
    <tableColumn id="1" xr3:uid="{6BF6E633-1C32-4614-AF2F-6D7B4A2F19F9}" name="Metrics" dataDxfId="152"/>
    <tableColumn id="2" xr3:uid="{082EA3C5-3D61-474C-AF60-17D7A6F13C1F}" name="Value" dataDxfId="151"/>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D2B3A3-BFED-432C-BC04-0F31C1F28E02}" name="Table9" displayName="Table9" ref="A2:G9" totalsRowShown="0" headerRowDxfId="150" dataDxfId="149" headerRowCellStyle="Percent">
  <autoFilter ref="A2:G9" xr:uid="{F0D2B3A3-BFED-432C-BC04-0F31C1F28E0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99043D-20CD-4C6B-B23F-F0148EC75B24}" name="Particulars" dataDxfId="148"/>
    <tableColumn id="2" xr3:uid="{2925A562-6CDC-4FEF-BB49-35C0AA1F9B99}" name="2025" dataDxfId="147"/>
    <tableColumn id="3" xr3:uid="{F6A81D43-753A-4318-9392-91D616D3AB2A}" name="2026" dataDxfId="146"/>
    <tableColumn id="4" xr3:uid="{16C8B936-9498-47AC-8822-723D6767E9B1}" name="2027" dataDxfId="145"/>
    <tableColumn id="5" xr3:uid="{1E45D123-5AEE-43F7-9D50-0297B4A137B7}" name="2028" dataDxfId="144"/>
    <tableColumn id="6" xr3:uid="{AD1E4463-2170-4AB3-A505-5D19DCAFA48F}" name="2029" dataDxfId="143"/>
    <tableColumn id="7" xr3:uid="{78F7B635-0E34-4B38-8CB3-CB01FFAB1238}" name="2030" dataDxfId="142"/>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7C12D0A-D51D-45D8-9FA9-10ED1163ADBE}" name="Table10" displayName="Table10" ref="I2:O9" totalsRowShown="0" headerRowDxfId="141" dataDxfId="140" tableBorderDxfId="139" headerRowCellStyle="Percent">
  <autoFilter ref="I2:O9" xr:uid="{57C12D0A-D51D-45D8-9FA9-10ED1163ADB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7B95F4-B5CB-4B72-83ED-72BEEE6F53DA}" name="Particulars" dataDxfId="138"/>
    <tableColumn id="2" xr3:uid="{9A1F1C3C-711D-49C6-AED6-A26D053AF874}" name="2025" dataDxfId="137" dataCellStyle="Comma"/>
    <tableColumn id="3" xr3:uid="{994476B6-44FD-4090-AB0E-EAA44144CC05}" name="2026" dataDxfId="136" dataCellStyle="Comma"/>
    <tableColumn id="4" xr3:uid="{9E745C6B-1451-47C6-9E3B-FAC93DD9624C}" name="2027" dataDxfId="135" dataCellStyle="Comma"/>
    <tableColumn id="5" xr3:uid="{46128661-5F69-40BF-9644-38FE577B2A83}" name="2028" dataDxfId="134" dataCellStyle="Comma"/>
    <tableColumn id="6" xr3:uid="{D12B47BB-FFEF-414A-9A61-2216ACE4AE7D}" name="2029" dataDxfId="133" dataCellStyle="Comma"/>
    <tableColumn id="7" xr3:uid="{B9A0D703-B02F-4AEE-9002-697F5B3D9EF3}" name="2030" dataDxfId="132" dataCellStyle="Comma"/>
  </tableColumns>
  <tableStyleInfo name="TableStyleMedium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923B019-B72E-49BE-B302-F838ED4711F2}" name="Table814" displayName="Table814" ref="I12:J22" totalsRowShown="0" headerRowDxfId="131" dataDxfId="130" tableBorderDxfId="129">
  <autoFilter ref="I12:J22" xr:uid="{6923B019-B72E-49BE-B302-F838ED4711F2}">
    <filterColumn colId="0" hiddenButton="1"/>
    <filterColumn colId="1" hiddenButton="1"/>
  </autoFilter>
  <tableColumns count="2">
    <tableColumn id="1" xr3:uid="{2D3AE88F-C218-42A2-B36D-3298B33CB851}" name="Metrics" dataDxfId="128"/>
    <tableColumn id="2" xr3:uid="{EA8B325E-690C-487E-B6C8-DD87D880012E}" name="Value" dataDxfId="127"/>
  </tableColumns>
  <tableStyleInfo name="TableStyleMedium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267B223-9B6C-40AD-A372-EA0F2B739246}" name="Table830" displayName="Table830" ref="Q12:R22" totalsRowShown="0" headerRowDxfId="126" dataDxfId="125">
  <autoFilter ref="Q12:R22" xr:uid="{F267B223-9B6C-40AD-A372-EA0F2B739246}">
    <filterColumn colId="0" hiddenButton="1"/>
    <filterColumn colId="1" hiddenButton="1"/>
  </autoFilter>
  <tableColumns count="2">
    <tableColumn id="1" xr3:uid="{196A9CBF-03AF-462C-8B38-43812B6137AE}" name="Metrics" dataDxfId="124"/>
    <tableColumn id="2" xr3:uid="{D1D92ED7-CCCC-43CC-9ABC-2E589309CFCB}" name="Value" dataDxfId="123"/>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63F7FD0-FB3E-4346-988F-99DBE23C6D5F}" name="Table931" displayName="Table931" ref="Q2:W9" totalsRowShown="0" headerRowDxfId="122" dataDxfId="121" headerRowCellStyle="Percent">
  <autoFilter ref="Q2:W9" xr:uid="{E63F7FD0-FB3E-4346-988F-99DBE23C6D5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4D7B34-AC96-4C8A-9A74-8E29D0CC343A}" name="Particulars" dataDxfId="120"/>
    <tableColumn id="2" xr3:uid="{D39E0763-6C54-4519-8A63-63E016A28487}" name="2025" dataDxfId="119"/>
    <tableColumn id="3" xr3:uid="{671128C3-4968-42C3-B683-6055250D64A9}" name="2026" dataDxfId="118"/>
    <tableColumn id="4" xr3:uid="{2C0501EE-346C-4077-A211-585431A04574}" name="2027" dataDxfId="117"/>
    <tableColumn id="5" xr3:uid="{1383349A-FD6D-4334-B315-9BB061AD721D}" name="2028" dataDxfId="116"/>
    <tableColumn id="6" xr3:uid="{123EC6A5-7A93-495D-988E-670C9DC01908}" name="2029" dataDxfId="115"/>
    <tableColumn id="7" xr3:uid="{75463EAA-941B-4E6A-88F5-41FCF37D1D34}" name="2030" dataDxfId="114"/>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4E5B125-A787-4321-91BC-23BA437D46FF}" name="Table1032" displayName="Table1032" ref="Y2:AE9" totalsRowShown="0" headerRowDxfId="113" dataDxfId="112" tableBorderDxfId="111" headerRowCellStyle="Percent">
  <autoFilter ref="Y2:AE9" xr:uid="{04E5B125-A787-4321-91BC-23BA437D46F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C19E2B-A705-44BA-AED0-FDED4CABBFB2}" name="Particulars" dataDxfId="110"/>
    <tableColumn id="2" xr3:uid="{0399A716-7A82-4F49-82DB-0071BAF5B754}" name="2025" dataDxfId="109" dataCellStyle="Comma"/>
    <tableColumn id="3" xr3:uid="{F943D98E-6260-466C-9FF6-89BE8F620A12}" name="2026" dataDxfId="108" dataCellStyle="Comma"/>
    <tableColumn id="4" xr3:uid="{48090E43-A937-4FA2-AE6B-1B45279A62E2}" name="2027" dataDxfId="107" dataCellStyle="Comma"/>
    <tableColumn id="5" xr3:uid="{6AA78C5F-00EB-491A-B478-297885E78869}" name="2028" dataDxfId="106" dataCellStyle="Comma"/>
    <tableColumn id="6" xr3:uid="{04CD74C3-CBCB-49CF-8E0A-8DA15233E990}" name="2029" dataDxfId="105" dataCellStyle="Comma"/>
    <tableColumn id="7" xr3:uid="{9AA30C46-DCD5-44D4-86DC-BB80765AF18B}" name="2030" dataDxfId="104" dataCellStyle="Comma"/>
  </tableColumns>
  <tableStyleInfo name="TableStyleMedium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52C2FF8-80B9-4BAF-8B9F-296650E02D4E}" name="Table81433" displayName="Table81433" ref="Y12:Z22" totalsRowShown="0" headerRowDxfId="103" dataDxfId="102" tableBorderDxfId="101">
  <autoFilter ref="Y12:Z22" xr:uid="{352C2FF8-80B9-4BAF-8B9F-296650E02D4E}">
    <filterColumn colId="0" hiddenButton="1"/>
    <filterColumn colId="1" hiddenButton="1"/>
  </autoFilter>
  <tableColumns count="2">
    <tableColumn id="1" xr3:uid="{D28BF523-7A6A-47DF-AD3D-4E6E7D14B3F3}" name="Metrics" dataDxfId="100"/>
    <tableColumn id="2" xr3:uid="{D4DB6E6F-44B4-49EE-828B-4AE6E101531B}" name="Value" dataDxfId="99"/>
  </tableColumns>
  <tableStyleInfo name="TableStyleMedium1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A07011B-FAA0-4A19-9669-AC09D57775D4}" name="Table83034" displayName="Table83034" ref="AG12:AH22" totalsRowShown="0" headerRowDxfId="98" dataDxfId="97">
  <autoFilter ref="AG12:AH22" xr:uid="{5A07011B-FAA0-4A19-9669-AC09D57775D4}">
    <filterColumn colId="0" hiddenButton="1"/>
    <filterColumn colId="1" hiddenButton="1"/>
  </autoFilter>
  <tableColumns count="2">
    <tableColumn id="1" xr3:uid="{D8F70698-B25D-4F1B-B3AD-0D5F0D78B634}" name="Metrics" dataDxfId="96"/>
    <tableColumn id="2" xr3:uid="{3D5EA9C8-8F9F-400B-AEB8-950EEA582E54}" name="Value" dataDxfId="95"/>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56035FB-3985-4F16-AF88-2339447AB04F}" name="Table93135" displayName="Table93135" ref="AG2:AM9" totalsRowShown="0" headerRowDxfId="94" dataDxfId="93" headerRowCellStyle="Percent">
  <autoFilter ref="AG2:AM9" xr:uid="{456035FB-3985-4F16-AF88-2339447AB04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8AA535C-9C96-4879-B76C-480FDA567926}" name="Particulars" dataDxfId="92"/>
    <tableColumn id="2" xr3:uid="{215C79CC-C9AD-435E-AE6A-FBD092442F32}" name="2025" dataDxfId="91"/>
    <tableColumn id="3" xr3:uid="{90308390-2367-4D0F-9288-F317F14010B9}" name="2026" dataDxfId="90"/>
    <tableColumn id="4" xr3:uid="{72DE3C20-038F-4A23-AA19-094F6F6D2AEC}" name="2027" dataDxfId="89"/>
    <tableColumn id="5" xr3:uid="{D613CCAA-C067-4BED-BAD1-F2FF43C22BC2}" name="2028" dataDxfId="88"/>
    <tableColumn id="6" xr3:uid="{5A649ADC-BD29-4870-9728-612D59AB5853}" name="2029" dataDxfId="87"/>
    <tableColumn id="7" xr3:uid="{4C2B1ADF-E24A-4F46-A7F9-DF48B3E67BD9}" name="2030" dataDxfId="86"/>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F480F00-380E-47D6-9824-B4290D66D88F}" name="Table21" displayName="Table21" ref="A22:E27" totalsRowShown="0" headerRowDxfId="85" dataDxfId="84" tableBorderDxfId="83">
  <autoFilter ref="A22:E27" xr:uid="{7F480F00-380E-47D6-9824-B4290D66D88F}">
    <filterColumn colId="0" hiddenButton="1"/>
    <filterColumn colId="1" hiddenButton="1"/>
    <filterColumn colId="2" hiddenButton="1"/>
    <filterColumn colId="3" hiddenButton="1"/>
    <filterColumn colId="4" hiddenButton="1"/>
  </autoFilter>
  <tableColumns count="5">
    <tableColumn id="1" xr3:uid="{FCBE84AF-4BB4-45BE-96AF-75A59C6EC03C}" name="Company" dataDxfId="82"/>
    <tableColumn id="2" xr3:uid="{D5F00AE2-D577-4E7F-A56A-4301B8D6713C}" name="EBITDA" dataDxfId="81"/>
    <tableColumn id="3" xr3:uid="{DF6E21E1-7CE4-47E0-93B0-CC623D01FD89}" name="Net Income" dataDxfId="80"/>
    <tableColumn id="4" xr3:uid="{F45D7583-6000-47C6-9FD5-668E2120BFF0}" name="Revenue" dataDxfId="79"/>
    <tableColumn id="5" xr3:uid="{CDFB3D8C-C23B-482A-9F3B-6FEF871D8141}" name="Book Value" dataDxfId="78"/>
  </tableColumns>
  <tableStyleInfo name="TableStyleDark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1EF755-DAC8-43A3-8DA2-E7C08289B661}" name="Table22" displayName="Table22" ref="H3:L8" totalsRowShown="0" headerRowDxfId="77" tableBorderDxfId="76">
  <autoFilter ref="H3:L8" xr:uid="{701EF755-DAC8-43A3-8DA2-E7C08289B661}">
    <filterColumn colId="0" hiddenButton="1"/>
    <filterColumn colId="1" hiddenButton="1"/>
    <filterColumn colId="2" hiddenButton="1"/>
    <filterColumn colId="3" hiddenButton="1"/>
    <filterColumn colId="4" hiddenButton="1"/>
  </autoFilter>
  <tableColumns count="5">
    <tableColumn id="1" xr3:uid="{44F3693F-A6CB-46BF-ABA7-8782E11589CF}" name="Company" dataDxfId="75"/>
    <tableColumn id="2" xr3:uid="{C7ECA2B6-BE90-44F9-AA60-015FA29C797C}" name="EV/EBITDA" dataDxfId="74">
      <calculatedColumnFormula>(B23*$B$20)/N4</calculatedColumnFormula>
    </tableColumn>
    <tableColumn id="3" xr3:uid="{377DFAA4-40AD-48C4-B8A7-31E9772F447A}" name="P/E" dataDxfId="73"/>
    <tableColumn id="4" xr3:uid="{7E65B698-4B21-44E0-82A9-CF2DC9CE8191}" name="P/S" dataDxfId="72"/>
    <tableColumn id="5" xr3:uid="{27361B67-84B8-47E9-ACC5-F0C4460FB141}" name="P/B" dataDxfId="71"/>
  </tableColumns>
  <tableStyleInfo name="TableStyleDark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131B2D1-AB43-443B-90C8-0B7F438D6DCA}" name="Table23" displayName="Table23" ref="H13:K18" totalsRowShown="0" headerRowDxfId="70" tableBorderDxfId="69">
  <autoFilter ref="H13:K18" xr:uid="{E131B2D1-AB43-443B-90C8-0B7F438D6DCA}">
    <filterColumn colId="0" hiddenButton="1"/>
    <filterColumn colId="1" hiddenButton="1"/>
    <filterColumn colId="2" hiddenButton="1"/>
    <filterColumn colId="3" hiddenButton="1"/>
  </autoFilter>
  <tableColumns count="4">
    <tableColumn id="1" xr3:uid="{5F02B247-DD7C-4EAD-AB6E-B4325AB53CED}" name="Company" dataDxfId="68"/>
    <tableColumn id="2" xr3:uid="{8B4DDDDE-EF71-439E-8832-8AF021BFF245}" name="Target Price" dataDxfId="67">
      <calculatedColumnFormula>AVERAGE(I4:L4)</calculatedColumnFormula>
    </tableColumn>
    <tableColumn id="3" xr3:uid="{ECA99C33-A57B-48CE-8380-67CFEAD91B26}" name="CMP" dataDxfId="66"/>
    <tableColumn id="4" xr3:uid="{68695B97-DE83-455C-AEC7-8E11BA386F86}" name="U/D" dataDxfId="65" dataCellStyle="Percent">
      <calculatedColumnFormula>(Table23[[#This Row],[Target Price]]-J14)/J14</calculatedColumnFormula>
    </tableColumn>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1.xml"/><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opLeftCell="C1" workbookViewId="0">
      <selection activeCell="K10" sqref="K10"/>
    </sheetView>
  </sheetViews>
  <sheetFormatPr defaultRowHeight="14.4" x14ac:dyDescent="0.3"/>
  <cols>
    <col min="1" max="1" width="16.44140625" style="1" bestFit="1" customWidth="1"/>
    <col min="2" max="3" width="17.44140625" style="4" customWidth="1"/>
    <col min="4" max="4" width="19.33203125" style="4" customWidth="1"/>
    <col min="5" max="5" width="21.5546875" style="4" bestFit="1" customWidth="1"/>
    <col min="6" max="6" width="19.33203125" style="4" customWidth="1"/>
    <col min="7" max="16384" width="8.88671875" style="1"/>
  </cols>
  <sheetData>
    <row r="1" spans="1:6" s="2" customFormat="1" ht="43.2" x14ac:dyDescent="0.3">
      <c r="A1" s="87" t="s">
        <v>0</v>
      </c>
      <c r="B1" s="88" t="e" vm="1">
        <v>#VALUE!</v>
      </c>
      <c r="C1" s="88" t="e" vm="2">
        <v>#VALUE!</v>
      </c>
      <c r="D1" s="88" t="e" vm="3">
        <v>#VALUE!</v>
      </c>
      <c r="E1" s="88" t="e" vm="4">
        <v>#VALUE!</v>
      </c>
      <c r="F1" s="89" t="e" vm="5">
        <v>#VALUE!</v>
      </c>
    </row>
    <row r="2" spans="1:6" x14ac:dyDescent="0.3">
      <c r="A2" s="85" t="s">
        <v>1</v>
      </c>
      <c r="B2" s="86" t="str" cm="1">
        <f t="array" aca="1" ref="B2" ca="1">_FV(B1,"Official name",TRUE)</f>
        <v>PFIZER INC.</v>
      </c>
      <c r="C2" s="86" t="str" cm="1">
        <f t="array" aca="1" ref="C2" ca="1">_FV(C1,"Official name",TRUE)</f>
        <v>MERCK &amp; CO., INC.</v>
      </c>
      <c r="D2" s="86" t="str" cm="1">
        <f t="array" aca="1" ref="D2" ca="1">_FV(D1,"Official name",TRUE)</f>
        <v>AMGEN INC.</v>
      </c>
      <c r="E2" s="86" t="str" cm="1">
        <f t="array" aca="1" ref="E2" ca="1">_FV(E1,"Official name",TRUE)</f>
        <v>ELI LILLY AND COMPANY</v>
      </c>
      <c r="F2" s="86" t="str" cm="1">
        <f t="array" aca="1" ref="F2" ca="1">_FV(F1,"Official name",TRUE)</f>
        <v>JOHNSON &amp; JOHNSON</v>
      </c>
    </row>
    <row r="3" spans="1:6" x14ac:dyDescent="0.3">
      <c r="A3" s="5" t="s">
        <v>2</v>
      </c>
      <c r="B3" s="7" cm="1">
        <f t="array" aca="1" ref="B3" ca="1">_FV(B1,"Price")</f>
        <v>24.9</v>
      </c>
      <c r="C3" s="7" cm="1">
        <f t="array" aca="1" ref="C3" ca="1">_FV(C1,"Price")</f>
        <v>95.05</v>
      </c>
      <c r="D3" s="7" cm="1">
        <f t="array" aca="1" ref="D3" ca="1">_FV(D1,"Price")</f>
        <v>342.4</v>
      </c>
      <c r="E3" s="7" cm="1">
        <f t="array" aca="1" ref="E3" ca="1">_FV(E1,"Price")</f>
        <v>1049.0899999999999</v>
      </c>
      <c r="F3" s="7" cm="1">
        <f t="array" aca="1" ref="F3" ca="1">_FV(F1,"Price")</f>
        <v>202.66</v>
      </c>
    </row>
    <row r="4" spans="1:6" x14ac:dyDescent="0.3">
      <c r="A4" s="5" t="s">
        <v>3</v>
      </c>
      <c r="B4" s="8" cm="1">
        <f t="array" aca="1" ref="B4" ca="1">_FV(B1,"Change (%)",TRUE)</f>
        <v>-2.1610999999999998E-2</v>
      </c>
      <c r="C4" s="8" cm="1">
        <f t="array" aca="1" ref="C4" ca="1">_FV(C1,"Change (%)",TRUE)</f>
        <v>-1.4311000000000001E-2</v>
      </c>
      <c r="D4" s="8" cm="1">
        <f t="array" aca="1" ref="D4" ca="1">_FV(D1,"Change (%)",TRUE)</f>
        <v>-4.6220000000000002E-3</v>
      </c>
      <c r="E4" s="8" cm="1">
        <f t="array" aca="1" ref="E4" ca="1">_FV(E1,"Change (%)",TRUE)</f>
        <v>1.8485000000000001E-2</v>
      </c>
      <c r="F4" s="8" cm="1">
        <f t="array" aca="1" ref="F4" ca="1">_FV(F1,"Change (%)",TRUE)</f>
        <v>1.3300000000000001E-2</v>
      </c>
    </row>
    <row r="5" spans="1:6" x14ac:dyDescent="0.3">
      <c r="A5" s="5" t="s">
        <v>4</v>
      </c>
      <c r="B5" s="9" cm="1">
        <f t="array" aca="1" ref="B5" ca="1">_FV(B1,"Shares outstanding",TRUE)</f>
        <v>5685708000</v>
      </c>
      <c r="C5" s="9" cm="1">
        <f t="array" aca="1" ref="C5" ca="1">_FV(C1,"Shares outstanding",TRUE)</f>
        <v>2482022000</v>
      </c>
      <c r="D5" s="9" cm="1">
        <f t="array" aca="1" ref="D5" ca="1">_FV(D1,"Shares outstanding",TRUE)</f>
        <v>538480700</v>
      </c>
      <c r="E5" s="9" cm="1">
        <f t="array" aca="1" ref="E5" ca="1">_FV(E1,"Shares outstanding",TRUE)</f>
        <v>945383800</v>
      </c>
      <c r="F5" s="9" cm="1">
        <f t="array" aca="1" ref="F5" ca="1">_FV(F1,"Shares outstanding",TRUE)</f>
        <v>2409295000</v>
      </c>
    </row>
    <row r="6" spans="1:6" x14ac:dyDescent="0.3">
      <c r="A6" s="5" t="s">
        <v>5</v>
      </c>
      <c r="B6" s="6">
        <f ca="1">B5/1000000</f>
        <v>5685.7079999999996</v>
      </c>
      <c r="C6" s="6">
        <f ca="1">C5/1000000</f>
        <v>2482.0219999999999</v>
      </c>
      <c r="D6" s="6">
        <f t="shared" ref="D6:F6" ca="1" si="0">D5/1000000</f>
        <v>538.48069999999996</v>
      </c>
      <c r="E6" s="6">
        <f t="shared" ca="1" si="0"/>
        <v>945.38379999999995</v>
      </c>
      <c r="F6" s="6">
        <f t="shared" ca="1" si="0"/>
        <v>2409.2950000000001</v>
      </c>
    </row>
    <row r="7" spans="1:6" x14ac:dyDescent="0.3">
      <c r="A7" s="5" t="s">
        <v>6</v>
      </c>
      <c r="B7" s="10" cm="1">
        <f t="array" aca="1" ref="B7" ca="1">_FV(B1,"Market cap",TRUE)</f>
        <v>141574129200</v>
      </c>
      <c r="C7" s="10" cm="1">
        <f t="array" aca="1" ref="C7" ca="1">_FV(C1,"Market cap",TRUE)</f>
        <v>235916191100</v>
      </c>
      <c r="D7" s="10" cm="1">
        <f t="array" aca="1" ref="D7" ca="1">_FV(D1,"Market cap",TRUE)</f>
        <v>184375791680</v>
      </c>
      <c r="E7" s="10" cm="1">
        <f t="array" aca="1" ref="E7" ca="1">_FV(E1,"Market cap",TRUE)</f>
        <v>991792690741</v>
      </c>
      <c r="F7" s="10" cm="1">
        <f t="array" aca="1" ref="F7" ca="1">_FV(F1,"Market cap",TRUE)</f>
        <v>488267724700</v>
      </c>
    </row>
    <row r="8" spans="1:6" x14ac:dyDescent="0.3">
      <c r="A8" s="5" t="s">
        <v>5</v>
      </c>
      <c r="B8" s="11">
        <f ca="1">B7/1000000</f>
        <v>141574.1292</v>
      </c>
      <c r="C8" s="11">
        <f ca="1">C7/1000000</f>
        <v>235916.1911</v>
      </c>
      <c r="D8" s="11">
        <f t="shared" ref="D8:F8" ca="1" si="1">D7/1000000</f>
        <v>184375.79167999999</v>
      </c>
      <c r="E8" s="11">
        <f t="shared" ca="1" si="1"/>
        <v>991792.690741</v>
      </c>
      <c r="F8" s="11">
        <f t="shared" ca="1" si="1"/>
        <v>488267.72470000002</v>
      </c>
    </row>
    <row r="9" spans="1:6" x14ac:dyDescent="0.3">
      <c r="A9" s="5" t="s">
        <v>7</v>
      </c>
      <c r="B9" s="12" cm="1">
        <f t="array" aca="1" ref="B9" ca="1">_FV(B1,"Beta")</f>
        <v>0.40799999999999997</v>
      </c>
      <c r="C9" s="12" cm="1">
        <f t="array" aca="1" ref="C9" ca="1">_FV(C1,"Beta")</f>
        <v>0.28320000000000001</v>
      </c>
      <c r="D9" s="12" cm="1">
        <f t="array" aca="1" ref="D9" ca="1">_FV(D1,"Beta")</f>
        <v>0.4103</v>
      </c>
      <c r="E9" s="12" cm="1">
        <f t="array" aca="1" ref="E9" ca="1">_FV(E1,"Beta")</f>
        <v>0.33489999999999998</v>
      </c>
      <c r="F9" s="12" cm="1">
        <f t="array" aca="1" ref="F9" ca="1">_FV(F1,"Beta")</f>
        <v>0.3372</v>
      </c>
    </row>
    <row r="10" spans="1:6" x14ac:dyDescent="0.3">
      <c r="A10" s="5" t="s">
        <v>8</v>
      </c>
      <c r="B10" s="12" cm="1">
        <f t="array" aca="1" ref="B10" ca="1">_FV(B1,"P/E",TRUE)</f>
        <v>14.5139</v>
      </c>
      <c r="C10" s="12" cm="1">
        <f t="array" aca="1" ref="C10" ca="1">_FV(C1,"P/E",TRUE)</f>
        <v>12.5716</v>
      </c>
      <c r="D10" s="12" cm="1">
        <f t="array" aca="1" ref="D10" ca="1">_FV(D1,"P/E",TRUE)</f>
        <v>26.466100000000001</v>
      </c>
      <c r="E10" s="12" cm="1">
        <f t="array" aca="1" ref="E10" ca="1">_FV(E1,"P/E",TRUE)</f>
        <v>51.302500000000002</v>
      </c>
      <c r="F10" s="12" cm="1">
        <f t="array" aca="1" ref="F10" ca="1">_FV(F1,"P/E",TRUE)</f>
        <v>19.560600000000001</v>
      </c>
    </row>
    <row r="11" spans="1:6" x14ac:dyDescent="0.3">
      <c r="A11" s="5" t="s">
        <v>9</v>
      </c>
      <c r="B11" s="13" cm="1">
        <f t="array" aca="1" ref="B11" ca="1">_FV(B1,"Year incorporated",TRUE)</f>
        <v>1942</v>
      </c>
      <c r="C11" s="13" cm="1">
        <f t="array" aca="1" ref="C11" ca="1">_FV(C1,"Year incorporated",TRUE)</f>
        <v>1970</v>
      </c>
      <c r="D11" s="13" cm="1">
        <f t="array" aca="1" ref="D11" ca="1">_FV(D1,"Year incorporated",TRUE)</f>
        <v>1986</v>
      </c>
      <c r="E11" s="13" cm="1">
        <f t="array" aca="1" ref="E11" ca="1">_FV(E1,"Year incorporated",TRUE)</f>
        <v>1901</v>
      </c>
      <c r="F11" s="13" cm="1">
        <f t="array" aca="1" ref="F11" ca="1">_FV(F1,"Year incorporated",TRUE)</f>
        <v>1887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DE557-8DE9-4DA6-BE5F-129892F45076}">
  <dimension ref="A1:AK42"/>
  <sheetViews>
    <sheetView topLeftCell="AF18" workbookViewId="0">
      <selection activeCell="AE39" sqref="AE39:AK42"/>
    </sheetView>
  </sheetViews>
  <sheetFormatPr defaultRowHeight="14.4" x14ac:dyDescent="0.3"/>
  <cols>
    <col min="1" max="1" width="29.88671875" style="35" bestFit="1" customWidth="1"/>
    <col min="2" max="3" width="9.88671875" style="1" bestFit="1" customWidth="1"/>
    <col min="4" max="4" width="10.88671875" style="1" bestFit="1" customWidth="1"/>
    <col min="5" max="6" width="9.88671875" style="1" bestFit="1" customWidth="1"/>
    <col min="7" max="7" width="8.88671875" style="1"/>
    <col min="8" max="8" width="29.88671875" style="35" bestFit="1" customWidth="1"/>
    <col min="9" max="13" width="9.88671875" style="1" bestFit="1" customWidth="1"/>
    <col min="14" max="14" width="8.88671875" style="1"/>
    <col min="15" max="15" width="29.88671875" style="66" bestFit="1" customWidth="1"/>
    <col min="16" max="17" width="9.88671875" style="4" bestFit="1" customWidth="1"/>
    <col min="18" max="18" width="10.88671875" style="4" bestFit="1" customWidth="1"/>
    <col min="19" max="20" width="9.88671875" style="4" bestFit="1" customWidth="1"/>
    <col min="21" max="21" width="9.88671875" style="4" customWidth="1"/>
    <col min="22" max="22" width="8.88671875" style="4"/>
    <col min="23" max="23" width="29.88671875" style="1" bestFit="1" customWidth="1"/>
    <col min="24" max="24" width="9.88671875" style="66" bestFit="1" customWidth="1"/>
    <col min="25" max="28" width="9.88671875" style="4" bestFit="1" customWidth="1"/>
    <col min="29" max="29" width="9.88671875" style="4" customWidth="1"/>
    <col min="30" max="30" width="10" style="4" bestFit="1" customWidth="1"/>
    <col min="31" max="31" width="29.88671875" style="4" bestFit="1" customWidth="1"/>
    <col min="32" max="36" width="11" style="1" bestFit="1" customWidth="1"/>
    <col min="37" max="37" width="9.88671875" style="1" bestFit="1" customWidth="1"/>
    <col min="38" max="16384" width="8.88671875" style="1"/>
  </cols>
  <sheetData>
    <row r="1" spans="1:36" x14ac:dyDescent="0.3">
      <c r="A1" s="34" t="s">
        <v>10</v>
      </c>
      <c r="F1" s="16" t="s">
        <v>43</v>
      </c>
      <c r="H1" s="34" t="s">
        <v>10</v>
      </c>
      <c r="M1" s="16" t="s">
        <v>44</v>
      </c>
      <c r="O1" s="34" t="s">
        <v>10</v>
      </c>
      <c r="P1" s="1"/>
      <c r="Q1" s="1"/>
      <c r="R1" s="1"/>
      <c r="S1" s="1"/>
      <c r="T1" s="16" t="s">
        <v>119</v>
      </c>
      <c r="U1" s="16"/>
      <c r="V1" s="1"/>
      <c r="W1" s="34" t="s">
        <v>10</v>
      </c>
      <c r="X1" s="1"/>
      <c r="Y1" s="1"/>
      <c r="Z1" s="1"/>
      <c r="AA1" s="1"/>
      <c r="AB1" s="16" t="s">
        <v>129</v>
      </c>
      <c r="AC1" s="16"/>
      <c r="AE1" s="34" t="s">
        <v>10</v>
      </c>
      <c r="AJ1" s="16" t="s">
        <v>121</v>
      </c>
    </row>
    <row r="2" spans="1:36" x14ac:dyDescent="0.3">
      <c r="A2" s="35" t="s">
        <v>11</v>
      </c>
      <c r="B2" s="14" t="s">
        <v>36</v>
      </c>
      <c r="C2" s="14" t="s">
        <v>37</v>
      </c>
      <c r="D2" s="14" t="s">
        <v>38</v>
      </c>
      <c r="E2" s="14" t="s">
        <v>39</v>
      </c>
      <c r="F2" s="14" t="s">
        <v>40</v>
      </c>
      <c r="H2" s="35" t="s">
        <v>11</v>
      </c>
      <c r="I2" s="14" t="s">
        <v>36</v>
      </c>
      <c r="J2" s="14" t="s">
        <v>37</v>
      </c>
      <c r="K2" s="14" t="s">
        <v>38</v>
      </c>
      <c r="L2" s="14" t="s">
        <v>39</v>
      </c>
      <c r="M2" s="14" t="s">
        <v>40</v>
      </c>
      <c r="O2" s="35" t="s">
        <v>11</v>
      </c>
      <c r="P2" s="14" t="s">
        <v>36</v>
      </c>
      <c r="Q2" s="14" t="s">
        <v>37</v>
      </c>
      <c r="R2" s="14" t="s">
        <v>38</v>
      </c>
      <c r="S2" s="14" t="s">
        <v>39</v>
      </c>
      <c r="T2" s="14" t="s">
        <v>40</v>
      </c>
      <c r="U2" s="14"/>
      <c r="V2" s="1"/>
      <c r="W2" s="35" t="s">
        <v>11</v>
      </c>
      <c r="X2" s="14" t="s">
        <v>36</v>
      </c>
      <c r="Y2" s="14" t="s">
        <v>37</v>
      </c>
      <c r="Z2" s="14" t="s">
        <v>38</v>
      </c>
      <c r="AA2" s="14" t="s">
        <v>39</v>
      </c>
      <c r="AB2" s="14" t="s">
        <v>40</v>
      </c>
      <c r="AC2" s="14"/>
      <c r="AE2" s="35" t="s">
        <v>11</v>
      </c>
      <c r="AF2" s="14" t="s">
        <v>36</v>
      </c>
      <c r="AG2" s="14" t="s">
        <v>37</v>
      </c>
      <c r="AH2" s="14" t="s">
        <v>38</v>
      </c>
      <c r="AI2" s="14" t="s">
        <v>39</v>
      </c>
      <c r="AJ2" s="14" t="s">
        <v>40</v>
      </c>
    </row>
    <row r="3" spans="1:36" s="33" customFormat="1" x14ac:dyDescent="0.3">
      <c r="A3" s="36" t="s">
        <v>12</v>
      </c>
      <c r="B3" s="33">
        <v>41908</v>
      </c>
      <c r="C3" s="33">
        <v>81288</v>
      </c>
      <c r="D3" s="33">
        <v>100330</v>
      </c>
      <c r="E3" s="33">
        <v>59553</v>
      </c>
      <c r="F3" s="33">
        <v>63627</v>
      </c>
      <c r="H3" s="36" t="s">
        <v>12</v>
      </c>
      <c r="I3" s="33">
        <v>47994</v>
      </c>
      <c r="J3" s="33">
        <v>48704</v>
      </c>
      <c r="K3" s="33">
        <v>59283</v>
      </c>
      <c r="L3" s="33">
        <v>60115</v>
      </c>
      <c r="M3" s="33">
        <v>64168</v>
      </c>
      <c r="O3" s="36" t="s">
        <v>12</v>
      </c>
      <c r="P3" s="33">
        <v>25424</v>
      </c>
      <c r="Q3" s="33">
        <v>25979</v>
      </c>
      <c r="R3" s="33">
        <v>26323</v>
      </c>
      <c r="S3" s="33">
        <v>28190</v>
      </c>
      <c r="T3" s="33">
        <v>33424</v>
      </c>
      <c r="W3" s="36" t="s">
        <v>12</v>
      </c>
      <c r="X3" s="33">
        <v>24539.8</v>
      </c>
      <c r="Y3" s="33">
        <v>28318.400000000001</v>
      </c>
      <c r="Z3" s="33">
        <v>28541.4</v>
      </c>
      <c r="AA3" s="33">
        <v>34124.1</v>
      </c>
      <c r="AB3" s="33">
        <v>45042.7</v>
      </c>
      <c r="AE3" s="36" t="s">
        <v>12</v>
      </c>
      <c r="AF3" s="33">
        <v>82584</v>
      </c>
      <c r="AG3" s="33">
        <v>93775</v>
      </c>
      <c r="AH3" s="33">
        <v>94943</v>
      </c>
      <c r="AI3" s="33">
        <v>85159</v>
      </c>
      <c r="AJ3" s="33">
        <v>88821</v>
      </c>
    </row>
    <row r="4" spans="1:36" s="33" customFormat="1" x14ac:dyDescent="0.3">
      <c r="A4" s="36" t="s">
        <v>13</v>
      </c>
      <c r="B4" s="33">
        <v>8692</v>
      </c>
      <c r="C4" s="33">
        <v>30821</v>
      </c>
      <c r="D4" s="33">
        <v>34344</v>
      </c>
      <c r="E4" s="33">
        <v>24954</v>
      </c>
      <c r="F4" s="33">
        <v>17851</v>
      </c>
      <c r="H4" s="36" t="s">
        <v>13</v>
      </c>
      <c r="I4" s="33">
        <v>15485</v>
      </c>
      <c r="J4" s="33">
        <v>13626</v>
      </c>
      <c r="K4" s="33">
        <v>17411</v>
      </c>
      <c r="L4" s="33">
        <v>16126</v>
      </c>
      <c r="M4" s="33">
        <v>15193</v>
      </c>
      <c r="O4" s="36" t="s">
        <v>13</v>
      </c>
      <c r="P4" s="33">
        <v>6159</v>
      </c>
      <c r="Q4" s="33">
        <v>6454</v>
      </c>
      <c r="R4" s="33">
        <v>6406</v>
      </c>
      <c r="S4" s="33">
        <v>8451</v>
      </c>
      <c r="T4" s="33">
        <v>12858</v>
      </c>
      <c r="W4" s="36" t="s">
        <v>13</v>
      </c>
      <c r="X4" s="33">
        <v>5483.3</v>
      </c>
      <c r="Y4" s="33">
        <v>7312.8</v>
      </c>
      <c r="Z4" s="33">
        <v>6629.8</v>
      </c>
      <c r="AA4" s="33">
        <v>7082.2</v>
      </c>
      <c r="AB4" s="33">
        <v>8418.33</v>
      </c>
      <c r="AE4" s="36" t="s">
        <v>13</v>
      </c>
      <c r="AF4" s="33">
        <v>28427</v>
      </c>
      <c r="AG4" s="33">
        <v>29855</v>
      </c>
      <c r="AH4" s="33">
        <v>31089</v>
      </c>
      <c r="AI4" s="33">
        <v>26553</v>
      </c>
      <c r="AJ4" s="33">
        <v>27471</v>
      </c>
    </row>
    <row r="5" spans="1:36" s="38" customFormat="1" x14ac:dyDescent="0.3">
      <c r="A5" s="37" t="s">
        <v>14</v>
      </c>
      <c r="B5" s="38">
        <f>B3-B4</f>
        <v>33216</v>
      </c>
      <c r="C5" s="38">
        <f t="shared" ref="C5:F5" si="0">C3-C4</f>
        <v>50467</v>
      </c>
      <c r="D5" s="38">
        <f t="shared" si="0"/>
        <v>65986</v>
      </c>
      <c r="E5" s="38">
        <f t="shared" si="0"/>
        <v>34599</v>
      </c>
      <c r="F5" s="38">
        <f t="shared" si="0"/>
        <v>45776</v>
      </c>
      <c r="H5" s="37" t="s">
        <v>14</v>
      </c>
      <c r="I5" s="38">
        <f>I3-I4</f>
        <v>32509</v>
      </c>
      <c r="J5" s="38">
        <f t="shared" ref="J5:M5" si="1">J3-J4</f>
        <v>35078</v>
      </c>
      <c r="K5" s="38">
        <f t="shared" si="1"/>
        <v>41872</v>
      </c>
      <c r="L5" s="38">
        <f t="shared" si="1"/>
        <v>43989</v>
      </c>
      <c r="M5" s="38">
        <f t="shared" si="1"/>
        <v>48975</v>
      </c>
      <c r="O5" s="37" t="s">
        <v>14</v>
      </c>
      <c r="P5" s="38">
        <f>P3-P4</f>
        <v>19265</v>
      </c>
      <c r="Q5" s="38">
        <f t="shared" ref="Q5:T5" si="2">Q3-Q4</f>
        <v>19525</v>
      </c>
      <c r="R5" s="38">
        <f t="shared" si="2"/>
        <v>19917</v>
      </c>
      <c r="S5" s="38">
        <f t="shared" si="2"/>
        <v>19739</v>
      </c>
      <c r="T5" s="38">
        <f t="shared" si="2"/>
        <v>20566</v>
      </c>
      <c r="W5" s="37" t="s">
        <v>14</v>
      </c>
      <c r="X5" s="38">
        <f>X3-X4</f>
        <v>19056.5</v>
      </c>
      <c r="Y5" s="38">
        <f t="shared" ref="Y5:AB5" si="3">Y3-Y4</f>
        <v>21005.600000000002</v>
      </c>
      <c r="Z5" s="38">
        <f t="shared" si="3"/>
        <v>21911.600000000002</v>
      </c>
      <c r="AA5" s="38">
        <f t="shared" si="3"/>
        <v>27041.899999999998</v>
      </c>
      <c r="AB5" s="38">
        <f t="shared" si="3"/>
        <v>36624.369999999995</v>
      </c>
      <c r="AE5" s="37" t="s">
        <v>14</v>
      </c>
      <c r="AF5" s="38">
        <f>AF3-AF4</f>
        <v>54157</v>
      </c>
      <c r="AG5" s="38">
        <f t="shared" ref="AG5:AJ5" si="4">AG3-AG4</f>
        <v>63920</v>
      </c>
      <c r="AH5" s="38">
        <f t="shared" si="4"/>
        <v>63854</v>
      </c>
      <c r="AI5" s="38">
        <f t="shared" si="4"/>
        <v>58606</v>
      </c>
      <c r="AJ5" s="38">
        <f t="shared" si="4"/>
        <v>61350</v>
      </c>
    </row>
    <row r="6" spans="1:36" s="33" customFormat="1" x14ac:dyDescent="0.3">
      <c r="A6" s="36" t="s">
        <v>15</v>
      </c>
      <c r="B6" s="33">
        <f>11615+9405+600-6+669</f>
        <v>22283</v>
      </c>
      <c r="C6" s="33">
        <f>12703+10360+3469+802-4878</f>
        <v>22456</v>
      </c>
      <c r="D6" s="33">
        <f>13677+11428+953+1375+217</f>
        <v>27650</v>
      </c>
      <c r="E6" s="33">
        <f>14771+10679+194+2943+222</f>
        <v>28809</v>
      </c>
      <c r="F6" s="33">
        <f>14730+10822+108+2419+4388</f>
        <v>32467</v>
      </c>
      <c r="H6" s="36" t="s">
        <v>15</v>
      </c>
      <c r="I6" s="33">
        <f>10468+13558+578-886</f>
        <v>23718</v>
      </c>
      <c r="J6" s="33">
        <f>9634+12245+661-1341</f>
        <v>21199</v>
      </c>
      <c r="K6" s="33">
        <f>10042+13548+337+1501</f>
        <v>25428</v>
      </c>
      <c r="L6" s="33">
        <f>10504+30531+599+466</f>
        <v>42100</v>
      </c>
      <c r="M6" s="33">
        <f>10816+17938+309-24</f>
        <v>29039</v>
      </c>
      <c r="O6" s="36" t="s">
        <v>15</v>
      </c>
      <c r="P6" s="33">
        <f>4207+5730+189-256</f>
        <v>9870</v>
      </c>
      <c r="Q6" s="33">
        <f>18340-6454-259</f>
        <v>11627</v>
      </c>
      <c r="R6" s="33">
        <f>16757-6406+814</f>
        <v>11165</v>
      </c>
      <c r="S6" s="33">
        <f>20293-8451-2833</f>
        <v>9009</v>
      </c>
      <c r="T6" s="33">
        <f>26166-12858-506</f>
        <v>12802</v>
      </c>
      <c r="W6" s="36" t="s">
        <v>15</v>
      </c>
      <c r="X6" s="33">
        <f>17309.9-5483.3</f>
        <v>11826.600000000002</v>
      </c>
      <c r="Y6" s="33">
        <f>22162.9-7312.8</f>
        <v>14850.100000000002</v>
      </c>
      <c r="Z6" s="33">
        <f>21735-6629.8</f>
        <v>15105.2</v>
      </c>
      <c r="AA6" s="33">
        <f>27569.5-7082.2</f>
        <v>20487.3</v>
      </c>
      <c r="AB6" s="33">
        <f>32362.3-8418.3</f>
        <v>23944</v>
      </c>
      <c r="AE6" s="36" t="s">
        <v>15</v>
      </c>
      <c r="AF6" s="33">
        <f>22084+12159+181-111+2899+247</f>
        <v>37459</v>
      </c>
      <c r="AG6" s="33">
        <f>24659+14714+900-53+489+252</f>
        <v>40961</v>
      </c>
      <c r="AH6" s="33">
        <f>24765+14603+783-490+1871+321</f>
        <v>41853</v>
      </c>
      <c r="AI6" s="33">
        <f>21512+15085+313-1261+6634+489</f>
        <v>42772</v>
      </c>
      <c r="AJ6" s="33">
        <f>22869+17232+211-1332+4694+234</f>
        <v>43908</v>
      </c>
    </row>
    <row r="7" spans="1:36" s="38" customFormat="1" x14ac:dyDescent="0.3">
      <c r="A7" s="37" t="s">
        <v>16</v>
      </c>
      <c r="B7" s="38">
        <f>B5-B6</f>
        <v>10933</v>
      </c>
      <c r="C7" s="38">
        <f t="shared" ref="C7:F7" si="5">C5-C6</f>
        <v>28011</v>
      </c>
      <c r="D7" s="38">
        <f t="shared" si="5"/>
        <v>38336</v>
      </c>
      <c r="E7" s="38">
        <f t="shared" si="5"/>
        <v>5790</v>
      </c>
      <c r="F7" s="38">
        <f t="shared" si="5"/>
        <v>13309</v>
      </c>
      <c r="H7" s="37" t="s">
        <v>16</v>
      </c>
      <c r="I7" s="38">
        <f>I5-I6</f>
        <v>8791</v>
      </c>
      <c r="J7" s="38">
        <f t="shared" ref="J7:M7" si="6">J5-J6</f>
        <v>13879</v>
      </c>
      <c r="K7" s="38">
        <f t="shared" si="6"/>
        <v>16444</v>
      </c>
      <c r="L7" s="38">
        <f t="shared" si="6"/>
        <v>1889</v>
      </c>
      <c r="M7" s="38">
        <f t="shared" si="6"/>
        <v>19936</v>
      </c>
      <c r="O7" s="37" t="s">
        <v>16</v>
      </c>
      <c r="P7" s="38">
        <f>P5-P6</f>
        <v>9395</v>
      </c>
      <c r="Q7" s="38">
        <f t="shared" ref="Q7:T7" si="7">Q5-Q6</f>
        <v>7898</v>
      </c>
      <c r="R7" s="38">
        <f t="shared" si="7"/>
        <v>8752</v>
      </c>
      <c r="S7" s="38">
        <f t="shared" si="7"/>
        <v>10730</v>
      </c>
      <c r="T7" s="38">
        <f t="shared" si="7"/>
        <v>7764</v>
      </c>
      <c r="W7" s="37" t="s">
        <v>16</v>
      </c>
      <c r="X7" s="38">
        <f>X5-X6</f>
        <v>7229.8999999999978</v>
      </c>
      <c r="Y7" s="38">
        <f t="shared" ref="Y7:AB7" si="8">Y5-Y6</f>
        <v>6155.5</v>
      </c>
      <c r="Z7" s="38">
        <f t="shared" si="8"/>
        <v>6806.4000000000015</v>
      </c>
      <c r="AA7" s="38">
        <f t="shared" si="8"/>
        <v>6554.5999999999985</v>
      </c>
      <c r="AB7" s="38">
        <f t="shared" si="8"/>
        <v>12680.369999999995</v>
      </c>
      <c r="AE7" s="37" t="s">
        <v>16</v>
      </c>
      <c r="AF7" s="38">
        <f>AF5-AF6</f>
        <v>16698</v>
      </c>
      <c r="AG7" s="38">
        <f t="shared" ref="AG7:AJ7" si="9">AG5-AG6</f>
        <v>22959</v>
      </c>
      <c r="AH7" s="38">
        <f t="shared" si="9"/>
        <v>22001</v>
      </c>
      <c r="AI7" s="38">
        <f t="shared" si="9"/>
        <v>15834</v>
      </c>
      <c r="AJ7" s="38">
        <f t="shared" si="9"/>
        <v>17442</v>
      </c>
    </row>
    <row r="8" spans="1:36" s="33" customFormat="1" x14ac:dyDescent="0.3">
      <c r="A8" s="36" t="s">
        <v>17</v>
      </c>
      <c r="B8" s="33">
        <v>3436</v>
      </c>
      <c r="C8" s="33">
        <v>3700</v>
      </c>
      <c r="D8" s="33">
        <v>3609</v>
      </c>
      <c r="E8" s="33">
        <v>4733</v>
      </c>
      <c r="F8" s="33">
        <v>5286</v>
      </c>
      <c r="H8" s="36" t="s">
        <v>17</v>
      </c>
      <c r="I8" s="33">
        <v>3625</v>
      </c>
      <c r="J8" s="33">
        <v>3214</v>
      </c>
      <c r="K8" s="33">
        <v>3909</v>
      </c>
      <c r="L8" s="33">
        <v>3872</v>
      </c>
      <c r="M8" s="33">
        <v>4499</v>
      </c>
      <c r="O8" s="36" t="s">
        <v>17</v>
      </c>
      <c r="P8" s="33">
        <v>0</v>
      </c>
      <c r="Q8" s="33">
        <v>0</v>
      </c>
      <c r="R8" s="33">
        <v>0</v>
      </c>
      <c r="S8" s="33">
        <v>0</v>
      </c>
      <c r="T8" s="33">
        <v>0</v>
      </c>
      <c r="W8" s="36" t="s">
        <v>17</v>
      </c>
      <c r="X8" s="33">
        <v>0</v>
      </c>
      <c r="Y8" s="33">
        <v>0</v>
      </c>
      <c r="Z8" s="33">
        <v>0</v>
      </c>
      <c r="AA8" s="33">
        <v>0</v>
      </c>
      <c r="AB8" s="33">
        <v>0</v>
      </c>
      <c r="AE8" s="36" t="s">
        <v>17</v>
      </c>
      <c r="AF8" s="33">
        <v>0</v>
      </c>
      <c r="AG8" s="33">
        <v>0</v>
      </c>
      <c r="AH8" s="33">
        <v>0</v>
      </c>
      <c r="AI8" s="33">
        <v>0</v>
      </c>
      <c r="AJ8" s="33">
        <v>0</v>
      </c>
    </row>
    <row r="9" spans="1:36" s="33" customFormat="1" x14ac:dyDescent="0.3">
      <c r="A9" s="36" t="s">
        <v>18</v>
      </c>
      <c r="B9" s="33">
        <v>1291</v>
      </c>
      <c r="C9" s="33">
        <v>1238</v>
      </c>
      <c r="D9" s="33">
        <v>2209</v>
      </c>
      <c r="E9" s="33">
        <v>3091</v>
      </c>
      <c r="F9" s="33">
        <v>3091</v>
      </c>
      <c r="H9" s="36" t="s">
        <v>18</v>
      </c>
      <c r="I9" s="33">
        <v>831</v>
      </c>
      <c r="J9" s="33">
        <v>806</v>
      </c>
      <c r="K9" s="33">
        <v>962</v>
      </c>
      <c r="L9" s="33">
        <v>1146</v>
      </c>
      <c r="M9" s="33">
        <v>1271</v>
      </c>
      <c r="O9" s="36" t="s">
        <v>18</v>
      </c>
      <c r="P9" s="33">
        <v>1262</v>
      </c>
      <c r="Q9" s="33">
        <v>1197</v>
      </c>
      <c r="R9" s="33">
        <v>1406</v>
      </c>
      <c r="S9" s="33">
        <v>2875</v>
      </c>
      <c r="T9" s="33">
        <v>3155</v>
      </c>
      <c r="W9" s="36" t="s">
        <v>18</v>
      </c>
      <c r="X9" s="33">
        <v>360</v>
      </c>
      <c r="Y9" s="33">
        <v>340</v>
      </c>
      <c r="Z9" s="33">
        <v>332</v>
      </c>
      <c r="AA9" s="33">
        <v>781</v>
      </c>
      <c r="AB9" s="33">
        <v>910</v>
      </c>
      <c r="AE9" s="36" t="s">
        <v>18</v>
      </c>
      <c r="AF9" s="33">
        <v>201</v>
      </c>
      <c r="AG9" s="33">
        <v>183</v>
      </c>
      <c r="AH9" s="33">
        <v>276</v>
      </c>
      <c r="AI9" s="33">
        <v>772</v>
      </c>
      <c r="AJ9" s="33">
        <v>755</v>
      </c>
    </row>
    <row r="10" spans="1:36" s="33" customFormat="1" x14ac:dyDescent="0.3">
      <c r="A10" s="36" t="s">
        <v>19</v>
      </c>
      <c r="B10" s="33">
        <v>477</v>
      </c>
      <c r="C10" s="33">
        <v>1852</v>
      </c>
      <c r="D10" s="33">
        <v>3328</v>
      </c>
      <c r="E10" s="33">
        <v>-1115</v>
      </c>
      <c r="F10" s="33">
        <v>-28</v>
      </c>
      <c r="H10" s="36" t="s">
        <v>19</v>
      </c>
      <c r="I10" s="33">
        <v>1709</v>
      </c>
      <c r="J10" s="33">
        <v>1521</v>
      </c>
      <c r="K10" s="33">
        <v>1918</v>
      </c>
      <c r="L10" s="33">
        <v>1512</v>
      </c>
      <c r="M10" s="33">
        <v>2803</v>
      </c>
      <c r="O10" s="36" t="s">
        <v>19</v>
      </c>
      <c r="P10" s="33">
        <v>869</v>
      </c>
      <c r="Q10" s="33">
        <v>808</v>
      </c>
      <c r="R10" s="33">
        <v>794</v>
      </c>
      <c r="S10" s="33">
        <v>1138</v>
      </c>
      <c r="T10" s="33">
        <v>519</v>
      </c>
      <c r="W10" s="36" t="s">
        <v>19</v>
      </c>
      <c r="X10" s="33">
        <v>1036.2</v>
      </c>
      <c r="Y10" s="33">
        <v>573.79999999999995</v>
      </c>
      <c r="Z10" s="33">
        <v>561.6</v>
      </c>
      <c r="AA10" s="33">
        <v>1314.2</v>
      </c>
      <c r="AB10" s="33">
        <v>2090.4</v>
      </c>
      <c r="AE10" s="36" t="s">
        <v>19</v>
      </c>
      <c r="AF10" s="33">
        <v>1783</v>
      </c>
      <c r="AG10" s="33">
        <v>1898</v>
      </c>
      <c r="AH10" s="33">
        <v>3784</v>
      </c>
      <c r="AI10" s="33">
        <v>1736</v>
      </c>
      <c r="AJ10" s="33">
        <v>2621</v>
      </c>
    </row>
    <row r="11" spans="1:36" s="38" customFormat="1" x14ac:dyDescent="0.3">
      <c r="A11" s="37" t="s">
        <v>20</v>
      </c>
      <c r="B11" s="38">
        <f>B7-B8-B10-B9</f>
        <v>5729</v>
      </c>
      <c r="C11" s="38">
        <f t="shared" ref="C11:F11" si="10">C7-C8-C10-C9</f>
        <v>21221</v>
      </c>
      <c r="D11" s="38">
        <f t="shared" si="10"/>
        <v>29190</v>
      </c>
      <c r="E11" s="38">
        <f t="shared" si="10"/>
        <v>-919</v>
      </c>
      <c r="F11" s="38">
        <f t="shared" si="10"/>
        <v>4960</v>
      </c>
      <c r="H11" s="37" t="s">
        <v>20</v>
      </c>
      <c r="I11" s="38">
        <f>I7-I8-I9-I10</f>
        <v>2626</v>
      </c>
      <c r="J11" s="38">
        <f t="shared" ref="J11:M11" si="11">J7-J8-J9-J10</f>
        <v>8338</v>
      </c>
      <c r="K11" s="38">
        <f t="shared" si="11"/>
        <v>9655</v>
      </c>
      <c r="L11" s="38">
        <f t="shared" si="11"/>
        <v>-4641</v>
      </c>
      <c r="M11" s="38">
        <f t="shared" si="11"/>
        <v>11363</v>
      </c>
      <c r="O11" s="37" t="s">
        <v>20</v>
      </c>
      <c r="P11" s="38">
        <f>P7-P8-P10-P9</f>
        <v>7264</v>
      </c>
      <c r="Q11" s="38">
        <f t="shared" ref="Q11:T11" si="12">Q7-Q8-Q10-Q9</f>
        <v>5893</v>
      </c>
      <c r="R11" s="38">
        <f t="shared" si="12"/>
        <v>6552</v>
      </c>
      <c r="S11" s="38">
        <f t="shared" si="12"/>
        <v>6717</v>
      </c>
      <c r="T11" s="38">
        <f t="shared" si="12"/>
        <v>4090</v>
      </c>
      <c r="W11" s="37" t="s">
        <v>20</v>
      </c>
      <c r="X11" s="38">
        <f>X7-X8-X9-X10</f>
        <v>5833.699999999998</v>
      </c>
      <c r="Y11" s="38">
        <f t="shared" ref="Y11:AB11" si="13">Y7-Y8-Y9-Y10</f>
        <v>5241.7</v>
      </c>
      <c r="Z11" s="38">
        <f t="shared" si="13"/>
        <v>5912.8000000000011</v>
      </c>
      <c r="AA11" s="38">
        <f t="shared" si="13"/>
        <v>4459.3999999999987</v>
      </c>
      <c r="AB11" s="38">
        <f t="shared" si="13"/>
        <v>9679.9699999999957</v>
      </c>
      <c r="AE11" s="37" t="s">
        <v>20</v>
      </c>
      <c r="AF11" s="38">
        <f>AF7-AF8-AF9-AF10</f>
        <v>14714</v>
      </c>
      <c r="AG11" s="38">
        <f t="shared" ref="AG11:AJ11" si="14">AG7-AG8-AG9-AG10</f>
        <v>20878</v>
      </c>
      <c r="AH11" s="38">
        <f t="shared" si="14"/>
        <v>17941</v>
      </c>
      <c r="AI11" s="38">
        <f t="shared" si="14"/>
        <v>13326</v>
      </c>
      <c r="AJ11" s="38">
        <f t="shared" si="14"/>
        <v>14066</v>
      </c>
    </row>
    <row r="12" spans="1:36" x14ac:dyDescent="0.3">
      <c r="O12" s="35"/>
      <c r="P12" s="1"/>
      <c r="Q12" s="1"/>
      <c r="R12" s="1"/>
      <c r="S12" s="1"/>
      <c r="T12" s="1"/>
      <c r="U12" s="1"/>
      <c r="V12" s="1"/>
      <c r="W12" s="35"/>
      <c r="X12" s="1"/>
      <c r="Y12" s="1"/>
      <c r="Z12" s="1"/>
      <c r="AA12" s="1"/>
      <c r="AB12" s="1"/>
      <c r="AC12" s="1"/>
      <c r="AE12" s="35"/>
    </row>
    <row r="13" spans="1:36" x14ac:dyDescent="0.3">
      <c r="A13" s="34" t="s">
        <v>21</v>
      </c>
      <c r="H13" s="34" t="s">
        <v>21</v>
      </c>
      <c r="O13" s="34" t="s">
        <v>21</v>
      </c>
      <c r="P13" s="1"/>
      <c r="Q13" s="1"/>
      <c r="R13" s="1"/>
      <c r="S13" s="1"/>
      <c r="T13" s="1"/>
      <c r="U13" s="1"/>
      <c r="V13" s="1"/>
      <c r="W13" s="34" t="s">
        <v>21</v>
      </c>
      <c r="X13" s="1"/>
      <c r="Y13" s="1"/>
      <c r="Z13" s="1"/>
      <c r="AA13" s="1"/>
      <c r="AB13" s="1"/>
      <c r="AC13" s="1"/>
      <c r="AE13" s="34" t="s">
        <v>21</v>
      </c>
    </row>
    <row r="14" spans="1:36" x14ac:dyDescent="0.3">
      <c r="A14" s="35" t="s">
        <v>11</v>
      </c>
      <c r="B14" s="14" t="s">
        <v>36</v>
      </c>
      <c r="C14" s="14" t="s">
        <v>37</v>
      </c>
      <c r="D14" s="14" t="s">
        <v>38</v>
      </c>
      <c r="E14" s="14" t="s">
        <v>39</v>
      </c>
      <c r="F14" s="14" t="s">
        <v>40</v>
      </c>
      <c r="H14" s="35" t="s">
        <v>11</v>
      </c>
      <c r="I14" s="14" t="s">
        <v>36</v>
      </c>
      <c r="J14" s="14" t="s">
        <v>37</v>
      </c>
      <c r="K14" s="14" t="s">
        <v>38</v>
      </c>
      <c r="L14" s="14" t="s">
        <v>39</v>
      </c>
      <c r="M14" s="14" t="s">
        <v>40</v>
      </c>
      <c r="O14" s="35" t="s">
        <v>11</v>
      </c>
      <c r="P14" s="14" t="s">
        <v>36</v>
      </c>
      <c r="Q14" s="14" t="s">
        <v>37</v>
      </c>
      <c r="R14" s="14" t="s">
        <v>38</v>
      </c>
      <c r="S14" s="14" t="s">
        <v>39</v>
      </c>
      <c r="T14" s="14" t="s">
        <v>40</v>
      </c>
      <c r="U14" s="14"/>
      <c r="V14" s="1"/>
      <c r="W14" s="35" t="s">
        <v>11</v>
      </c>
      <c r="X14" s="14" t="s">
        <v>36</v>
      </c>
      <c r="Y14" s="14" t="s">
        <v>37</v>
      </c>
      <c r="Z14" s="14" t="s">
        <v>38</v>
      </c>
      <c r="AA14" s="14" t="s">
        <v>39</v>
      </c>
      <c r="AB14" s="14" t="s">
        <v>40</v>
      </c>
      <c r="AC14" s="14"/>
      <c r="AE14" s="35" t="s">
        <v>11</v>
      </c>
      <c r="AF14" s="14" t="s">
        <v>36</v>
      </c>
      <c r="AG14" s="14" t="s">
        <v>37</v>
      </c>
      <c r="AH14" s="14" t="s">
        <v>38</v>
      </c>
      <c r="AI14" s="14" t="s">
        <v>39</v>
      </c>
      <c r="AJ14" s="14" t="s">
        <v>40</v>
      </c>
    </row>
    <row r="15" spans="1:36" s="33" customFormat="1" x14ac:dyDescent="0.3">
      <c r="A15" s="36" t="s">
        <v>22</v>
      </c>
      <c r="B15" s="33">
        <v>1784</v>
      </c>
      <c r="C15" s="33">
        <v>1944</v>
      </c>
      <c r="D15" s="33">
        <v>416</v>
      </c>
      <c r="E15" s="33">
        <v>2853</v>
      </c>
      <c r="F15" s="33">
        <v>1043</v>
      </c>
      <c r="H15" s="36" t="s">
        <v>22</v>
      </c>
      <c r="I15" s="33">
        <v>8062</v>
      </c>
      <c r="J15" s="33">
        <v>8096</v>
      </c>
      <c r="K15" s="33">
        <v>12694</v>
      </c>
      <c r="L15" s="33">
        <v>6841</v>
      </c>
      <c r="M15" s="33">
        <v>13242</v>
      </c>
      <c r="O15" s="36" t="s">
        <v>22</v>
      </c>
      <c r="P15" s="33">
        <v>6266</v>
      </c>
      <c r="Q15" s="33">
        <v>7989</v>
      </c>
      <c r="R15" s="33">
        <v>7629</v>
      </c>
      <c r="S15" s="33">
        <v>10944</v>
      </c>
      <c r="T15" s="33">
        <v>11973</v>
      </c>
      <c r="W15" s="36" t="s">
        <v>22</v>
      </c>
      <c r="X15" s="33">
        <v>3657.1</v>
      </c>
      <c r="Y15" s="33">
        <v>3818.5</v>
      </c>
      <c r="Z15" s="33">
        <v>2067</v>
      </c>
      <c r="AA15" s="33">
        <v>2818.6</v>
      </c>
      <c r="AB15" s="33">
        <v>3268.4</v>
      </c>
      <c r="AE15" s="36" t="s">
        <v>22</v>
      </c>
      <c r="AF15" s="33">
        <v>13985</v>
      </c>
      <c r="AG15" s="33">
        <v>14487</v>
      </c>
      <c r="AH15" s="33">
        <v>14127</v>
      </c>
      <c r="AI15" s="33">
        <v>21859</v>
      </c>
      <c r="AJ15" s="33">
        <v>24105</v>
      </c>
    </row>
    <row r="16" spans="1:36" s="33" customFormat="1" x14ac:dyDescent="0.3">
      <c r="A16" s="36" t="s">
        <v>23</v>
      </c>
      <c r="B16" s="33">
        <v>7930</v>
      </c>
      <c r="C16" s="33">
        <v>11479</v>
      </c>
      <c r="D16" s="33">
        <v>10952</v>
      </c>
      <c r="E16" s="33">
        <v>11566</v>
      </c>
      <c r="F16" s="33">
        <v>11463</v>
      </c>
      <c r="H16" s="36" t="s">
        <v>23</v>
      </c>
      <c r="I16" s="33">
        <v>7851</v>
      </c>
      <c r="J16" s="33">
        <v>9230</v>
      </c>
      <c r="K16" s="33">
        <v>9450</v>
      </c>
      <c r="L16" s="33">
        <v>10349</v>
      </c>
      <c r="M16" s="33">
        <v>10278</v>
      </c>
      <c r="O16" s="37" t="s">
        <v>128</v>
      </c>
      <c r="P16" s="38">
        <v>62948</v>
      </c>
      <c r="Q16" s="38">
        <v>61165</v>
      </c>
      <c r="R16" s="38">
        <v>65121</v>
      </c>
      <c r="S16" s="38">
        <v>97154</v>
      </c>
      <c r="T16" s="38">
        <v>91839</v>
      </c>
      <c r="U16" s="38"/>
      <c r="V16" s="38"/>
      <c r="W16" s="37" t="s">
        <v>128</v>
      </c>
      <c r="X16" s="38">
        <v>46633.1</v>
      </c>
      <c r="Y16" s="38">
        <v>48806</v>
      </c>
      <c r="Z16" s="38">
        <v>49489.8</v>
      </c>
      <c r="AA16" s="38">
        <v>64006.3</v>
      </c>
      <c r="AB16" s="38">
        <v>78714.899999999994</v>
      </c>
      <c r="AC16" s="38"/>
      <c r="AD16" s="38"/>
      <c r="AE16" s="37" t="s">
        <v>128</v>
      </c>
      <c r="AF16" s="38">
        <v>174894</v>
      </c>
      <c r="AG16" s="38">
        <v>182018</v>
      </c>
      <c r="AH16" s="38">
        <v>187378</v>
      </c>
      <c r="AI16" s="38">
        <v>167558</v>
      </c>
      <c r="AJ16" s="38">
        <v>180104</v>
      </c>
    </row>
    <row r="17" spans="1:36" s="33" customFormat="1" x14ac:dyDescent="0.3">
      <c r="A17" s="36" t="s">
        <v>24</v>
      </c>
      <c r="B17" s="33">
        <v>8046</v>
      </c>
      <c r="C17" s="33">
        <v>9059</v>
      </c>
      <c r="D17" s="33">
        <v>8981</v>
      </c>
      <c r="E17" s="33">
        <v>10189</v>
      </c>
      <c r="F17" s="33">
        <v>10851</v>
      </c>
      <c r="H17" s="36" t="s">
        <v>24</v>
      </c>
      <c r="I17" s="33">
        <v>6310</v>
      </c>
      <c r="J17" s="33">
        <v>5953</v>
      </c>
      <c r="K17" s="33">
        <v>5911</v>
      </c>
      <c r="L17" s="33">
        <v>6358</v>
      </c>
      <c r="M17" s="33">
        <v>6109</v>
      </c>
      <c r="O17" s="36" t="s">
        <v>24</v>
      </c>
      <c r="P17" s="33">
        <v>3893</v>
      </c>
      <c r="Q17" s="33">
        <v>4086</v>
      </c>
      <c r="R17" s="33">
        <v>4930</v>
      </c>
      <c r="S17" s="33">
        <v>9518</v>
      </c>
      <c r="T17" s="33">
        <v>6998</v>
      </c>
      <c r="W17" s="36" t="s">
        <v>24</v>
      </c>
      <c r="X17" s="33">
        <v>3980.3</v>
      </c>
      <c r="Y17" s="33">
        <v>3886</v>
      </c>
      <c r="Z17" s="33">
        <v>4309.7</v>
      </c>
      <c r="AA17" s="33">
        <v>5772.8</v>
      </c>
      <c r="AB17" s="33">
        <v>7589.2</v>
      </c>
      <c r="AE17" s="36" t="s">
        <v>24</v>
      </c>
      <c r="AF17" s="33">
        <v>9344</v>
      </c>
      <c r="AG17" s="33">
        <v>10387</v>
      </c>
      <c r="AH17" s="33">
        <v>12483</v>
      </c>
      <c r="AI17" s="33">
        <v>11181</v>
      </c>
      <c r="AJ17" s="33">
        <v>12444</v>
      </c>
    </row>
    <row r="18" spans="1:36" s="38" customFormat="1" x14ac:dyDescent="0.3">
      <c r="A18" s="37" t="s">
        <v>25</v>
      </c>
      <c r="B18" s="38">
        <v>35067</v>
      </c>
      <c r="C18" s="38">
        <v>59693</v>
      </c>
      <c r="D18" s="38">
        <v>51259</v>
      </c>
      <c r="E18" s="38">
        <v>43333</v>
      </c>
      <c r="F18" s="38">
        <v>50358</v>
      </c>
      <c r="H18" s="37" t="s">
        <v>25</v>
      </c>
      <c r="I18" s="38">
        <v>27764</v>
      </c>
      <c r="J18" s="38">
        <v>30266</v>
      </c>
      <c r="K18" s="38">
        <v>35722</v>
      </c>
      <c r="L18" s="38">
        <v>32168</v>
      </c>
      <c r="M18" s="38">
        <v>38782</v>
      </c>
      <c r="O18" s="37" t="s">
        <v>25</v>
      </c>
      <c r="P18" s="38">
        <v>21144</v>
      </c>
      <c r="Q18" s="38">
        <v>19385</v>
      </c>
      <c r="R18" s="38">
        <v>22186</v>
      </c>
      <c r="S18" s="38">
        <v>30332</v>
      </c>
      <c r="T18" s="38">
        <v>29030</v>
      </c>
      <c r="W18" s="37" t="s">
        <v>25</v>
      </c>
      <c r="X18" s="38">
        <v>17462.099999999999</v>
      </c>
      <c r="Y18" s="38">
        <v>18452.400000000001</v>
      </c>
      <c r="Z18" s="38">
        <v>18034.5</v>
      </c>
      <c r="AA18" s="38">
        <v>25727</v>
      </c>
      <c r="AB18" s="38">
        <v>32739.7</v>
      </c>
      <c r="AE18" s="37" t="s">
        <v>25</v>
      </c>
      <c r="AF18" s="38">
        <v>51237</v>
      </c>
      <c r="AG18" s="38">
        <v>60979</v>
      </c>
      <c r="AH18" s="38">
        <v>55294</v>
      </c>
      <c r="AI18" s="38">
        <v>53495</v>
      </c>
      <c r="AJ18" s="38">
        <v>55893</v>
      </c>
    </row>
    <row r="19" spans="1:36" s="33" customFormat="1" x14ac:dyDescent="0.3">
      <c r="A19" s="36" t="s">
        <v>26</v>
      </c>
      <c r="B19" s="33">
        <v>4309</v>
      </c>
      <c r="C19" s="33">
        <v>5578</v>
      </c>
      <c r="D19" s="33">
        <v>6809</v>
      </c>
      <c r="E19" s="33">
        <v>6710</v>
      </c>
      <c r="F19" s="33">
        <v>5633</v>
      </c>
      <c r="H19" s="36" t="s">
        <v>26</v>
      </c>
      <c r="I19" s="33">
        <v>4594</v>
      </c>
      <c r="J19" s="33">
        <v>4609</v>
      </c>
      <c r="K19" s="33">
        <v>4264</v>
      </c>
      <c r="L19" s="33">
        <v>3922</v>
      </c>
      <c r="M19" s="33">
        <v>4079</v>
      </c>
      <c r="O19" s="36" t="s">
        <v>26</v>
      </c>
      <c r="P19" s="33">
        <v>1421</v>
      </c>
      <c r="Q19" s="33">
        <v>1366</v>
      </c>
      <c r="R19" s="33">
        <v>1572</v>
      </c>
      <c r="S19" s="33">
        <v>1590</v>
      </c>
      <c r="T19" s="33">
        <v>1908</v>
      </c>
      <c r="W19" s="36" t="s">
        <v>26</v>
      </c>
      <c r="X19" s="33">
        <v>1606.7</v>
      </c>
      <c r="Y19" s="33">
        <v>1670.6</v>
      </c>
      <c r="Z19" s="33">
        <v>1930.6</v>
      </c>
      <c r="AA19" s="33">
        <v>2598.8000000000002</v>
      </c>
      <c r="AB19" s="33">
        <v>3228.6</v>
      </c>
      <c r="AE19" s="36" t="s">
        <v>26</v>
      </c>
      <c r="AF19" s="33">
        <v>9505</v>
      </c>
      <c r="AG19" s="33">
        <v>11055</v>
      </c>
      <c r="AH19" s="33">
        <v>11703</v>
      </c>
      <c r="AI19" s="33">
        <v>9632</v>
      </c>
      <c r="AJ19" s="33">
        <v>10311</v>
      </c>
    </row>
    <row r="20" spans="1:36" s="33" customFormat="1" x14ac:dyDescent="0.3">
      <c r="A20" s="37" t="s">
        <v>27</v>
      </c>
      <c r="B20" s="38">
        <v>25920</v>
      </c>
      <c r="C20" s="38">
        <v>42671</v>
      </c>
      <c r="D20" s="38">
        <v>42138</v>
      </c>
      <c r="E20" s="38">
        <v>47794</v>
      </c>
      <c r="F20" s="38">
        <v>42995</v>
      </c>
      <c r="G20" s="38"/>
      <c r="H20" s="37" t="s">
        <v>27</v>
      </c>
      <c r="I20" s="38">
        <v>27327</v>
      </c>
      <c r="J20" s="38">
        <v>23872</v>
      </c>
      <c r="K20" s="38">
        <v>24239</v>
      </c>
      <c r="L20" s="38">
        <v>25694</v>
      </c>
      <c r="M20" s="38">
        <v>28420</v>
      </c>
      <c r="O20" s="37" t="s">
        <v>27</v>
      </c>
      <c r="P20" s="38">
        <v>11653</v>
      </c>
      <c r="Q20" s="38">
        <v>12184</v>
      </c>
      <c r="R20" s="38">
        <v>15687</v>
      </c>
      <c r="S20" s="38">
        <v>18392</v>
      </c>
      <c r="T20" s="38">
        <v>23099</v>
      </c>
      <c r="U20" s="38"/>
      <c r="V20" s="38"/>
      <c r="W20" s="37" t="s">
        <v>27</v>
      </c>
      <c r="X20" s="38">
        <v>12481.6</v>
      </c>
      <c r="Y20" s="38">
        <v>15052.7</v>
      </c>
      <c r="Z20" s="38">
        <v>17138.2</v>
      </c>
      <c r="AA20" s="38">
        <v>27293.200000000001</v>
      </c>
      <c r="AB20" s="38">
        <v>28376.6</v>
      </c>
      <c r="AC20" s="38"/>
      <c r="AE20" s="37" t="s">
        <v>27</v>
      </c>
      <c r="AF20" s="38">
        <v>42493</v>
      </c>
      <c r="AG20" s="38">
        <v>45226</v>
      </c>
      <c r="AH20" s="38">
        <v>55802</v>
      </c>
      <c r="AI20" s="38">
        <v>46282</v>
      </c>
      <c r="AJ20" s="38">
        <v>50321</v>
      </c>
    </row>
    <row r="21" spans="1:36" s="33" customFormat="1" x14ac:dyDescent="0.3">
      <c r="A21" s="36" t="s">
        <v>28</v>
      </c>
      <c r="B21" s="33">
        <v>13900</v>
      </c>
      <c r="C21" s="33">
        <v>14862</v>
      </c>
      <c r="D21" s="33">
        <v>16274</v>
      </c>
      <c r="E21" s="33">
        <v>18940</v>
      </c>
      <c r="F21" s="33">
        <v>18393</v>
      </c>
      <c r="H21" s="36" t="s">
        <v>28</v>
      </c>
      <c r="I21" s="33">
        <v>36968</v>
      </c>
      <c r="J21" s="33">
        <v>37471</v>
      </c>
      <c r="K21" s="33">
        <v>39407</v>
      </c>
      <c r="L21" s="33">
        <v>41317</v>
      </c>
      <c r="M21" s="33">
        <v>42934</v>
      </c>
      <c r="O21" s="36" t="s">
        <v>28</v>
      </c>
      <c r="P21" s="33">
        <v>4889</v>
      </c>
      <c r="Q21" s="33">
        <v>5184</v>
      </c>
      <c r="R21" s="33">
        <v>5427</v>
      </c>
      <c r="S21" s="33">
        <v>5941</v>
      </c>
      <c r="T21" s="33">
        <v>6543</v>
      </c>
      <c r="W21" s="36" t="s">
        <v>28</v>
      </c>
      <c r="X21" s="33">
        <v>8681.9</v>
      </c>
      <c r="Y21" s="33">
        <v>8985.1</v>
      </c>
      <c r="Z21" s="33">
        <v>10144</v>
      </c>
      <c r="AA21" s="33">
        <v>12913.6</v>
      </c>
      <c r="AB21" s="33">
        <v>17102.400000000001</v>
      </c>
      <c r="AE21" s="36" t="s">
        <v>28</v>
      </c>
      <c r="AF21" s="33">
        <v>18766</v>
      </c>
      <c r="AG21" s="33">
        <v>18962</v>
      </c>
      <c r="AH21" s="33">
        <v>19803</v>
      </c>
      <c r="AI21" s="33">
        <v>19898</v>
      </c>
      <c r="AJ21" s="33">
        <v>20518</v>
      </c>
    </row>
    <row r="22" spans="1:36" s="33" customFormat="1" x14ac:dyDescent="0.3">
      <c r="A22" s="36" t="s">
        <v>29</v>
      </c>
      <c r="B22" s="33">
        <f>2703+37133</f>
        <v>39836</v>
      </c>
      <c r="C22" s="33">
        <f>2241+36195</f>
        <v>38436</v>
      </c>
      <c r="D22" s="33">
        <f>2945+32884</f>
        <v>35829</v>
      </c>
      <c r="E22" s="33">
        <f>10350+61538</f>
        <v>71888</v>
      </c>
      <c r="F22" s="33">
        <f>6946+57405</f>
        <v>64351</v>
      </c>
      <c r="H22" s="36" t="s">
        <v>29</v>
      </c>
      <c r="I22" s="33">
        <f>6431+25360</f>
        <v>31791</v>
      </c>
      <c r="J22" s="33">
        <f>2412+30690</f>
        <v>33102</v>
      </c>
      <c r="K22" s="33">
        <f>1946+28745</f>
        <v>30691</v>
      </c>
      <c r="L22" s="33">
        <f>1372+33683</f>
        <v>35055</v>
      </c>
      <c r="M22" s="33">
        <f>2649+34462</f>
        <v>37111</v>
      </c>
      <c r="O22" s="36" t="s">
        <v>29</v>
      </c>
      <c r="P22" s="33">
        <f>91+32895</f>
        <v>32986</v>
      </c>
      <c r="Q22" s="33">
        <f>87+33222</f>
        <v>33309</v>
      </c>
      <c r="R22" s="33">
        <f>1591+37354</f>
        <v>38945</v>
      </c>
      <c r="S22" s="33">
        <f>1443+63170</f>
        <v>64613</v>
      </c>
      <c r="T22" s="33">
        <f>3550+56549</f>
        <v>60099</v>
      </c>
      <c r="W22" s="36" t="s">
        <v>29</v>
      </c>
      <c r="X22" s="33">
        <f>8.7+16586.6</f>
        <v>16595.3</v>
      </c>
      <c r="Y22" s="33">
        <f>1538.3+15346.4</f>
        <v>16884.7</v>
      </c>
      <c r="Z22" s="33">
        <f>1501.1+14737.5</f>
        <v>16238.6</v>
      </c>
      <c r="AA22" s="33">
        <f>6904.5+18320.8</f>
        <v>25225.3</v>
      </c>
      <c r="AB22" s="33">
        <f>5117.1+28527.1</f>
        <v>33644.199999999997</v>
      </c>
      <c r="AE22" s="36" t="s">
        <v>29</v>
      </c>
      <c r="AF22" s="33">
        <f>2631+32635</f>
        <v>35266</v>
      </c>
      <c r="AG22" s="33">
        <f>3766+29985</f>
        <v>33751</v>
      </c>
      <c r="AH22" s="33">
        <f>12771+26888</f>
        <v>39659</v>
      </c>
      <c r="AI22" s="33">
        <f>3451+25881</f>
        <v>29332</v>
      </c>
      <c r="AJ22" s="33">
        <f>5983+30651</f>
        <v>36634</v>
      </c>
    </row>
    <row r="23" spans="1:36" s="33" customFormat="1" x14ac:dyDescent="0.3">
      <c r="A23" s="36" t="s">
        <v>30</v>
      </c>
      <c r="B23" s="33">
        <v>63473</v>
      </c>
      <c r="C23" s="33">
        <f>77462</f>
        <v>77462</v>
      </c>
      <c r="D23" s="33">
        <v>95916</v>
      </c>
      <c r="E23" s="33">
        <v>89288</v>
      </c>
      <c r="F23" s="33">
        <v>88497</v>
      </c>
      <c r="H23" s="36" t="s">
        <v>30</v>
      </c>
      <c r="I23" s="33">
        <v>25404</v>
      </c>
      <c r="J23" s="33">
        <v>38257</v>
      </c>
      <c r="K23" s="33">
        <v>46058</v>
      </c>
      <c r="L23" s="33">
        <v>37635</v>
      </c>
      <c r="M23" s="33">
        <v>46372</v>
      </c>
      <c r="O23" s="36" t="s">
        <v>30</v>
      </c>
      <c r="P23" s="33">
        <v>9409</v>
      </c>
      <c r="Q23" s="33">
        <v>6700</v>
      </c>
      <c r="R23" s="33">
        <v>3661</v>
      </c>
      <c r="S23" s="33">
        <v>6232</v>
      </c>
      <c r="T23" s="33">
        <v>5877</v>
      </c>
      <c r="W23" s="36" t="s">
        <v>30</v>
      </c>
      <c r="X23" s="33">
        <v>5825.2</v>
      </c>
      <c r="Y23" s="33">
        <v>9154.7999999999993</v>
      </c>
      <c r="Z23" s="33">
        <v>10775.4</v>
      </c>
      <c r="AA23" s="33">
        <v>10863.7</v>
      </c>
      <c r="AB23" s="33">
        <v>14271.6</v>
      </c>
      <c r="AE23" s="36" t="s">
        <v>30</v>
      </c>
      <c r="AF23" s="33">
        <v>63278</v>
      </c>
      <c r="AG23" s="33">
        <v>74023</v>
      </c>
      <c r="AH23" s="33">
        <v>76804</v>
      </c>
      <c r="AI23" s="33">
        <v>68774</v>
      </c>
      <c r="AJ23" s="33">
        <v>71490</v>
      </c>
    </row>
    <row r="24" spans="1:36" x14ac:dyDescent="0.3">
      <c r="O24" s="35"/>
      <c r="P24" s="1"/>
      <c r="Q24" s="1"/>
      <c r="R24" s="1"/>
      <c r="S24" s="1"/>
      <c r="T24" s="1"/>
      <c r="U24" s="1"/>
      <c r="V24" s="1"/>
      <c r="W24" s="35"/>
      <c r="X24" s="1"/>
      <c r="Y24" s="1"/>
      <c r="Z24" s="1"/>
      <c r="AA24" s="1"/>
      <c r="AB24" s="1"/>
      <c r="AC24" s="1"/>
      <c r="AE24" s="35"/>
    </row>
    <row r="25" spans="1:36" x14ac:dyDescent="0.3">
      <c r="A25" s="34" t="s">
        <v>31</v>
      </c>
      <c r="H25" s="34" t="s">
        <v>31</v>
      </c>
      <c r="O25" s="34" t="s">
        <v>31</v>
      </c>
      <c r="P25" s="1"/>
      <c r="Q25" s="1"/>
      <c r="R25" s="1"/>
      <c r="S25" s="1"/>
      <c r="T25" s="1"/>
      <c r="U25" s="1"/>
      <c r="V25" s="1"/>
      <c r="W25" s="34" t="s">
        <v>31</v>
      </c>
      <c r="X25" s="1"/>
      <c r="Y25" s="1"/>
      <c r="Z25" s="1"/>
      <c r="AA25" s="1"/>
      <c r="AB25" s="1"/>
      <c r="AC25" s="1"/>
      <c r="AE25" s="34" t="s">
        <v>31</v>
      </c>
    </row>
    <row r="26" spans="1:36" x14ac:dyDescent="0.3">
      <c r="A26" s="35" t="s">
        <v>11</v>
      </c>
      <c r="B26" s="14" t="s">
        <v>36</v>
      </c>
      <c r="C26" s="14" t="s">
        <v>37</v>
      </c>
      <c r="D26" s="14" t="s">
        <v>38</v>
      </c>
      <c r="E26" s="14" t="s">
        <v>39</v>
      </c>
      <c r="F26" s="14" t="s">
        <v>40</v>
      </c>
      <c r="H26" s="35" t="s">
        <v>11</v>
      </c>
      <c r="I26" s="14" t="s">
        <v>36</v>
      </c>
      <c r="J26" s="14" t="s">
        <v>37</v>
      </c>
      <c r="K26" s="14" t="s">
        <v>38</v>
      </c>
      <c r="L26" s="14" t="s">
        <v>39</v>
      </c>
      <c r="M26" s="14" t="s">
        <v>40</v>
      </c>
      <c r="O26" s="35" t="s">
        <v>11</v>
      </c>
      <c r="P26" s="14" t="s">
        <v>36</v>
      </c>
      <c r="Q26" s="14" t="s">
        <v>37</v>
      </c>
      <c r="R26" s="14" t="s">
        <v>38</v>
      </c>
      <c r="S26" s="14" t="s">
        <v>39</v>
      </c>
      <c r="T26" s="14" t="s">
        <v>40</v>
      </c>
      <c r="U26" s="14"/>
      <c r="V26" s="1"/>
      <c r="W26" s="35" t="s">
        <v>11</v>
      </c>
      <c r="X26" s="14" t="s">
        <v>36</v>
      </c>
      <c r="Y26" s="14" t="s">
        <v>37</v>
      </c>
      <c r="Z26" s="14" t="s">
        <v>38</v>
      </c>
      <c r="AA26" s="14" t="s">
        <v>39</v>
      </c>
      <c r="AB26" s="14" t="s">
        <v>40</v>
      </c>
      <c r="AC26" s="14"/>
      <c r="AE26" s="35" t="s">
        <v>11</v>
      </c>
      <c r="AF26" s="14" t="s">
        <v>36</v>
      </c>
      <c r="AG26" s="14" t="s">
        <v>37</v>
      </c>
      <c r="AH26" s="14" t="s">
        <v>38</v>
      </c>
      <c r="AI26" s="14" t="s">
        <v>39</v>
      </c>
      <c r="AJ26" s="14" t="s">
        <v>40</v>
      </c>
    </row>
    <row r="27" spans="1:36" s="33" customFormat="1" x14ac:dyDescent="0.3">
      <c r="A27" s="36" t="s">
        <v>32</v>
      </c>
      <c r="B27" s="33">
        <v>14403</v>
      </c>
      <c r="C27" s="33">
        <v>32580</v>
      </c>
      <c r="D27" s="33">
        <v>29267</v>
      </c>
      <c r="E27" s="33">
        <v>8700</v>
      </c>
      <c r="F27" s="33">
        <v>12744</v>
      </c>
      <c r="H27" s="36" t="s">
        <v>32</v>
      </c>
      <c r="I27" s="33">
        <v>7617</v>
      </c>
      <c r="J27" s="33">
        <v>13122</v>
      </c>
      <c r="K27" s="33">
        <v>19095</v>
      </c>
      <c r="L27" s="33">
        <v>13006</v>
      </c>
      <c r="M27" s="33">
        <v>21468</v>
      </c>
      <c r="O27" s="36" t="s">
        <v>32</v>
      </c>
      <c r="P27" s="33">
        <v>10497</v>
      </c>
      <c r="Q27" s="33">
        <v>9261</v>
      </c>
      <c r="R27" s="33">
        <v>9721</v>
      </c>
      <c r="S27" s="33">
        <v>8471</v>
      </c>
      <c r="T27" s="33">
        <v>11490</v>
      </c>
      <c r="W27" s="36" t="s">
        <v>32</v>
      </c>
      <c r="X27" s="33">
        <v>6499.6</v>
      </c>
      <c r="Y27" s="33">
        <v>7260.7</v>
      </c>
      <c r="Z27" s="33">
        <v>7084.4</v>
      </c>
      <c r="AA27" s="33">
        <v>4240.1000000000004</v>
      </c>
      <c r="AB27" s="33">
        <v>8817.9</v>
      </c>
      <c r="AD27" s="30"/>
      <c r="AE27" s="36" t="s">
        <v>32</v>
      </c>
      <c r="AF27" s="33">
        <v>22536</v>
      </c>
      <c r="AG27" s="33">
        <v>23410</v>
      </c>
      <c r="AH27" s="33">
        <v>21194</v>
      </c>
      <c r="AI27" s="33">
        <v>22791</v>
      </c>
      <c r="AJ27" s="33">
        <v>24266</v>
      </c>
    </row>
    <row r="28" spans="1:36" s="33" customFormat="1" x14ac:dyDescent="0.3">
      <c r="A28" s="36" t="s">
        <v>33</v>
      </c>
      <c r="B28" s="33">
        <v>2226</v>
      </c>
      <c r="C28" s="33">
        <v>2711</v>
      </c>
      <c r="D28" s="33">
        <v>3236</v>
      </c>
      <c r="E28" s="33">
        <v>3907</v>
      </c>
      <c r="F28" s="33">
        <v>2909</v>
      </c>
      <c r="H28" s="36" t="s">
        <v>33</v>
      </c>
      <c r="I28" s="33">
        <v>4429</v>
      </c>
      <c r="J28" s="33">
        <v>4448</v>
      </c>
      <c r="K28" s="33">
        <v>4388</v>
      </c>
      <c r="L28" s="33">
        <v>3863</v>
      </c>
      <c r="M28" s="33">
        <v>3372</v>
      </c>
      <c r="O28" s="36" t="s">
        <v>33</v>
      </c>
      <c r="P28" s="33">
        <v>608</v>
      </c>
      <c r="Q28" s="33">
        <v>880</v>
      </c>
      <c r="R28" s="33">
        <v>936</v>
      </c>
      <c r="S28" s="33">
        <v>1112</v>
      </c>
      <c r="T28" s="33">
        <v>1096</v>
      </c>
      <c r="W28" s="36" t="s">
        <v>33</v>
      </c>
      <c r="X28" s="33">
        <v>1387.9</v>
      </c>
      <c r="Y28" s="33">
        <v>1309.8</v>
      </c>
      <c r="Z28" s="33">
        <v>1854.3</v>
      </c>
      <c r="AA28" s="33">
        <v>3447.6</v>
      </c>
      <c r="AB28" s="33">
        <v>5057.8</v>
      </c>
      <c r="AD28" s="30"/>
      <c r="AE28" s="36" t="s">
        <v>33</v>
      </c>
      <c r="AF28" s="33">
        <v>3347</v>
      </c>
      <c r="AG28" s="33">
        <v>3652</v>
      </c>
      <c r="AH28" s="33">
        <v>4009</v>
      </c>
      <c r="AI28" s="33">
        <v>4543</v>
      </c>
      <c r="AJ28" s="33">
        <v>4424</v>
      </c>
    </row>
    <row r="29" spans="1:36" s="33" customFormat="1" x14ac:dyDescent="0.3">
      <c r="A29" s="36" t="s">
        <v>34</v>
      </c>
      <c r="B29" s="33">
        <v>8440</v>
      </c>
      <c r="C29" s="33">
        <v>8729</v>
      </c>
      <c r="D29" s="33">
        <v>8983</v>
      </c>
      <c r="E29" s="33">
        <v>9247</v>
      </c>
      <c r="F29" s="33">
        <v>9512</v>
      </c>
      <c r="H29" s="36" t="s">
        <v>34</v>
      </c>
      <c r="I29" s="33">
        <v>6215</v>
      </c>
      <c r="J29" s="33">
        <v>6610</v>
      </c>
      <c r="K29" s="33">
        <v>7012</v>
      </c>
      <c r="L29" s="33">
        <v>7445</v>
      </c>
      <c r="M29" s="33">
        <v>7840</v>
      </c>
      <c r="O29" s="36" t="s">
        <v>34</v>
      </c>
      <c r="P29" s="33">
        <v>3755</v>
      </c>
      <c r="Q29" s="33">
        <v>4013</v>
      </c>
      <c r="R29" s="33">
        <v>4196</v>
      </c>
      <c r="S29" s="33">
        <v>4556</v>
      </c>
      <c r="T29" s="33">
        <v>4832</v>
      </c>
      <c r="W29" s="36" t="s">
        <v>34</v>
      </c>
      <c r="X29" s="33">
        <v>2687.1</v>
      </c>
      <c r="Y29" s="33">
        <v>3086.8</v>
      </c>
      <c r="Z29" s="33">
        <v>3535.8</v>
      </c>
      <c r="AA29" s="33">
        <v>4069.3</v>
      </c>
      <c r="AB29" s="33">
        <v>4680.3999999999996</v>
      </c>
      <c r="AD29" s="30"/>
      <c r="AE29" s="36" t="s">
        <v>34</v>
      </c>
      <c r="AF29" s="33">
        <v>10481</v>
      </c>
      <c r="AG29" s="33">
        <v>11032</v>
      </c>
      <c r="AH29" s="33">
        <v>11682</v>
      </c>
      <c r="AI29" s="33">
        <v>11770</v>
      </c>
      <c r="AJ29" s="33">
        <v>11823</v>
      </c>
    </row>
    <row r="30" spans="1:36" s="33" customFormat="1" x14ac:dyDescent="0.3">
      <c r="A30" s="36" t="s">
        <v>35</v>
      </c>
      <c r="B30" s="33">
        <f>22197+4003</f>
        <v>26200</v>
      </c>
      <c r="C30" s="33">
        <v>2004</v>
      </c>
      <c r="D30" s="33">
        <f>3887+3298</f>
        <v>7185</v>
      </c>
      <c r="E30" s="33">
        <f>3+2569</f>
        <v>2572</v>
      </c>
      <c r="F30" s="33">
        <f>11226+2250</f>
        <v>13476</v>
      </c>
      <c r="H30" s="36" t="s">
        <v>35</v>
      </c>
      <c r="I30" s="33">
        <v>1957</v>
      </c>
      <c r="J30" s="33">
        <v>2319</v>
      </c>
      <c r="K30" s="33">
        <v>2251</v>
      </c>
      <c r="L30" s="33">
        <v>1755</v>
      </c>
      <c r="M30" s="33">
        <v>1290</v>
      </c>
      <c r="O30" s="36" t="s">
        <v>35</v>
      </c>
      <c r="P30" s="33">
        <v>6450</v>
      </c>
      <c r="Q30" s="33">
        <v>4150</v>
      </c>
      <c r="R30" s="33">
        <v>0</v>
      </c>
      <c r="S30" s="33">
        <v>1454</v>
      </c>
      <c r="T30" s="33">
        <v>3600</v>
      </c>
      <c r="W30" s="36" t="s">
        <v>35</v>
      </c>
      <c r="X30" s="33">
        <v>276.5</v>
      </c>
      <c r="Y30" s="33">
        <v>1905.4</v>
      </c>
      <c r="Z30" s="33">
        <v>1560</v>
      </c>
      <c r="AA30" s="33">
        <v>0</v>
      </c>
      <c r="AB30" s="33">
        <v>664.2</v>
      </c>
      <c r="AD30" s="30"/>
      <c r="AE30" s="36" t="s">
        <v>35</v>
      </c>
      <c r="AF30" s="33">
        <f>2663+1064</f>
        <v>3727</v>
      </c>
      <c r="AG30" s="33">
        <f>1190+1802</f>
        <v>2992</v>
      </c>
      <c r="AH30" s="33">
        <f>6550+2134</f>
        <v>8684</v>
      </c>
      <c r="AI30" s="33">
        <f>22973+1551</f>
        <v>24524</v>
      </c>
      <c r="AJ30" s="33">
        <f>9463+1453</f>
        <v>10916</v>
      </c>
    </row>
    <row r="31" spans="1:36" x14ac:dyDescent="0.3">
      <c r="H31" s="36" t="s">
        <v>17</v>
      </c>
      <c r="I31" s="33">
        <f>1899+1726</f>
        <v>3625</v>
      </c>
      <c r="J31" s="33">
        <f>1636+1578</f>
        <v>3214</v>
      </c>
      <c r="K31" s="33">
        <f>2085+1824</f>
        <v>3909</v>
      </c>
      <c r="L31" s="33">
        <f>2044+1828</f>
        <v>3872</v>
      </c>
      <c r="M31" s="33">
        <f>2395+2104</f>
        <v>4499</v>
      </c>
      <c r="O31" s="36" t="s">
        <v>17</v>
      </c>
      <c r="P31" s="33">
        <v>3601</v>
      </c>
      <c r="Q31" s="33">
        <v>3398</v>
      </c>
      <c r="R31" s="33">
        <v>3417</v>
      </c>
      <c r="S31" s="33">
        <v>4070</v>
      </c>
      <c r="T31" s="33">
        <v>5590</v>
      </c>
      <c r="U31" s="33"/>
      <c r="V31" s="1"/>
      <c r="W31" s="36" t="s">
        <v>17</v>
      </c>
      <c r="X31" s="33">
        <v>1323.9</v>
      </c>
      <c r="Y31" s="33">
        <v>1547.6</v>
      </c>
      <c r="Z31" s="33">
        <v>1522.5</v>
      </c>
      <c r="AA31" s="33">
        <v>1527</v>
      </c>
      <c r="AB31" s="33">
        <v>1767</v>
      </c>
      <c r="AC31" s="33"/>
      <c r="AE31" s="36" t="s">
        <v>17</v>
      </c>
      <c r="AF31" s="33">
        <v>7231</v>
      </c>
      <c r="AG31" s="33">
        <v>7390</v>
      </c>
      <c r="AH31" s="33">
        <v>6970</v>
      </c>
      <c r="AI31" s="33">
        <v>7486</v>
      </c>
      <c r="AJ31" s="33">
        <v>7339</v>
      </c>
    </row>
    <row r="34" spans="15:37" x14ac:dyDescent="0.3">
      <c r="O34" s="120" t="s">
        <v>11</v>
      </c>
      <c r="P34" s="121" t="s">
        <v>36</v>
      </c>
      <c r="Q34" s="121" t="s">
        <v>37</v>
      </c>
      <c r="R34" s="121" t="s">
        <v>38</v>
      </c>
      <c r="S34" s="121" t="s">
        <v>39</v>
      </c>
      <c r="T34" s="121" t="s">
        <v>40</v>
      </c>
      <c r="W34" s="118" t="s">
        <v>11</v>
      </c>
      <c r="X34" s="119" t="s">
        <v>36</v>
      </c>
      <c r="Y34" s="119" t="s">
        <v>37</v>
      </c>
      <c r="Z34" s="119" t="s">
        <v>38</v>
      </c>
      <c r="AA34" s="119" t="s">
        <v>39</v>
      </c>
      <c r="AB34" s="119" t="s">
        <v>40</v>
      </c>
      <c r="AE34" s="118" t="s">
        <v>11</v>
      </c>
      <c r="AF34" s="119" t="s">
        <v>36</v>
      </c>
      <c r="AG34" s="119" t="s">
        <v>37</v>
      </c>
      <c r="AH34" s="119" t="s">
        <v>38</v>
      </c>
      <c r="AI34" s="119" t="s">
        <v>39</v>
      </c>
      <c r="AJ34" s="119" t="s">
        <v>40</v>
      </c>
      <c r="AK34" s="4"/>
    </row>
    <row r="35" spans="15:37" x14ac:dyDescent="0.3">
      <c r="O35" s="66" t="s">
        <v>12</v>
      </c>
      <c r="P35" s="29">
        <f>P3</f>
        <v>25424</v>
      </c>
      <c r="Q35" s="29">
        <f t="shared" ref="Q35:T35" si="15">Q3</f>
        <v>25979</v>
      </c>
      <c r="R35" s="29">
        <f t="shared" si="15"/>
        <v>26323</v>
      </c>
      <c r="S35" s="29">
        <f t="shared" si="15"/>
        <v>28190</v>
      </c>
      <c r="T35" s="29">
        <f t="shared" si="15"/>
        <v>33424</v>
      </c>
      <c r="W35" s="66" t="s">
        <v>12</v>
      </c>
      <c r="X35" s="29">
        <f>X3</f>
        <v>24539.8</v>
      </c>
      <c r="Y35" s="29">
        <f t="shared" ref="Y35:AB35" si="16">Y3</f>
        <v>28318.400000000001</v>
      </c>
      <c r="Z35" s="29">
        <f t="shared" si="16"/>
        <v>28541.4</v>
      </c>
      <c r="AA35" s="29">
        <f t="shared" si="16"/>
        <v>34124.1</v>
      </c>
      <c r="AB35" s="29">
        <f t="shared" si="16"/>
        <v>45042.7</v>
      </c>
      <c r="AE35" s="66" t="s">
        <v>12</v>
      </c>
      <c r="AF35" s="29">
        <f>AF3</f>
        <v>82584</v>
      </c>
      <c r="AG35" s="29">
        <f t="shared" ref="AG35:AJ35" si="17">AG3</f>
        <v>93775</v>
      </c>
      <c r="AH35" s="29">
        <f t="shared" si="17"/>
        <v>94943</v>
      </c>
      <c r="AI35" s="29">
        <f t="shared" si="17"/>
        <v>85159</v>
      </c>
      <c r="AJ35" s="29">
        <f t="shared" si="17"/>
        <v>88821</v>
      </c>
      <c r="AK35" s="4"/>
    </row>
    <row r="36" spans="15:37" x14ac:dyDescent="0.3">
      <c r="O36" s="66" t="s">
        <v>115</v>
      </c>
      <c r="P36" s="29">
        <f>P7</f>
        <v>9395</v>
      </c>
      <c r="Q36" s="29">
        <f t="shared" ref="Q36:T36" si="18">Q7</f>
        <v>7898</v>
      </c>
      <c r="R36" s="29">
        <f t="shared" si="18"/>
        <v>8752</v>
      </c>
      <c r="S36" s="29">
        <f t="shared" si="18"/>
        <v>10730</v>
      </c>
      <c r="T36" s="29">
        <f t="shared" si="18"/>
        <v>7764</v>
      </c>
      <c r="W36" s="66" t="s">
        <v>115</v>
      </c>
      <c r="X36" s="29">
        <f>X7</f>
        <v>7229.8999999999978</v>
      </c>
      <c r="Y36" s="29">
        <f t="shared" ref="Y36:AB36" si="19">Y7</f>
        <v>6155.5</v>
      </c>
      <c r="Z36" s="29">
        <f t="shared" si="19"/>
        <v>6806.4000000000015</v>
      </c>
      <c r="AA36" s="29">
        <f t="shared" si="19"/>
        <v>6554.5999999999985</v>
      </c>
      <c r="AB36" s="29">
        <f t="shared" si="19"/>
        <v>12680.369999999995</v>
      </c>
      <c r="AE36" s="66" t="s">
        <v>115</v>
      </c>
      <c r="AF36" s="29">
        <f>AF7</f>
        <v>16698</v>
      </c>
      <c r="AG36" s="29">
        <f t="shared" ref="AG36:AJ36" si="20">AG7</f>
        <v>22959</v>
      </c>
      <c r="AH36" s="29">
        <f t="shared" si="20"/>
        <v>22001</v>
      </c>
      <c r="AI36" s="29">
        <f t="shared" si="20"/>
        <v>15834</v>
      </c>
      <c r="AJ36" s="29">
        <f t="shared" si="20"/>
        <v>17442</v>
      </c>
      <c r="AK36" s="4"/>
    </row>
    <row r="37" spans="15:37" x14ac:dyDescent="0.3">
      <c r="O37" s="66" t="s">
        <v>116</v>
      </c>
      <c r="P37" s="29">
        <f>P11</f>
        <v>7264</v>
      </c>
      <c r="Q37" s="29">
        <f t="shared" ref="Q37:T37" si="21">Q11</f>
        <v>5893</v>
      </c>
      <c r="R37" s="29">
        <f t="shared" si="21"/>
        <v>6552</v>
      </c>
      <c r="S37" s="29">
        <f t="shared" si="21"/>
        <v>6717</v>
      </c>
      <c r="T37" s="29">
        <f t="shared" si="21"/>
        <v>4090</v>
      </c>
      <c r="W37" s="66" t="s">
        <v>116</v>
      </c>
      <c r="X37" s="29">
        <f>X11</f>
        <v>5833.699999999998</v>
      </c>
      <c r="Y37" s="29">
        <f t="shared" ref="Y37:AB37" si="22">Y11</f>
        <v>5241.7</v>
      </c>
      <c r="Z37" s="29">
        <f t="shared" si="22"/>
        <v>5912.8000000000011</v>
      </c>
      <c r="AA37" s="29">
        <f t="shared" si="22"/>
        <v>4459.3999999999987</v>
      </c>
      <c r="AB37" s="29">
        <f t="shared" si="22"/>
        <v>9679.9699999999957</v>
      </c>
      <c r="AE37" s="66" t="s">
        <v>116</v>
      </c>
      <c r="AF37" s="29">
        <f>AF11</f>
        <v>14714</v>
      </c>
      <c r="AG37" s="29">
        <f t="shared" ref="AG37:AJ37" si="23">AG11</f>
        <v>20878</v>
      </c>
      <c r="AH37" s="29">
        <f t="shared" si="23"/>
        <v>17941</v>
      </c>
      <c r="AI37" s="29">
        <f t="shared" si="23"/>
        <v>13326</v>
      </c>
      <c r="AJ37" s="29">
        <f t="shared" si="23"/>
        <v>14066</v>
      </c>
      <c r="AK37" s="4"/>
    </row>
    <row r="38" spans="15:37" x14ac:dyDescent="0.3">
      <c r="W38" s="66"/>
      <c r="X38" s="4"/>
      <c r="AE38" s="66"/>
      <c r="AF38" s="4"/>
      <c r="AG38" s="4"/>
      <c r="AH38" s="4"/>
      <c r="AI38" s="4"/>
      <c r="AJ38" s="4"/>
      <c r="AK38" s="4"/>
    </row>
    <row r="39" spans="15:37" x14ac:dyDescent="0.3">
      <c r="O39" s="118" t="s">
        <v>11</v>
      </c>
      <c r="P39" s="119" t="s">
        <v>62</v>
      </c>
      <c r="Q39" s="119" t="s">
        <v>63</v>
      </c>
      <c r="R39" s="119" t="s">
        <v>64</v>
      </c>
      <c r="S39" s="119" t="s">
        <v>65</v>
      </c>
      <c r="T39" s="119" t="s">
        <v>66</v>
      </c>
      <c r="U39" s="119" t="s">
        <v>67</v>
      </c>
      <c r="W39" s="118" t="s">
        <v>11</v>
      </c>
      <c r="X39" s="119" t="s">
        <v>62</v>
      </c>
      <c r="Y39" s="119" t="s">
        <v>63</v>
      </c>
      <c r="Z39" s="119" t="s">
        <v>64</v>
      </c>
      <c r="AA39" s="119" t="s">
        <v>65</v>
      </c>
      <c r="AB39" s="119" t="s">
        <v>66</v>
      </c>
      <c r="AC39" s="119" t="s">
        <v>67</v>
      </c>
      <c r="AE39" s="118" t="s">
        <v>11</v>
      </c>
      <c r="AF39" s="119" t="s">
        <v>62</v>
      </c>
      <c r="AG39" s="119" t="s">
        <v>63</v>
      </c>
      <c r="AH39" s="119" t="s">
        <v>64</v>
      </c>
      <c r="AI39" s="119" t="s">
        <v>65</v>
      </c>
      <c r="AJ39" s="119" t="s">
        <v>66</v>
      </c>
      <c r="AK39" s="119" t="s">
        <v>67</v>
      </c>
    </row>
    <row r="40" spans="15:37" x14ac:dyDescent="0.3">
      <c r="O40" s="66" t="str">
        <f>O35</f>
        <v>Revenue</v>
      </c>
      <c r="P40" s="29">
        <f>DCF!R3</f>
        <v>35303.790007169904</v>
      </c>
      <c r="Q40" s="29">
        <f>DCF!S3</f>
        <v>37289.300768021465</v>
      </c>
      <c r="R40" s="29">
        <f>DCF!T3</f>
        <v>39386.47809443601</v>
      </c>
      <c r="S40" s="29">
        <f>DCF!U3</f>
        <v>41601.602195068401</v>
      </c>
      <c r="T40" s="29">
        <f>DCF!V3</f>
        <v>43941.306482064181</v>
      </c>
      <c r="U40" s="29">
        <f>DCF!W3</f>
        <v>46412.597435480115</v>
      </c>
      <c r="W40" s="66" t="str">
        <f>W35</f>
        <v>Revenue</v>
      </c>
      <c r="X40" s="29">
        <f>DCF!Z3</f>
        <v>50859.852335652649</v>
      </c>
      <c r="Y40" s="29">
        <f>DCF!AA3</f>
        <v>57428.275383233959</v>
      </c>
      <c r="Z40" s="29">
        <f>DCF!AB3</f>
        <v>64844.993880972397</v>
      </c>
      <c r="AA40" s="29">
        <f>DCF!AC3</f>
        <v>73219.563069988159</v>
      </c>
      <c r="AB40" s="29">
        <f>DCF!AD3</f>
        <v>82675.686977481455</v>
      </c>
      <c r="AC40" s="29">
        <f>DCF!AE3</f>
        <v>93353.045697157315</v>
      </c>
      <c r="AE40" s="66" t="str">
        <f>AE35</f>
        <v>Revenue</v>
      </c>
      <c r="AF40" s="29">
        <f>DCF!AH3</f>
        <v>90123.823262999693</v>
      </c>
      <c r="AG40" s="29">
        <f>DCF!AI3</f>
        <v>91445.756291196958</v>
      </c>
      <c r="AH40" s="29">
        <f>DCF!AJ3</f>
        <v>92787.079385946752</v>
      </c>
      <c r="AI40" s="29">
        <f>DCF!AK3</f>
        <v>94148.076960054343</v>
      </c>
      <c r="AJ40" s="29">
        <f>DCF!AL3</f>
        <v>95529.037598081879</v>
      </c>
      <c r="AK40" s="29">
        <f>DCF!AM3</f>
        <v>96930.254117539589</v>
      </c>
    </row>
    <row r="41" spans="15:37" x14ac:dyDescent="0.3">
      <c r="O41" s="66" t="str">
        <f t="shared" ref="O41:O42" si="24">O36</f>
        <v>Operating income</v>
      </c>
      <c r="P41" s="29">
        <f>DCF!R4</f>
        <v>11284.595257136072</v>
      </c>
      <c r="Q41" s="29">
        <f>DCF!S4</f>
        <v>11919.249080715572</v>
      </c>
      <c r="R41" s="29">
        <f>DCF!T4</f>
        <v>12589.596295737658</v>
      </c>
      <c r="S41" s="29">
        <f>DCF!U4</f>
        <v>13297.644324430539</v>
      </c>
      <c r="T41" s="29">
        <f>DCF!V4</f>
        <v>14045.513487904811</v>
      </c>
      <c r="U41" s="29">
        <f>DCF!W4</f>
        <v>14835.443355668498</v>
      </c>
      <c r="W41" s="66" t="str">
        <f t="shared" ref="W41:W42" si="25">W36</f>
        <v>Operating income</v>
      </c>
      <c r="X41" s="29">
        <f>DCF!Z4</f>
        <v>12488.538699701425</v>
      </c>
      <c r="Y41" s="29">
        <f>DCF!AA4</f>
        <v>14101.402317243372</v>
      </c>
      <c r="Z41" s="29">
        <f>DCF!AB4</f>
        <v>15922.563247332599</v>
      </c>
      <c r="AA41" s="29">
        <f>DCF!AC4</f>
        <v>17978.922568239155</v>
      </c>
      <c r="AB41" s="29">
        <f>DCF!AD4</f>
        <v>20300.855565380771</v>
      </c>
      <c r="AC41" s="29">
        <f>DCF!AE4</f>
        <v>22922.660416508741</v>
      </c>
      <c r="AE41" s="66" t="str">
        <f t="shared" ref="AE41:AE42" si="26">AE36</f>
        <v>Operating income</v>
      </c>
      <c r="AF41" s="29">
        <f>DCF!AH4</f>
        <v>19214.374346256111</v>
      </c>
      <c r="AG41" s="29">
        <f>DCF!AI4</f>
        <v>19496.210104492191</v>
      </c>
      <c r="AH41" s="29">
        <f>DCF!AJ4</f>
        <v>19782.179819587294</v>
      </c>
      <c r="AI41" s="29">
        <f>DCF!AK4</f>
        <v>20072.344128273318</v>
      </c>
      <c r="AJ41" s="29">
        <f>DCF!AL4</f>
        <v>20366.764556699585</v>
      </c>
      <c r="AK41" s="29">
        <f>DCF!AM4</f>
        <v>20665.503533478794</v>
      </c>
    </row>
    <row r="42" spans="15:37" x14ac:dyDescent="0.3">
      <c r="O42" s="66" t="str">
        <f t="shared" si="24"/>
        <v>Net income</v>
      </c>
      <c r="P42" s="29">
        <f>DCF!R5</f>
        <v>8689.1383479947763</v>
      </c>
      <c r="Q42" s="29">
        <f>DCF!S5</f>
        <v>9177.8217921509913</v>
      </c>
      <c r="R42" s="29">
        <f>DCF!T5</f>
        <v>9693.9891477179972</v>
      </c>
      <c r="S42" s="29">
        <f>DCF!U5</f>
        <v>10239.186129811515</v>
      </c>
      <c r="T42" s="29">
        <f>DCF!V5</f>
        <v>10815.045385686704</v>
      </c>
      <c r="U42" s="29">
        <f>DCF!W5</f>
        <v>11423.291383864744</v>
      </c>
      <c r="W42" s="66" t="str">
        <f t="shared" si="25"/>
        <v>Net income</v>
      </c>
      <c r="X42" s="29">
        <f>DCF!Z5</f>
        <v>9616.1747987700965</v>
      </c>
      <c r="Y42" s="29">
        <f>DCF!AA5</f>
        <v>10858.079784277397</v>
      </c>
      <c r="Z42" s="29">
        <f>DCF!AB5</f>
        <v>12260.373700446102</v>
      </c>
      <c r="AA42" s="29">
        <f>DCF!AC5</f>
        <v>13843.77037754415</v>
      </c>
      <c r="AB42" s="29">
        <f>DCF!AD5</f>
        <v>15631.658785343194</v>
      </c>
      <c r="AC42" s="29">
        <f>DCF!AE5</f>
        <v>17650.448520711732</v>
      </c>
      <c r="AE42" s="66" t="str">
        <f t="shared" si="26"/>
        <v>Net income</v>
      </c>
      <c r="AF42" s="29">
        <f>DCF!AH5</f>
        <v>14795.068246617206</v>
      </c>
      <c r="AG42" s="29">
        <f>DCF!AI5</f>
        <v>15012.081780458988</v>
      </c>
      <c r="AH42" s="29">
        <f>DCF!AJ5</f>
        <v>15232.278461082216</v>
      </c>
      <c r="AI42" s="29">
        <f>DCF!AK5</f>
        <v>15455.704978770456</v>
      </c>
      <c r="AJ42" s="29">
        <f>DCF!AL5</f>
        <v>15682.408708658681</v>
      </c>
      <c r="AK42" s="29">
        <f>DCF!AM5</f>
        <v>15912.437720778671</v>
      </c>
    </row>
  </sheetData>
  <phoneticPr fontId="4" type="noConversion"/>
  <pageMargins left="0.7" right="0.7" top="0.75" bottom="0.75"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8227-BC5D-4A78-AC49-8269698566CB}">
  <dimension ref="A1:N25"/>
  <sheetViews>
    <sheetView workbookViewId="0">
      <selection activeCell="I20" sqref="I20"/>
    </sheetView>
  </sheetViews>
  <sheetFormatPr defaultRowHeight="14.4" x14ac:dyDescent="0.3"/>
  <cols>
    <col min="1" max="1" width="23.109375" style="1" bestFit="1" customWidth="1"/>
    <col min="2" max="4" width="10.88671875" style="4" bestFit="1" customWidth="1"/>
    <col min="5" max="5" width="12.33203125" style="4" bestFit="1" customWidth="1"/>
    <col min="6" max="6" width="10.88671875" style="4" bestFit="1" customWidth="1"/>
    <col min="7" max="7" width="8.88671875" style="1"/>
    <col min="8" max="8" width="16.33203125" style="1" bestFit="1" customWidth="1"/>
    <col min="9" max="14" width="9.88671875" style="4" bestFit="1" customWidth="1"/>
    <col min="15" max="16384" width="8.88671875" style="1"/>
  </cols>
  <sheetData>
    <row r="1" spans="1:14" ht="15" thickBot="1" x14ac:dyDescent="0.35">
      <c r="A1" s="15" t="s">
        <v>41</v>
      </c>
    </row>
    <row r="2" spans="1:14" ht="15" thickBot="1" x14ac:dyDescent="0.35">
      <c r="A2" s="96" t="s">
        <v>42</v>
      </c>
      <c r="B2" s="97" t="s">
        <v>43</v>
      </c>
      <c r="C2" s="97" t="s">
        <v>44</v>
      </c>
      <c r="D2" s="97" t="s">
        <v>119</v>
      </c>
      <c r="E2" s="97" t="s">
        <v>129</v>
      </c>
      <c r="F2" s="98" t="s">
        <v>121</v>
      </c>
    </row>
    <row r="3" spans="1:14" x14ac:dyDescent="0.3">
      <c r="A3" s="90" t="s">
        <v>45</v>
      </c>
      <c r="B3" s="47">
        <f>(Table1[[#This Row],[2024]]/Table1[[#This Row],[2020]])^(1/5)-1</f>
        <v>8.709851457268436E-2</v>
      </c>
      <c r="C3" s="47">
        <f>(Table18[[#This Row],[2024]]/Table18[[#This Row],[2020]])^(1/5)-1</f>
        <v>5.9805847057205153E-2</v>
      </c>
      <c r="D3" s="47">
        <f>(Table15[[#This Row],[2024]]/Table15[[#This Row],[2020]])^(1/5)-1</f>
        <v>5.6240725441895068E-2</v>
      </c>
      <c r="E3" s="47">
        <f>(Table1811[[#This Row],[2024]]/Table1811[[#This Row],[2020]])^(1/5)-1</f>
        <v>0.12914750527061325</v>
      </c>
      <c r="F3" s="99">
        <f>(Table181114[[#This Row],[2024]]/Table181114[[#This Row],[2020]])^(1/5)-1</f>
        <v>1.4667964366531505E-2</v>
      </c>
      <c r="H3" s="15" t="s">
        <v>11</v>
      </c>
      <c r="I3" s="61" t="s">
        <v>36</v>
      </c>
      <c r="J3" s="61" t="s">
        <v>37</v>
      </c>
      <c r="K3" s="61" t="s">
        <v>38</v>
      </c>
      <c r="L3" s="61" t="s">
        <v>39</v>
      </c>
      <c r="M3" s="61" t="s">
        <v>40</v>
      </c>
    </row>
    <row r="4" spans="1:14" x14ac:dyDescent="0.3">
      <c r="A4" s="92" t="s">
        <v>46</v>
      </c>
      <c r="B4" s="44">
        <f>AVERAGE(Financials!B7:F7)/AVERAGE(Financials!B3:F3)</f>
        <v>0.27798480557013722</v>
      </c>
      <c r="C4" s="44">
        <f>AVERAGE(Financials!I7:M7)/AVERAGE(Financials!I3:M3)</f>
        <v>0.21743427625381781</v>
      </c>
      <c r="D4" s="44">
        <f>AVERAGE(Financials!P7:T7)/AVERAGE(Financials!P3:T3)</f>
        <v>0.31964260083249602</v>
      </c>
      <c r="E4" s="44">
        <f>AVERAGE(Financials!X7:AB7)/AVERAGE(Financials!X3:AB3)</f>
        <v>0.24554807232397302</v>
      </c>
      <c r="F4" s="100">
        <f>AVERAGE(Financials!AF7:AJ7)/AVERAGE(Financials!AF3:AJ3)</f>
        <v>0.2131997251180151</v>
      </c>
      <c r="H4" s="1" t="s">
        <v>84</v>
      </c>
      <c r="I4" s="29">
        <f>Financials!B18-Financials!B20</f>
        <v>9147</v>
      </c>
      <c r="J4" s="29">
        <f>Financials!C18-Financials!C20</f>
        <v>17022</v>
      </c>
      <c r="K4" s="29">
        <f>Financials!D18-Financials!D20</f>
        <v>9121</v>
      </c>
      <c r="L4" s="29">
        <f>Financials!E18-Financials!E20</f>
        <v>-4461</v>
      </c>
      <c r="M4" s="29">
        <f>Financials!F18-Financials!F20</f>
        <v>7363</v>
      </c>
    </row>
    <row r="5" spans="1:14" x14ac:dyDescent="0.3">
      <c r="A5" s="92" t="s">
        <v>47</v>
      </c>
      <c r="B5" s="44">
        <f>AVERAGE(Financials!B8:F8)/AVERAGE(Financials!B3:F3)</f>
        <v>5.9889358707377438E-2</v>
      </c>
      <c r="C5" s="44">
        <f>AVERAGE(Financials!I31:M31)/AVERAGE(Financials!I3:M3)</f>
        <v>6.8217823195273031E-2</v>
      </c>
      <c r="D5" s="44">
        <f>AVERAGE(Financials!P31:T31)/AVERAGE(Financials!P3:T3)</f>
        <v>0.14407923065882014</v>
      </c>
      <c r="E5" s="44">
        <f>AVERAGE(Financials!X31:AB31)/AVERAGE(Financials!X3:AB3)</f>
        <v>4.7880503019311627E-2</v>
      </c>
      <c r="F5" s="100">
        <f>AVERAGE(Financials!AF31:AJ31)/AVERAGE(Financials!AF3:AJ3)</f>
        <v>8.1781882043289428E-2</v>
      </c>
      <c r="H5" s="1" t="s">
        <v>85</v>
      </c>
      <c r="I5" s="29">
        <f>Financials!I18-Financials!I20</f>
        <v>437</v>
      </c>
      <c r="J5" s="29">
        <f>Financials!J18-Financials!J20</f>
        <v>6394</v>
      </c>
      <c r="K5" s="29">
        <f>Financials!K18-Financials!K20</f>
        <v>11483</v>
      </c>
      <c r="L5" s="29">
        <f>Financials!L18-Financials!L20</f>
        <v>6474</v>
      </c>
      <c r="M5" s="29">
        <f>Financials!M18-Financials!M20</f>
        <v>10362</v>
      </c>
    </row>
    <row r="6" spans="1:14" x14ac:dyDescent="0.3">
      <c r="A6" s="92" t="s">
        <v>33</v>
      </c>
      <c r="B6" s="44">
        <f>AVERAGE(Financials!B28:F28)/AVERAGE(Financials!B3:F3)</f>
        <v>4.3232594763286475E-2</v>
      </c>
      <c r="C6" s="44">
        <f>AVERAGE(Financials!I28:M28)/AVERAGE(Financials!I3:M3)</f>
        <v>7.3145320126737648E-2</v>
      </c>
      <c r="D6" s="44">
        <f>AVERAGE(Financials!P28:T28)/AVERAGE(Financials!P3:T3)</f>
        <v>3.3242428591933403E-2</v>
      </c>
      <c r="E6" s="44">
        <f>AVERAGE(Financials!X28:AB28)/AVERAGE(Financials!X3:AB3)</f>
        <v>8.1320874105665936E-2</v>
      </c>
      <c r="F6" s="100">
        <f>AVERAGE(Financials!AF28:AJ28)/AVERAGE(Financials!AF3:AJ3)</f>
        <v>4.485921281345305E-2</v>
      </c>
      <c r="H6" s="1" t="s">
        <v>125</v>
      </c>
      <c r="I6" s="29">
        <f>Financials!P18-Financials!P20</f>
        <v>9491</v>
      </c>
      <c r="J6" s="29">
        <f>Financials!Q18-Financials!Q20</f>
        <v>7201</v>
      </c>
      <c r="K6" s="29">
        <f>Financials!R18-Financials!R20</f>
        <v>6499</v>
      </c>
      <c r="L6" s="29">
        <f>Financials!S18-Financials!S20</f>
        <v>11940</v>
      </c>
      <c r="M6" s="29">
        <f>Financials!T18-Financials!T20</f>
        <v>5931</v>
      </c>
    </row>
    <row r="7" spans="1:14" x14ac:dyDescent="0.3">
      <c r="A7" s="92" t="s">
        <v>48</v>
      </c>
      <c r="B7" s="44">
        <f>AVERAGE(I4:M4)/AVERAGE(Financials!B3:F3)</f>
        <v>0.11015673221692154</v>
      </c>
      <c r="C7" s="44">
        <f>AVERAGE(I5:M5)/AVERAGE(Financials!I3:M3)</f>
        <v>0.12541746353438185</v>
      </c>
      <c r="D7" s="44">
        <f>AVERAGE(I6:M6)/AVERAGE(Financials!P3:T3)</f>
        <v>0.29468924931821444</v>
      </c>
      <c r="E7" s="44">
        <f>AVERAGE(Table19[[#This Row],[2020]:[2024]])/AVERAGE(Financials!X3:AB3)</f>
        <v>7.519256830818899E-2</v>
      </c>
      <c r="F7" s="100">
        <f>AVERAGE(I8:M8)/AVERAGE(Financials!AF3:AJ3)</f>
        <v>8.2585866933763324E-2</v>
      </c>
      <c r="H7" s="1" t="s">
        <v>126</v>
      </c>
      <c r="I7" s="29">
        <f>Financials!X18-Financials!X20</f>
        <v>4980.4999999999982</v>
      </c>
      <c r="J7" s="29">
        <f>Financials!Y18-Financials!Y20</f>
        <v>3399.7000000000007</v>
      </c>
      <c r="K7" s="29">
        <f>Financials!Z18-Financials!Z20</f>
        <v>896.29999999999927</v>
      </c>
      <c r="L7" s="29">
        <f>Financials!AA18-Financials!AA20</f>
        <v>-1566.2000000000007</v>
      </c>
      <c r="M7" s="29">
        <f>Financials!AB18-Financials!AB20</f>
        <v>4363.1000000000022</v>
      </c>
    </row>
    <row r="8" spans="1:14" x14ac:dyDescent="0.3">
      <c r="A8" s="92" t="s">
        <v>86</v>
      </c>
      <c r="B8" s="42">
        <v>6</v>
      </c>
      <c r="C8" s="42">
        <v>6</v>
      </c>
      <c r="D8" s="42">
        <v>6</v>
      </c>
      <c r="E8" s="42">
        <v>6</v>
      </c>
      <c r="F8" s="91">
        <v>6</v>
      </c>
      <c r="H8" s="1" t="s">
        <v>127</v>
      </c>
      <c r="I8" s="29">
        <f>Financials!AF18-Financials!AF20</f>
        <v>8744</v>
      </c>
      <c r="J8" s="29">
        <f>Financials!AG18-Financials!AG20</f>
        <v>15753</v>
      </c>
      <c r="K8" s="29">
        <f>Financials!AH18-Financials!AH20</f>
        <v>-508</v>
      </c>
      <c r="L8" s="29">
        <f>Financials!AI18-Financials!AI20</f>
        <v>7213</v>
      </c>
      <c r="M8" s="29">
        <f>Financials!AJ18-Financials!AJ20</f>
        <v>5572</v>
      </c>
    </row>
    <row r="9" spans="1:14" x14ac:dyDescent="0.3">
      <c r="A9" s="92" t="s">
        <v>49</v>
      </c>
      <c r="B9" s="44">
        <v>4.0590000000000001E-2</v>
      </c>
      <c r="C9" s="44">
        <v>4.0590000000000001E-2</v>
      </c>
      <c r="D9" s="44">
        <v>4.0590000000000001E-2</v>
      </c>
      <c r="E9" s="44">
        <v>4.0590000000000001E-2</v>
      </c>
      <c r="F9" s="100">
        <v>4.0590000000000001E-2</v>
      </c>
    </row>
    <row r="10" spans="1:14" x14ac:dyDescent="0.3">
      <c r="A10" s="92" t="s">
        <v>50</v>
      </c>
      <c r="B10" s="44">
        <v>0.05</v>
      </c>
      <c r="C10" s="44">
        <v>0.05</v>
      </c>
      <c r="D10" s="44">
        <v>0.05</v>
      </c>
      <c r="E10" s="44">
        <v>0.05</v>
      </c>
      <c r="F10" s="100">
        <v>0.05</v>
      </c>
    </row>
    <row r="11" spans="1:14" x14ac:dyDescent="0.3">
      <c r="A11" s="92" t="s">
        <v>7</v>
      </c>
      <c r="B11" s="48">
        <f ca="1">'Company Profile'!B9</f>
        <v>0.40799999999999997</v>
      </c>
      <c r="C11" s="48">
        <f ca="1">'Company Profile'!C9</f>
        <v>0.28320000000000001</v>
      </c>
      <c r="D11" s="48">
        <f ca="1">'Company Profile'!D9</f>
        <v>0.4103</v>
      </c>
      <c r="E11" s="48">
        <f ca="1">'Company Profile'!E9</f>
        <v>0.33489999999999998</v>
      </c>
      <c r="F11" s="101">
        <f ca="1">'Company Profile'!F9</f>
        <v>0.3372</v>
      </c>
    </row>
    <row r="12" spans="1:14" x14ac:dyDescent="0.3">
      <c r="A12" s="93" t="s">
        <v>51</v>
      </c>
      <c r="B12" s="45">
        <f ca="1">B9+(B10*B11)</f>
        <v>6.0990000000000003E-2</v>
      </c>
      <c r="C12" s="45">
        <f ca="1">C9+(C10*C11)</f>
        <v>5.475E-2</v>
      </c>
      <c r="D12" s="45">
        <f t="shared" ref="D12:F12" ca="1" si="0">D9+(D10*D11)</f>
        <v>6.1105000000000007E-2</v>
      </c>
      <c r="E12" s="45">
        <f t="shared" ca="1" si="0"/>
        <v>5.7334999999999997E-2</v>
      </c>
      <c r="F12" s="102">
        <f t="shared" ca="1" si="0"/>
        <v>5.7450000000000001E-2</v>
      </c>
      <c r="H12" s="15" t="s">
        <v>11</v>
      </c>
      <c r="I12" s="61" t="s">
        <v>62</v>
      </c>
      <c r="J12" s="61" t="s">
        <v>63</v>
      </c>
      <c r="K12" s="61" t="s">
        <v>64</v>
      </c>
      <c r="L12" s="61" t="s">
        <v>65</v>
      </c>
      <c r="M12" s="61" t="s">
        <v>66</v>
      </c>
      <c r="N12" s="61" t="s">
        <v>67</v>
      </c>
    </row>
    <row r="13" spans="1:14" x14ac:dyDescent="0.3">
      <c r="A13" s="92" t="s">
        <v>52</v>
      </c>
      <c r="B13" s="44">
        <f>AVERAGE(Financials!B9:F9)/AVERAGE(Financials!B22:F22)</f>
        <v>4.3620675880802109E-2</v>
      </c>
      <c r="C13" s="44">
        <f>AVERAGE(Financials!I9:M9)/AVERAGE(Financials!I22:M22)</f>
        <v>2.9901639344262296E-2</v>
      </c>
      <c r="D13" s="44">
        <f>AVERAGE(Financials!P9:T9)/AVERAGE(Financials!P22:T22)</f>
        <v>4.3030719454494847E-2</v>
      </c>
      <c r="E13" s="44">
        <f>AVERAGE(Financials!X9:AB9)/AVERAGE(Financials!X22:AB22)</f>
        <v>2.5076412608748107E-2</v>
      </c>
      <c r="F13" s="100">
        <f>AVERAGE(Financials!AF9:AJ9)/AVERAGE(Financials!AF22:AJ22)</f>
        <v>1.2522760847906001E-2</v>
      </c>
      <c r="H13" s="1" t="s">
        <v>84</v>
      </c>
      <c r="I13" s="29">
        <f>DCF!B3*'Assumptions &amp; WACC'!$B$7</f>
        <v>7619.410872598296</v>
      </c>
      <c r="J13" s="29">
        <f>DCF!C3*'Assumptions &amp; WACC'!$B$7</f>
        <v>8283.0502415205683</v>
      </c>
      <c r="K13" s="29">
        <f>DCF!D3*'Assumptions &amp; WACC'!$B$7</f>
        <v>9004.4916136879237</v>
      </c>
      <c r="L13" s="29">
        <f>DCF!E3*'Assumptions &amp; WACC'!$B$7</f>
        <v>9788.7694577223356</v>
      </c>
      <c r="M13" s="29">
        <f>DCF!F3*'Assumptions &amp; WACC'!$B$7</f>
        <v>10641.356736984413</v>
      </c>
      <c r="N13" s="29">
        <f>DCF!G3*'Assumptions &amp; WACC'!$B$7</f>
        <v>11568.20310181378</v>
      </c>
    </row>
    <row r="14" spans="1:14" x14ac:dyDescent="0.3">
      <c r="A14" s="92" t="s">
        <v>53</v>
      </c>
      <c r="B14" s="44">
        <v>0.23</v>
      </c>
      <c r="C14" s="44">
        <v>0.23</v>
      </c>
      <c r="D14" s="44">
        <v>0.23</v>
      </c>
      <c r="E14" s="44">
        <v>0.23</v>
      </c>
      <c r="F14" s="100">
        <v>0.23</v>
      </c>
      <c r="H14" s="1" t="s">
        <v>85</v>
      </c>
      <c r="I14" s="29">
        <f>DCF!J3*'Assumptions &amp; WACC'!$C$7</f>
        <v>8529.0925663942944</v>
      </c>
      <c r="J14" s="29">
        <f>DCF!K3*'Assumptions &amp; WACC'!$C$7</f>
        <v>9039.1821719568179</v>
      </c>
      <c r="K14" s="29">
        <f>DCF!L3*'Assumptions &amp; WACC'!$C$7</f>
        <v>9579.7781184550822</v>
      </c>
      <c r="L14" s="29">
        <f>DCF!M3*'Assumptions &amp; WACC'!$C$7</f>
        <v>10152.704863449366</v>
      </c>
      <c r="M14" s="29">
        <f>DCF!N3*'Assumptions &amp; WACC'!$C$7</f>
        <v>10759.895977729762</v>
      </c>
      <c r="N14" s="29">
        <f>DCF!O3*'Assumptions &amp; WACC'!$C$7</f>
        <v>11403.400670925304</v>
      </c>
    </row>
    <row r="15" spans="1:14" x14ac:dyDescent="0.3">
      <c r="A15" s="93" t="s">
        <v>54</v>
      </c>
      <c r="B15" s="45">
        <f>B13*(1-B14)</f>
        <v>3.3587920428217628E-2</v>
      </c>
      <c r="C15" s="45">
        <f>C13*(1-C14)</f>
        <v>2.3024262295081969E-2</v>
      </c>
      <c r="D15" s="45">
        <f t="shared" ref="D15:F15" si="1">D13*(1-D14)</f>
        <v>3.3133653979961035E-2</v>
      </c>
      <c r="E15" s="45">
        <f t="shared" si="1"/>
        <v>1.9308837708736044E-2</v>
      </c>
      <c r="F15" s="102">
        <f t="shared" si="1"/>
        <v>9.6425258528876207E-3</v>
      </c>
      <c r="H15" s="1" t="str">
        <f>H6</f>
        <v>WC-Amgen</v>
      </c>
      <c r="I15" s="29">
        <f>DCF!R3*'Assumptions &amp; WACC'!$D$7</f>
        <v>10403.647375300779</v>
      </c>
      <c r="J15" s="29">
        <f>DCF!S3*'Assumptions &amp; WACC'!$D$7</f>
        <v>10988.756050929363</v>
      </c>
      <c r="K15" s="29">
        <f>DCF!T3*'Assumptions &amp; WACC'!$D$7</f>
        <v>11606.771662937645</v>
      </c>
      <c r="L15" s="29">
        <f>DCF!U3*'Assumptions &amp; WACC'!$D$7</f>
        <v>12259.544921299688</v>
      </c>
      <c r="M15" s="29">
        <f>DCF!V3*'Assumptions &amp; WACC'!$D$7</f>
        <v>12949.030621261083</v>
      </c>
      <c r="N15" s="29">
        <f>DCF!W3*'Assumptions &amp; WACC'!$D$7</f>
        <v>13677.29349717012</v>
      </c>
    </row>
    <row r="16" spans="1:14" x14ac:dyDescent="0.3">
      <c r="A16" s="92" t="s">
        <v>6</v>
      </c>
      <c r="B16" s="46">
        <f ca="1">'Company Profile'!B8</f>
        <v>141574.1292</v>
      </c>
      <c r="C16" s="46">
        <f ca="1">'Company Profile'!C8</f>
        <v>235916.1911</v>
      </c>
      <c r="D16" s="46">
        <f ca="1">'Company Profile'!D8</f>
        <v>184375.79167999999</v>
      </c>
      <c r="E16" s="46">
        <f ca="1">'Company Profile'!E8</f>
        <v>991792.690741</v>
      </c>
      <c r="F16" s="103">
        <f ca="1">'Company Profile'!F8</f>
        <v>488267.72470000002</v>
      </c>
      <c r="H16" s="1" t="str">
        <f t="shared" ref="H16:H17" si="2">H7</f>
        <v>WC-LLY</v>
      </c>
      <c r="I16" s="29">
        <f>DCF!Z3*'Assumptions &amp; WACC'!$E$7</f>
        <v>3824.282920892967</v>
      </c>
      <c r="J16" s="29">
        <f>DCF!AA3*'Assumptions &amp; WACC'!$E$7</f>
        <v>4318.1795195753075</v>
      </c>
      <c r="K16" s="29">
        <f>DCF!AB3*'Assumptions &amp; WACC'!$E$7</f>
        <v>4875.8616318391141</v>
      </c>
      <c r="L16" s="29">
        <f>DCF!AC3*'Assumptions &amp; WACC'!$E$7</f>
        <v>5505.5669976358367</v>
      </c>
      <c r="M16" s="29">
        <f>DCF!AD3*'Assumptions &amp; WACC'!$E$7</f>
        <v>6216.5972404807253</v>
      </c>
      <c r="N16" s="29">
        <f>DCF!AE3*'Assumptions &amp; WACC'!$E$7</f>
        <v>7019.4552653609899</v>
      </c>
    </row>
    <row r="17" spans="1:14" x14ac:dyDescent="0.3">
      <c r="A17" s="92" t="s">
        <v>29</v>
      </c>
      <c r="B17" s="46">
        <f>Financials!F22</f>
        <v>64351</v>
      </c>
      <c r="C17" s="46">
        <f>Financials!M22</f>
        <v>37111</v>
      </c>
      <c r="D17" s="105">
        <f>Financials!T22</f>
        <v>60099</v>
      </c>
      <c r="E17" s="105">
        <f>Financials!AB22</f>
        <v>33644.199999999997</v>
      </c>
      <c r="F17" s="106">
        <f>Financials!AJ22</f>
        <v>36634</v>
      </c>
      <c r="H17" s="1" t="str">
        <f t="shared" si="2"/>
        <v>WC-JnJ</v>
      </c>
      <c r="I17" s="29">
        <f>DCF!AH3*'Assumptions &amp; WACC'!$F$7</f>
        <v>7442.9540755600965</v>
      </c>
      <c r="J17" s="29">
        <f>DCF!AI3*'Assumptions &amp; WACC'!$F$7</f>
        <v>7552.1270607221422</v>
      </c>
      <c r="K17" s="29">
        <f>DCF!AJ3*'Assumptions &amp; WACC'!$F$7</f>
        <v>7662.9013913403323</v>
      </c>
      <c r="L17" s="29">
        <f>DCF!AK3*'Assumptions &amp; WACC'!$F$7</f>
        <v>7775.3005558927571</v>
      </c>
      <c r="M17" s="29">
        <f>DCF!AL3*'Assumptions &amp; WACC'!$F$7</f>
        <v>7889.348387385664</v>
      </c>
      <c r="N17" s="29">
        <f>DCF!AM3*'Assumptions &amp; WACC'!$F$7</f>
        <v>8005.0690684069887</v>
      </c>
    </row>
    <row r="18" spans="1:14" x14ac:dyDescent="0.3">
      <c r="A18" s="92" t="s">
        <v>55</v>
      </c>
      <c r="B18" s="46">
        <f ca="1">B16+B17</f>
        <v>205925.1292</v>
      </c>
      <c r="C18" s="46">
        <f ca="1">C16+C17</f>
        <v>273027.1911</v>
      </c>
      <c r="D18" s="46">
        <f t="shared" ref="D18:F18" ca="1" si="3">D16+D17</f>
        <v>244474.79167999999</v>
      </c>
      <c r="E18" s="46">
        <f t="shared" ca="1" si="3"/>
        <v>1025436.890741</v>
      </c>
      <c r="F18" s="103">
        <f t="shared" ca="1" si="3"/>
        <v>524901.72470000002</v>
      </c>
    </row>
    <row r="19" spans="1:14" x14ac:dyDescent="0.3">
      <c r="A19" s="92" t="s">
        <v>56</v>
      </c>
      <c r="B19" s="44">
        <f ca="1">B17/B18</f>
        <v>0.31249707235827728</v>
      </c>
      <c r="C19" s="44">
        <f ca="1">C17/C18</f>
        <v>0.13592419073896408</v>
      </c>
      <c r="D19" s="44">
        <f t="shared" ref="D19:F19" ca="1" si="4">D17/D18</f>
        <v>0.24582902632622053</v>
      </c>
      <c r="E19" s="44">
        <f t="shared" ca="1" si="4"/>
        <v>3.2809625149811089E-2</v>
      </c>
      <c r="F19" s="100">
        <f t="shared" ca="1" si="4"/>
        <v>6.9792112077622967E-2</v>
      </c>
    </row>
    <row r="20" spans="1:14" x14ac:dyDescent="0.3">
      <c r="A20" s="92" t="s">
        <v>57</v>
      </c>
      <c r="B20" s="44">
        <f ca="1">B16/B18</f>
        <v>0.68750292764172272</v>
      </c>
      <c r="C20" s="44">
        <f ca="1">C16/C18</f>
        <v>0.86407580926103589</v>
      </c>
      <c r="D20" s="44">
        <f t="shared" ref="D20:F20" ca="1" si="5">D16/D18</f>
        <v>0.7541709736737795</v>
      </c>
      <c r="E20" s="44">
        <f t="shared" ca="1" si="5"/>
        <v>0.96719037485018899</v>
      </c>
      <c r="F20" s="100">
        <f t="shared" ca="1" si="5"/>
        <v>0.93020788792237707</v>
      </c>
    </row>
    <row r="21" spans="1:14" x14ac:dyDescent="0.3">
      <c r="A21" s="93" t="s">
        <v>58</v>
      </c>
      <c r="B21" s="45">
        <f ca="1">(B12*B20)+(B15*B19)</f>
        <v>5.2426930357289458E-2</v>
      </c>
      <c r="C21" s="45">
        <f ca="1">(C12*C20)+(C15*C19)</f>
        <v>5.0437704776862373E-2</v>
      </c>
      <c r="D21" s="45">
        <f t="shared" ref="D21:F21" ca="1" si="6">(D12*D20)+(D15*D19)</f>
        <v>5.4228831242860022E-2</v>
      </c>
      <c r="E21" s="45">
        <f t="shared" ca="1" si="6"/>
        <v>5.6087375869337749E-2</v>
      </c>
      <c r="F21" s="102">
        <f t="shared" ca="1" si="6"/>
        <v>5.4113415406176674E-2</v>
      </c>
    </row>
    <row r="22" spans="1:14" x14ac:dyDescent="0.3">
      <c r="A22" s="92" t="s">
        <v>59</v>
      </c>
      <c r="B22" s="44">
        <v>2.2499999999999999E-2</v>
      </c>
      <c r="C22" s="44">
        <v>2.2499999999999999E-2</v>
      </c>
      <c r="D22" s="44">
        <v>2.2499999999999999E-2</v>
      </c>
      <c r="E22" s="44">
        <v>2.2499999999999999E-2</v>
      </c>
      <c r="F22" s="100">
        <v>2.2499999999999999E-2</v>
      </c>
    </row>
    <row r="23" spans="1:14" x14ac:dyDescent="0.3">
      <c r="A23" s="92" t="s">
        <v>60</v>
      </c>
      <c r="B23" s="44">
        <f ca="1">1/(1+B21)^6</f>
        <v>0.73594995686546971</v>
      </c>
      <c r="C23" s="44">
        <f ca="1">1/(1+C21)^6</f>
        <v>0.74435170505856285</v>
      </c>
      <c r="D23" s="44">
        <f t="shared" ref="D23:F23" ca="1" si="7">1/(1+D21)^6</f>
        <v>0.72843476528848772</v>
      </c>
      <c r="E23" s="44">
        <f t="shared" ca="1" si="7"/>
        <v>0.72077695474773396</v>
      </c>
      <c r="F23" s="100">
        <f t="shared" ca="1" si="7"/>
        <v>0.72891343820783616</v>
      </c>
    </row>
    <row r="24" spans="1:14" x14ac:dyDescent="0.3">
      <c r="A24" s="92" t="s">
        <v>61</v>
      </c>
      <c r="B24" s="46">
        <f>Financials!F15</f>
        <v>1043</v>
      </c>
      <c r="C24" s="46">
        <f>Financials!M15</f>
        <v>13242</v>
      </c>
      <c r="D24" s="105">
        <f>Financials!T15</f>
        <v>11973</v>
      </c>
      <c r="E24" s="105">
        <f>Financials!AB15</f>
        <v>3268.4</v>
      </c>
      <c r="F24" s="106">
        <f>Financials!AJ15</f>
        <v>24105</v>
      </c>
    </row>
    <row r="25" spans="1:14" ht="15" thickBot="1" x14ac:dyDescent="0.35">
      <c r="A25" s="94" t="s">
        <v>80</v>
      </c>
      <c r="B25" s="95">
        <v>5700</v>
      </c>
      <c r="C25" s="95">
        <f ca="1">'Company Profile'!C6</f>
        <v>2482.0219999999999</v>
      </c>
      <c r="D25" s="95">
        <f ca="1">'Company Profile'!D6</f>
        <v>538.48069999999996</v>
      </c>
      <c r="E25" s="95">
        <f ca="1">'Company Profile'!E6</f>
        <v>945.38379999999995</v>
      </c>
      <c r="F25" s="104">
        <f ca="1">'Company Profile'!F6</f>
        <v>2409.2950000000001</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174DA-E6F9-4A80-85C9-135CF54EA5A0}">
  <dimension ref="A1:AM22"/>
  <sheetViews>
    <sheetView tabSelected="1" topLeftCell="AF1" workbookViewId="0">
      <selection activeCell="AK20" sqref="AK20"/>
    </sheetView>
  </sheetViews>
  <sheetFormatPr defaultRowHeight="14.4" x14ac:dyDescent="0.3"/>
  <cols>
    <col min="1" max="1" width="22.77734375" bestFit="1" customWidth="1"/>
    <col min="2" max="2" width="12.33203125" bestFit="1" customWidth="1"/>
    <col min="3" max="7" width="10.88671875" bestFit="1" customWidth="1"/>
    <col min="9" max="9" width="22.77734375" bestFit="1" customWidth="1"/>
    <col min="10" max="10" width="12.33203125" bestFit="1" customWidth="1"/>
    <col min="11" max="15" width="10.88671875" bestFit="1" customWidth="1"/>
    <col min="17" max="17" width="22.77734375" bestFit="1" customWidth="1"/>
    <col min="18" max="18" width="10.88671875" style="4" bestFit="1" customWidth="1"/>
    <col min="19" max="23" width="9.88671875" style="4" bestFit="1" customWidth="1"/>
    <col min="25" max="25" width="22.77734375" bestFit="1" customWidth="1"/>
    <col min="26" max="26" width="12.33203125" bestFit="1" customWidth="1"/>
    <col min="27" max="31" width="10.88671875" bestFit="1" customWidth="1"/>
    <col min="33" max="33" width="22.77734375" bestFit="1" customWidth="1"/>
    <col min="34" max="34" width="12.33203125" bestFit="1" customWidth="1"/>
    <col min="35" max="39" width="10.88671875" bestFit="1" customWidth="1"/>
  </cols>
  <sheetData>
    <row r="1" spans="1:39" x14ac:dyDescent="0.3">
      <c r="G1" s="32" t="s">
        <v>43</v>
      </c>
      <c r="O1" s="32" t="s">
        <v>44</v>
      </c>
      <c r="W1" s="61" t="s">
        <v>119</v>
      </c>
      <c r="AE1" s="32" t="s">
        <v>129</v>
      </c>
      <c r="AM1" s="32" t="s">
        <v>121</v>
      </c>
    </row>
    <row r="2" spans="1:39" x14ac:dyDescent="0.3">
      <c r="A2" s="1" t="s">
        <v>11</v>
      </c>
      <c r="B2" s="17" t="s">
        <v>62</v>
      </c>
      <c r="C2" s="17" t="s">
        <v>63</v>
      </c>
      <c r="D2" s="17" t="s">
        <v>64</v>
      </c>
      <c r="E2" s="17" t="s">
        <v>65</v>
      </c>
      <c r="F2" s="17" t="s">
        <v>66</v>
      </c>
      <c r="G2" s="17" t="s">
        <v>67</v>
      </c>
      <c r="H2" s="1"/>
      <c r="I2" s="1" t="s">
        <v>11</v>
      </c>
      <c r="J2" s="18" t="s">
        <v>62</v>
      </c>
      <c r="K2" s="18" t="s">
        <v>63</v>
      </c>
      <c r="L2" s="18" t="s">
        <v>64</v>
      </c>
      <c r="M2" s="18" t="s">
        <v>65</v>
      </c>
      <c r="N2" s="18" t="s">
        <v>66</v>
      </c>
      <c r="O2" s="18" t="s">
        <v>67</v>
      </c>
      <c r="Q2" s="1" t="s">
        <v>11</v>
      </c>
      <c r="R2" s="107" t="s">
        <v>62</v>
      </c>
      <c r="S2" s="107" t="s">
        <v>63</v>
      </c>
      <c r="T2" s="107" t="s">
        <v>64</v>
      </c>
      <c r="U2" s="107" t="s">
        <v>65</v>
      </c>
      <c r="V2" s="107" t="s">
        <v>66</v>
      </c>
      <c r="W2" s="107" t="s">
        <v>67</v>
      </c>
      <c r="X2" s="1"/>
      <c r="Y2" s="1" t="s">
        <v>11</v>
      </c>
      <c r="Z2" s="18" t="s">
        <v>62</v>
      </c>
      <c r="AA2" s="18" t="s">
        <v>63</v>
      </c>
      <c r="AB2" s="18" t="s">
        <v>64</v>
      </c>
      <c r="AC2" s="18" t="s">
        <v>65</v>
      </c>
      <c r="AD2" s="18" t="s">
        <v>66</v>
      </c>
      <c r="AE2" s="18" t="s">
        <v>67</v>
      </c>
      <c r="AG2" s="1" t="s">
        <v>11</v>
      </c>
      <c r="AH2" s="17" t="s">
        <v>62</v>
      </c>
      <c r="AI2" s="17" t="s">
        <v>63</v>
      </c>
      <c r="AJ2" s="17" t="s">
        <v>64</v>
      </c>
      <c r="AK2" s="17" t="s">
        <v>65</v>
      </c>
      <c r="AL2" s="17" t="s">
        <v>66</v>
      </c>
      <c r="AM2" s="17" t="s">
        <v>67</v>
      </c>
    </row>
    <row r="3" spans="1:39" x14ac:dyDescent="0.3">
      <c r="A3" s="1" t="s">
        <v>12</v>
      </c>
      <c r="B3" s="19">
        <f>Table1[[#This Row],[2024]]*(1+'Assumptions &amp; WACC'!B3)</f>
        <v>69168.817186716187</v>
      </c>
      <c r="C3" s="19">
        <f>Table9[[#This Row],[2025]]*(1+'Assumptions &amp; WACC'!$B$3)</f>
        <v>75193.318418428724</v>
      </c>
      <c r="D3" s="19">
        <f>Table9[[#This Row],[2026]]*(1+'Assumptions &amp; WACC'!$B$3)</f>
        <v>81742.544758464734</v>
      </c>
      <c r="E3" s="19">
        <f>Table9[[#This Row],[2027]]*(1+'Assumptions &amp; WACC'!$B$3)</f>
        <v>88862.19898431818</v>
      </c>
      <c r="F3" s="19">
        <f>Table9[[#This Row],[2028]]*(1+'Assumptions &amp; WACC'!$B$3)</f>
        <v>96601.9645175146</v>
      </c>
      <c r="G3" s="19">
        <f>Table9[[#This Row],[2029]]*(1+'Assumptions &amp; WACC'!$B$3)</f>
        <v>105015.85213179328</v>
      </c>
      <c r="H3" s="1"/>
      <c r="I3" s="5" t="s">
        <v>12</v>
      </c>
      <c r="J3" s="20">
        <f>Table18[[#This Row],[2024]]*(1+'Assumptions &amp; WACC'!C3)</f>
        <v>68005.621593966745</v>
      </c>
      <c r="K3" s="20">
        <f>Table10[[#This Row],[2025]]*(1+'Assumptions &amp; WACC'!$C$3)</f>
        <v>72072.755398045687</v>
      </c>
      <c r="L3" s="20">
        <f>Table10[[#This Row],[2026]]*(1+'Assumptions &amp; WACC'!$C$3)</f>
        <v>76383.12758437256</v>
      </c>
      <c r="M3" s="20">
        <f>Table10[[#This Row],[2027]]*(1+'Assumptions &amp; WACC'!$C$3)</f>
        <v>80951.285230434529</v>
      </c>
      <c r="N3" s="20">
        <f>Table10[[#This Row],[2028]]*(1+'Assumptions &amp; WACC'!$C$3)</f>
        <v>85792.645414010083</v>
      </c>
      <c r="O3" s="20">
        <f>Table10[[#This Row],[2029]]*(1+'Assumptions &amp; WACC'!$C$3)</f>
        <v>90923.547244273403</v>
      </c>
      <c r="Q3" s="1" t="s">
        <v>12</v>
      </c>
      <c r="R3" s="29">
        <f>Table15[[#This Row],[2024]]*(1+'Assumptions &amp; WACC'!D3)</f>
        <v>35303.790007169904</v>
      </c>
      <c r="S3" s="29">
        <f>Table931[[#This Row],[2025]]*(1+'Assumptions &amp; WACC'!$D$3)</f>
        <v>37289.300768021465</v>
      </c>
      <c r="T3" s="29">
        <f>Table931[[#This Row],[2026]]*(1+'Assumptions &amp; WACC'!$D$3)</f>
        <v>39386.47809443601</v>
      </c>
      <c r="U3" s="29">
        <f>Table931[[#This Row],[2027]]*(1+'Assumptions &amp; WACC'!$D$3)</f>
        <v>41601.602195068401</v>
      </c>
      <c r="V3" s="29">
        <f>Table931[[#This Row],[2028]]*(1+'Assumptions &amp; WACC'!$D$3)</f>
        <v>43941.306482064181</v>
      </c>
      <c r="W3" s="29">
        <f>Table931[[#This Row],[2029]]*(1+'Assumptions &amp; WACC'!$D$3)</f>
        <v>46412.597435480115</v>
      </c>
      <c r="X3" s="1"/>
      <c r="Y3" s="5" t="s">
        <v>12</v>
      </c>
      <c r="Z3" s="20">
        <f>Table1811[[#This Row],[2024]]*(1+'Assumptions &amp; WACC'!E3)</f>
        <v>50859.852335652649</v>
      </c>
      <c r="AA3" s="20">
        <f>Table1032[[#This Row],[2025]]*(1+'Assumptions &amp; WACC'!$E$3)</f>
        <v>57428.275383233959</v>
      </c>
      <c r="AB3" s="20">
        <f>Table1032[[#This Row],[2026]]*(1+'Assumptions &amp; WACC'!$E$3)</f>
        <v>64844.993880972397</v>
      </c>
      <c r="AC3" s="20">
        <f>Table1032[[#This Row],[2027]]*(1+'Assumptions &amp; WACC'!$E$3)</f>
        <v>73219.563069988159</v>
      </c>
      <c r="AD3" s="20">
        <f>Table1032[[#This Row],[2028]]*(1+'Assumptions &amp; WACC'!$E$3)</f>
        <v>82675.686977481455</v>
      </c>
      <c r="AE3" s="20">
        <f>Table1032[[#This Row],[2029]]*(1+'Assumptions &amp; WACC'!$E$3)</f>
        <v>93353.045697157315</v>
      </c>
      <c r="AG3" s="1" t="s">
        <v>12</v>
      </c>
      <c r="AH3" s="19">
        <f>Table181114[[#This Row],[2024]]*(1+'Assumptions &amp; WACC'!F3)</f>
        <v>90123.823262999693</v>
      </c>
      <c r="AI3" s="19">
        <f>Table93135[[#This Row],[2025]]*(1+'Assumptions &amp; WACC'!$F$3)</f>
        <v>91445.756291196958</v>
      </c>
      <c r="AJ3" s="19">
        <f>Table93135[[#This Row],[2026]]*(1+'Assumptions &amp; WACC'!$F$3)</f>
        <v>92787.079385946752</v>
      </c>
      <c r="AK3" s="19">
        <f>Table93135[[#This Row],[2027]]*(1+'Assumptions &amp; WACC'!$F$3)</f>
        <v>94148.076960054343</v>
      </c>
      <c r="AL3" s="19">
        <f>Table93135[[#This Row],[2028]]*(1+'Assumptions &amp; WACC'!$F$3)</f>
        <v>95529.037598081879</v>
      </c>
      <c r="AM3" s="19">
        <f>Table93135[[#This Row],[2029]]*(1+'Assumptions &amp; WACC'!$F$3)</f>
        <v>96930.254117539589</v>
      </c>
    </row>
    <row r="4" spans="1:39" x14ac:dyDescent="0.3">
      <c r="A4" s="1" t="s">
        <v>68</v>
      </c>
      <c r="B4" s="19">
        <f>B3*'Assumptions &amp; WACC'!$B$4</f>
        <v>19227.880197165665</v>
      </c>
      <c r="C4" s="19">
        <f>C3*'Assumptions &amp; WACC'!$B$4</f>
        <v>20902.600000720326</v>
      </c>
      <c r="D4" s="19">
        <f>D3*'Assumptions &amp; WACC'!$B$4</f>
        <v>22723.18541149006</v>
      </c>
      <c r="E4" s="19">
        <f>E3*'Assumptions &amp; WACC'!$B$4</f>
        <v>24702.341107190536</v>
      </c>
      <c r="F4" s="19">
        <f>F3*'Assumptions &amp; WACC'!$B$4</f>
        <v>26853.878324094589</v>
      </c>
      <c r="G4" s="19">
        <f>G3*'Assumptions &amp; WACC'!$B$4</f>
        <v>29192.811236638834</v>
      </c>
      <c r="H4" s="1"/>
      <c r="I4" s="5" t="s">
        <v>68</v>
      </c>
      <c r="J4" s="20">
        <f>J3*'Assumptions &amp; WACC'!$C$4</f>
        <v>14786.753112475164</v>
      </c>
      <c r="K4" s="20">
        <f>K3*'Assumptions &amp; WACC'!$C$4</f>
        <v>15671.087407592504</v>
      </c>
      <c r="L4" s="20">
        <f>L3*'Assumptions &amp; WACC'!$C$4</f>
        <v>16608.310064311074</v>
      </c>
      <c r="M4" s="20">
        <f>M3*'Assumptions &amp; WACC'!$C$4</f>
        <v>17601.584115895901</v>
      </c>
      <c r="N4" s="20">
        <f>N3*'Assumptions &amp; WACC'!$C$4</f>
        <v>18654.261763495702</v>
      </c>
      <c r="O4" s="20">
        <f>O3*'Assumptions &amp; WACC'!$C$4</f>
        <v>19769.8956894884</v>
      </c>
      <c r="Q4" s="1" t="s">
        <v>68</v>
      </c>
      <c r="R4" s="29">
        <f>R3*'Assumptions &amp; WACC'!$D$4</f>
        <v>11284.595257136072</v>
      </c>
      <c r="S4" s="29">
        <f>S3*'Assumptions &amp; WACC'!$D$4</f>
        <v>11919.249080715572</v>
      </c>
      <c r="T4" s="29">
        <f>T3*'Assumptions &amp; WACC'!$D$4</f>
        <v>12589.596295737658</v>
      </c>
      <c r="U4" s="29">
        <f>U3*'Assumptions &amp; WACC'!$D$4</f>
        <v>13297.644324430539</v>
      </c>
      <c r="V4" s="29">
        <f>V3*'Assumptions &amp; WACC'!$D$4</f>
        <v>14045.513487904811</v>
      </c>
      <c r="W4" s="29">
        <f>W3*'Assumptions &amp; WACC'!$D$4</f>
        <v>14835.443355668498</v>
      </c>
      <c r="X4" s="1"/>
      <c r="Y4" s="5" t="s">
        <v>68</v>
      </c>
      <c r="Z4" s="20">
        <f>Z3*'Assumptions &amp; WACC'!$E$4</f>
        <v>12488.538699701425</v>
      </c>
      <c r="AA4" s="20">
        <f>AA3*'Assumptions &amp; WACC'!$E$4</f>
        <v>14101.402317243372</v>
      </c>
      <c r="AB4" s="20">
        <f>AB3*'Assumptions &amp; WACC'!$E$4</f>
        <v>15922.563247332599</v>
      </c>
      <c r="AC4" s="20">
        <f>AC3*'Assumptions &amp; WACC'!$E$4</f>
        <v>17978.922568239155</v>
      </c>
      <c r="AD4" s="20">
        <f>AD3*'Assumptions &amp; WACC'!$E$4</f>
        <v>20300.855565380771</v>
      </c>
      <c r="AE4" s="20">
        <f>AE3*'Assumptions &amp; WACC'!$E$4</f>
        <v>22922.660416508741</v>
      </c>
      <c r="AG4" s="1" t="s">
        <v>68</v>
      </c>
      <c r="AH4" s="19">
        <f>AH3*'Assumptions &amp; WACC'!$F$4</f>
        <v>19214.374346256111</v>
      </c>
      <c r="AI4" s="19">
        <f>AI3*'Assumptions &amp; WACC'!$F$4</f>
        <v>19496.210104492191</v>
      </c>
      <c r="AJ4" s="19">
        <f>AJ3*'Assumptions &amp; WACC'!$F$4</f>
        <v>19782.179819587294</v>
      </c>
      <c r="AK4" s="19">
        <f>AK3*'Assumptions &amp; WACC'!$F$4</f>
        <v>20072.344128273318</v>
      </c>
      <c r="AL4" s="19">
        <f>AL3*'Assumptions &amp; WACC'!$F$4</f>
        <v>20366.764556699585</v>
      </c>
      <c r="AM4" s="19">
        <f>AM3*'Assumptions &amp; WACC'!$F$4</f>
        <v>20665.503533478794</v>
      </c>
    </row>
    <row r="5" spans="1:39" s="110" customFormat="1" x14ac:dyDescent="0.3">
      <c r="A5" s="15" t="s">
        <v>69</v>
      </c>
      <c r="B5" s="22">
        <f>B4*(1-'Assumptions &amp; WACC'!$B$14)</f>
        <v>14805.467751817563</v>
      </c>
      <c r="C5" s="22">
        <f>C4*(1-'Assumptions &amp; WACC'!$B$14)</f>
        <v>16095.00200055465</v>
      </c>
      <c r="D5" s="22">
        <f>D4*(1-'Assumptions &amp; WACC'!$B$14)</f>
        <v>17496.852766847347</v>
      </c>
      <c r="E5" s="22">
        <f>E4*(1-'Assumptions &amp; WACC'!$B$14)</f>
        <v>19020.802652536713</v>
      </c>
      <c r="F5" s="22">
        <f>F4*(1-'Assumptions &amp; WACC'!$B$14)</f>
        <v>20677.486309552834</v>
      </c>
      <c r="G5" s="22">
        <f>G4*(1-'Assumptions &amp; WACC'!$B$14)</f>
        <v>22478.464652211904</v>
      </c>
      <c r="H5" s="15"/>
      <c r="I5" s="108" t="s">
        <v>69</v>
      </c>
      <c r="J5" s="109">
        <f>J4*(1-'Assumptions &amp; WACC'!$C$14)</f>
        <v>11385.799896605877</v>
      </c>
      <c r="K5" s="109">
        <f>K4*(1-'Assumptions &amp; WACC'!$C$14)</f>
        <v>12066.737303846228</v>
      </c>
      <c r="L5" s="109">
        <f>L4*(1-'Assumptions &amp; WACC'!$C$14)</f>
        <v>12788.398749519527</v>
      </c>
      <c r="M5" s="109">
        <f>M4*(1-'Assumptions &amp; WACC'!$C$14)</f>
        <v>13553.219769239844</v>
      </c>
      <c r="N5" s="109">
        <f>N4*(1-'Assumptions &amp; WACC'!$C$14)</f>
        <v>14363.781557891691</v>
      </c>
      <c r="O5" s="109">
        <f>O4*(1-'Assumptions &amp; WACC'!$C$14)</f>
        <v>15222.819680906068</v>
      </c>
      <c r="Q5" s="15" t="s">
        <v>69</v>
      </c>
      <c r="R5" s="62">
        <f>R4*(1-'Assumptions &amp; WACC'!$B$14)</f>
        <v>8689.1383479947763</v>
      </c>
      <c r="S5" s="62">
        <f>S4*(1-'Assumptions &amp; WACC'!$B$14)</f>
        <v>9177.8217921509913</v>
      </c>
      <c r="T5" s="62">
        <f>T4*(1-'Assumptions &amp; WACC'!$B$14)</f>
        <v>9693.9891477179972</v>
      </c>
      <c r="U5" s="62">
        <f>U4*(1-'Assumptions &amp; WACC'!$B$14)</f>
        <v>10239.186129811515</v>
      </c>
      <c r="V5" s="62">
        <f>V4*(1-'Assumptions &amp; WACC'!$B$14)</f>
        <v>10815.045385686704</v>
      </c>
      <c r="W5" s="62">
        <f>W4*(1-'Assumptions &amp; WACC'!$B$14)</f>
        <v>11423.291383864744</v>
      </c>
      <c r="X5" s="15"/>
      <c r="Y5" s="108" t="s">
        <v>69</v>
      </c>
      <c r="Z5" s="109">
        <f>Z4*(1-'Assumptions &amp; WACC'!$C$14)</f>
        <v>9616.1747987700965</v>
      </c>
      <c r="AA5" s="109">
        <f>AA4*(1-'Assumptions &amp; WACC'!$C$14)</f>
        <v>10858.079784277397</v>
      </c>
      <c r="AB5" s="109">
        <f>AB4*(1-'Assumptions &amp; WACC'!$C$14)</f>
        <v>12260.373700446102</v>
      </c>
      <c r="AC5" s="109">
        <f>AC4*(1-'Assumptions &amp; WACC'!$C$14)</f>
        <v>13843.77037754415</v>
      </c>
      <c r="AD5" s="109">
        <f>AD4*(1-'Assumptions &amp; WACC'!$C$14)</f>
        <v>15631.658785343194</v>
      </c>
      <c r="AE5" s="109">
        <f>AE4*(1-'Assumptions &amp; WACC'!$C$14)</f>
        <v>17650.448520711732</v>
      </c>
      <c r="AG5" s="15" t="s">
        <v>69</v>
      </c>
      <c r="AH5" s="22">
        <f>AH4*(1-'Assumptions &amp; WACC'!$B$14)</f>
        <v>14795.068246617206</v>
      </c>
      <c r="AI5" s="22">
        <f>AI4*(1-'Assumptions &amp; WACC'!$B$14)</f>
        <v>15012.081780458988</v>
      </c>
      <c r="AJ5" s="22">
        <f>AJ4*(1-'Assumptions &amp; WACC'!$B$14)</f>
        <v>15232.278461082216</v>
      </c>
      <c r="AK5" s="22">
        <f>AK4*(1-'Assumptions &amp; WACC'!$B$14)</f>
        <v>15455.704978770456</v>
      </c>
      <c r="AL5" s="22">
        <f>AL4*(1-'Assumptions &amp; WACC'!$B$14)</f>
        <v>15682.408708658681</v>
      </c>
      <c r="AM5" s="22">
        <f>AM4*(1-'Assumptions &amp; WACC'!$B$14)</f>
        <v>15912.437720778671</v>
      </c>
    </row>
    <row r="6" spans="1:39" x14ac:dyDescent="0.3">
      <c r="A6" s="1" t="s">
        <v>47</v>
      </c>
      <c r="B6" s="19">
        <f>B3*'Assumptions &amp; WACC'!$B$5</f>
        <v>4142.4761038602592</v>
      </c>
      <c r="C6" s="19">
        <f>C3*'Assumptions &amp; WACC'!$B$5</f>
        <v>4503.2796191593288</v>
      </c>
      <c r="D6" s="19">
        <f>D3*'Assumptions &amp; WACC'!$B$5</f>
        <v>4895.5085846935499</v>
      </c>
      <c r="E6" s="19">
        <f>E3*'Assumptions &amp; WACC'!$B$5</f>
        <v>5321.9001104981826</v>
      </c>
      <c r="F6" s="19">
        <f>F3*'Assumptions &amp; WACC'!$B$5</f>
        <v>5785.429704826779</v>
      </c>
      <c r="G6" s="19">
        <f>G3*'Assumptions &amp; WACC'!$B$5</f>
        <v>6289.3320382818747</v>
      </c>
      <c r="H6" s="1"/>
      <c r="I6" s="5" t="s">
        <v>47</v>
      </c>
      <c r="J6" s="20">
        <f>J3*'Assumptions &amp; WACC'!$C$5</f>
        <v>4639.1954701818649</v>
      </c>
      <c r="K6" s="20">
        <f>K3*'Assumptions &amp; WACC'!$C$5</f>
        <v>4916.6464849400409</v>
      </c>
      <c r="L6" s="20">
        <f>L3*'Assumptions &amp; WACC'!$C$5</f>
        <v>5210.6906926527099</v>
      </c>
      <c r="M6" s="20">
        <f>M3*'Assumptions &amp; WACC'!$C$5</f>
        <v>5522.3204632798997</v>
      </c>
      <c r="N6" s="20">
        <f>N3*'Assumptions &amp; WACC'!$C$5</f>
        <v>5852.5875163076917</v>
      </c>
      <c r="O6" s="20">
        <f>O3*'Assumptions &amp; WACC'!$C$5</f>
        <v>6202.6064701968971</v>
      </c>
      <c r="Q6" s="1" t="s">
        <v>47</v>
      </c>
      <c r="R6" s="29">
        <f>R3*'Assumptions &amp; WACC'!$D$5</f>
        <v>5086.5429035735824</v>
      </c>
      <c r="S6" s="29">
        <f>S3*'Assumptions &amp; WACC'!$D$5</f>
        <v>5372.6137664618836</v>
      </c>
      <c r="T6" s="29">
        <f>T3*'Assumptions &amp; WACC'!$D$5</f>
        <v>5674.7734622068128</v>
      </c>
      <c r="U6" s="29">
        <f>U3*'Assumptions &amp; WACC'!$D$5</f>
        <v>5993.9268384397383</v>
      </c>
      <c r="V6" s="29">
        <f>V3*'Assumptions &amp; WACC'!$D$5</f>
        <v>6331.029632079234</v>
      </c>
      <c r="W6" s="29">
        <f>W3*'Assumptions &amp; WACC'!$D$5</f>
        <v>6687.0913313815036</v>
      </c>
      <c r="X6" s="1"/>
      <c r="Y6" s="5" t="s">
        <v>47</v>
      </c>
      <c r="Z6" s="20">
        <f>Z3*'Assumptions &amp; WACC'!$E$5</f>
        <v>2435.19531331896</v>
      </c>
      <c r="AA6" s="20">
        <f>AA3*'Assumptions &amp; WACC'!$E$5</f>
        <v>2749.6947128807933</v>
      </c>
      <c r="AB6" s="20">
        <f>AB3*'Assumptions &amp; WACC'!$E$5</f>
        <v>3104.810925305143</v>
      </c>
      <c r="AC6" s="20">
        <f>AC3*'Assumptions &amp; WACC'!$E$5</f>
        <v>3505.7895106452461</v>
      </c>
      <c r="AD6" s="20">
        <f>AD3*'Assumptions &amp; WACC'!$E$5</f>
        <v>3958.5534799489637</v>
      </c>
      <c r="AE6" s="20">
        <f>AE3*'Assumptions &amp; WACC'!$E$5</f>
        <v>4469.7907863646769</v>
      </c>
      <c r="AG6" s="1" t="s">
        <v>47</v>
      </c>
      <c r="AH6" s="19">
        <f>AH3*'Assumptions &amp; WACC'!$F$5</f>
        <v>7370.495883384905</v>
      </c>
      <c r="AI6" s="19">
        <f>AI3*'Assumptions &amp; WACC'!$F$5</f>
        <v>7478.6060543660615</v>
      </c>
      <c r="AJ6" s="19">
        <f>AJ3*'Assumptions &amp; WACC'!$F$5</f>
        <v>7588.3019814828294</v>
      </c>
      <c r="AK6" s="19">
        <f>AK3*'Assumptions &amp; WACC'!$F$5</f>
        <v>7699.6069245496992</v>
      </c>
      <c r="AL6" s="19">
        <f>AL3*'Assumptions &amp; WACC'!$F$5</f>
        <v>7812.5444845552929</v>
      </c>
      <c r="AM6" s="19">
        <f>AM3*'Assumptions &amp; WACC'!$F$5</f>
        <v>7927.1386086666917</v>
      </c>
    </row>
    <row r="7" spans="1:39" x14ac:dyDescent="0.3">
      <c r="A7" s="1" t="s">
        <v>33</v>
      </c>
      <c r="B7" s="19">
        <f>B3*'Assumptions &amp; WACC'!$B$6</f>
        <v>2990.3474436891456</v>
      </c>
      <c r="C7" s="19">
        <f>C3*'Assumptions &amp; WACC'!$B$6</f>
        <v>3250.8022640906943</v>
      </c>
      <c r="D7" s="19">
        <f>D3*'Assumptions &amp; WACC'!$B$6</f>
        <v>3533.9423124625127</v>
      </c>
      <c r="E7" s="19">
        <f>E3*'Assumptions &amp; WACC'!$B$6</f>
        <v>3841.7434384635549</v>
      </c>
      <c r="F7" s="19">
        <f>F3*'Assumptions &amp; WACC'!$B$6</f>
        <v>4176.3535853230878</v>
      </c>
      <c r="G7" s="19">
        <f>G3*'Assumptions &amp; WACC'!$B$6</f>
        <v>4540.1077789350329</v>
      </c>
      <c r="H7" s="1"/>
      <c r="I7" s="5" t="s">
        <v>33</v>
      </c>
      <c r="J7" s="20">
        <f>J3*'Assumptions &amp; WACC'!$C$6</f>
        <v>4974.2929619084798</v>
      </c>
      <c r="K7" s="20">
        <f>K3*'Assumptions &amp; WACC'!$C$6</f>
        <v>5271.7847660061107</v>
      </c>
      <c r="L7" s="20">
        <f>L3*'Assumptions &amp; WACC'!$C$6</f>
        <v>5587.0683194403755</v>
      </c>
      <c r="M7" s="20">
        <f>M3*'Assumptions &amp; WACC'!$C$6</f>
        <v>5921.2076728509828</v>
      </c>
      <c r="N7" s="20">
        <f>N3*'Assumptions &amp; WACC'!$C$6</f>
        <v>6275.330513327458</v>
      </c>
      <c r="O7" s="20">
        <f>O3*'Assumptions &amp; WACC'!$C$6</f>
        <v>6650.6319702409328</v>
      </c>
      <c r="Q7" s="1" t="s">
        <v>33</v>
      </c>
      <c r="R7" s="29">
        <f>R3*'Assumptions &amp; WACC'!$D$6</f>
        <v>1173.5837183379576</v>
      </c>
      <c r="S7" s="29">
        <f>S3*'Assumptions &amp; WACC'!$D$6</f>
        <v>1239.5869180240809</v>
      </c>
      <c r="T7" s="29">
        <f>T3*'Assumptions &amp; WACC'!$D$6</f>
        <v>1309.3021855420382</v>
      </c>
      <c r="U7" s="29">
        <f>U3*'Assumptions &amp; WACC'!$D$6</f>
        <v>1382.9382902795812</v>
      </c>
      <c r="V7" s="29">
        <f>V3*'Assumptions &amp; WACC'!$D$6</f>
        <v>1460.7157429662789</v>
      </c>
      <c r="W7" s="29">
        <f>W3*'Assumptions &amp; WACC'!$D$6</f>
        <v>1542.8674560150992</v>
      </c>
      <c r="X7" s="1"/>
      <c r="Y7" s="5" t="s">
        <v>33</v>
      </c>
      <c r="Z7" s="20">
        <f>Z3*'Assumptions &amp; WACC'!$E$6</f>
        <v>4135.9676488203686</v>
      </c>
      <c r="AA7" s="20">
        <f>AA3*'Assumptions &amp; WACC'!$E$6</f>
        <v>4670.1175525454828</v>
      </c>
      <c r="AB7" s="20">
        <f>AB3*'Assumptions &amp; WACC'!$E$6</f>
        <v>5273.2515837772344</v>
      </c>
      <c r="AC7" s="20">
        <f>AC3*'Assumptions &amp; WACC'!$E$6</f>
        <v>5954.2788704863742</v>
      </c>
      <c r="AD7" s="20">
        <f>AD3*'Assumptions &amp; WACC'!$E$6</f>
        <v>6723.2591322952139</v>
      </c>
      <c r="AE7" s="20">
        <f>AE3*'Assumptions &amp; WACC'!$E$6</f>
        <v>7591.5512765190088</v>
      </c>
      <c r="AG7" s="1" t="s">
        <v>33</v>
      </c>
      <c r="AH7" s="19">
        <f>AH3*'Assumptions &amp; WACC'!$F$6</f>
        <v>4042.8837673169342</v>
      </c>
      <c r="AI7" s="19">
        <f>AI3*'Assumptions &amp; WACC'!$F$6</f>
        <v>4102.1846423539673</v>
      </c>
      <c r="AJ7" s="19">
        <f>AJ3*'Assumptions &amp; WACC'!$F$6</f>
        <v>4162.3553405129478</v>
      </c>
      <c r="AK7" s="19">
        <f>AK3*'Assumptions &amp; WACC'!$F$6</f>
        <v>4223.4086203284332</v>
      </c>
      <c r="AL7" s="19">
        <f>AL3*'Assumptions &amp; WACC'!$F$6</f>
        <v>4285.3574274767125</v>
      </c>
      <c r="AM7" s="19">
        <f>AM3*'Assumptions &amp; WACC'!$F$6</f>
        <v>4348.214897520792</v>
      </c>
    </row>
    <row r="8" spans="1:39" x14ac:dyDescent="0.3">
      <c r="A8" s="21" t="s">
        <v>70</v>
      </c>
      <c r="B8" s="19">
        <f>'Assumptions &amp; WACC'!I13-'Assumptions &amp; WACC'!M4</f>
        <v>256.41087259829601</v>
      </c>
      <c r="C8" s="19">
        <f>'Assumptions &amp; WACC'!J13-'Assumptions &amp; WACC'!I13</f>
        <v>663.6393689222723</v>
      </c>
      <c r="D8" s="19">
        <f>'Assumptions &amp; WACC'!K13-'Assumptions &amp; WACC'!J13</f>
        <v>721.44137216735544</v>
      </c>
      <c r="E8" s="19">
        <f>'Assumptions &amp; WACC'!L13-'Assumptions &amp; WACC'!K13</f>
        <v>784.27784403441183</v>
      </c>
      <c r="F8" s="19">
        <f>'Assumptions &amp; WACC'!M13-'Assumptions &amp; WACC'!L13</f>
        <v>852.58727926207757</v>
      </c>
      <c r="G8" s="19">
        <f>'Assumptions &amp; WACC'!N13-'Assumptions &amp; WACC'!M13</f>
        <v>926.8463648293673</v>
      </c>
      <c r="H8" s="1"/>
      <c r="I8" s="5" t="s">
        <v>70</v>
      </c>
      <c r="J8" s="20">
        <f>'Assumptions &amp; WACC'!I14-'Assumptions &amp; WACC'!M5</f>
        <v>-1832.9074336057056</v>
      </c>
      <c r="K8" s="20">
        <f>'Assumptions &amp; WACC'!J14-'Assumptions &amp; WACC'!I14</f>
        <v>510.0896055625235</v>
      </c>
      <c r="L8" s="20">
        <f>'Assumptions &amp; WACC'!K14-'Assumptions &amp; WACC'!J14</f>
        <v>540.59594649826431</v>
      </c>
      <c r="M8" s="20">
        <f>'Assumptions &amp; WACC'!L14-'Assumptions &amp; WACC'!K14</f>
        <v>572.92674499428358</v>
      </c>
      <c r="N8" s="20">
        <f>'Assumptions &amp; WACC'!M14-'Assumptions &amp; WACC'!L14</f>
        <v>607.1911142803965</v>
      </c>
      <c r="O8" s="20">
        <f>'Assumptions &amp; WACC'!N14-'Assumptions &amp; WACC'!M14</f>
        <v>643.50469319554213</v>
      </c>
      <c r="Q8" s="21" t="s">
        <v>70</v>
      </c>
      <c r="R8" s="29">
        <f>'Assumptions &amp; WACC'!I15-'Assumptions &amp; WACC'!M6</f>
        <v>4472.6473753007795</v>
      </c>
      <c r="S8" s="29">
        <f>'Assumptions &amp; WACC'!J15-'Assumptions &amp; WACC'!I15</f>
        <v>585.10867562858402</v>
      </c>
      <c r="T8" s="29">
        <f>'Assumptions &amp; WACC'!K15-'Assumptions &amp; WACC'!J15</f>
        <v>618.0156120082811</v>
      </c>
      <c r="U8" s="29">
        <f>'Assumptions &amp; WACC'!L15-'Assumptions &amp; WACC'!K15</f>
        <v>652.77325836204363</v>
      </c>
      <c r="V8" s="29">
        <f>'Assumptions &amp; WACC'!M15-'Assumptions &amp; WACC'!L15</f>
        <v>689.48569996139486</v>
      </c>
      <c r="W8" s="29">
        <f>'Assumptions &amp; WACC'!N15-'Assumptions &amp; WACC'!M15</f>
        <v>728.26287590903667</v>
      </c>
      <c r="X8" s="1"/>
      <c r="Y8" s="5" t="s">
        <v>70</v>
      </c>
      <c r="Z8" s="20">
        <f>'Assumptions &amp; WACC'!I16-'Assumptions &amp; WACC'!M7</f>
        <v>-538.81707910703517</v>
      </c>
      <c r="AA8" s="20">
        <f>'Assumptions &amp; WACC'!J16-'Assumptions &amp; WACC'!I16</f>
        <v>493.89659868234048</v>
      </c>
      <c r="AB8" s="20">
        <f>'Assumptions &amp; WACC'!K16-'Assumptions &amp; WACC'!J16</f>
        <v>557.68211226380663</v>
      </c>
      <c r="AC8" s="20">
        <f>'Assumptions &amp; WACC'!L16-'Assumptions &amp; WACC'!K16</f>
        <v>629.70536579672262</v>
      </c>
      <c r="AD8" s="20">
        <f>'Assumptions &amp; WACC'!M16-'Assumptions &amp; WACC'!L16</f>
        <v>711.03024284488856</v>
      </c>
      <c r="AE8" s="20">
        <f>'Assumptions &amp; WACC'!N16-'Assumptions &amp; WACC'!M16</f>
        <v>802.85802488026457</v>
      </c>
      <c r="AG8" s="21" t="s">
        <v>70</v>
      </c>
      <c r="AH8" s="19">
        <f>'Assumptions &amp; WACC'!I17-Table19[[#This Row],[2024]]</f>
        <v>1870.9540755600965</v>
      </c>
      <c r="AI8" s="19">
        <f>'Assumptions &amp; WACC'!J17-'Assumptions &amp; WACC'!I17</f>
        <v>109.17298516204573</v>
      </c>
      <c r="AJ8" s="19">
        <f>'Assumptions &amp; WACC'!K17-'Assumptions &amp; WACC'!J17</f>
        <v>110.77433061819011</v>
      </c>
      <c r="AK8" s="19">
        <f>'Assumptions &amp; WACC'!L17-'Assumptions &amp; WACC'!K17</f>
        <v>112.39916455242474</v>
      </c>
      <c r="AL8" s="19">
        <f>'Assumptions &amp; WACC'!M17-'Assumptions &amp; WACC'!L17</f>
        <v>114.04783149290688</v>
      </c>
      <c r="AM8" s="19">
        <f>'Assumptions &amp; WACC'!N17-'Assumptions &amp; WACC'!M17</f>
        <v>115.72068102132471</v>
      </c>
    </row>
    <row r="9" spans="1:39" x14ac:dyDescent="0.3">
      <c r="A9" s="15" t="s">
        <v>71</v>
      </c>
      <c r="B9" s="22">
        <f>B5+B6-B7-B8</f>
        <v>15701.185539390382</v>
      </c>
      <c r="C9" s="22">
        <f t="shared" ref="C9:G9" si="0">C5+C6-C7-C8</f>
        <v>16683.839986701016</v>
      </c>
      <c r="D9" s="22">
        <f t="shared" si="0"/>
        <v>18136.977666911029</v>
      </c>
      <c r="E9" s="22">
        <f t="shared" si="0"/>
        <v>19716.681480536929</v>
      </c>
      <c r="F9" s="22">
        <f t="shared" si="0"/>
        <v>21433.975149794445</v>
      </c>
      <c r="G9" s="22">
        <f t="shared" si="0"/>
        <v>23300.842546729378</v>
      </c>
      <c r="H9" s="1"/>
      <c r="I9" s="23" t="s">
        <v>71</v>
      </c>
      <c r="J9" s="24">
        <f>J5+J6-J7-J8</f>
        <v>12883.609838484968</v>
      </c>
      <c r="K9" s="24">
        <f t="shared" ref="K9:O9" si="1">K5+K6-K7-K8</f>
        <v>11201.509417217634</v>
      </c>
      <c r="L9" s="24">
        <f t="shared" si="1"/>
        <v>11871.425176233597</v>
      </c>
      <c r="M9" s="24">
        <f t="shared" si="1"/>
        <v>12581.405814674477</v>
      </c>
      <c r="N9" s="24">
        <f t="shared" si="1"/>
        <v>13333.847446591526</v>
      </c>
      <c r="O9" s="24">
        <f t="shared" si="1"/>
        <v>14131.28948766649</v>
      </c>
      <c r="Q9" s="15" t="s">
        <v>71</v>
      </c>
      <c r="R9" s="62">
        <f>R5+R6-R7-R8</f>
        <v>8129.4501579296229</v>
      </c>
      <c r="S9" s="62">
        <f t="shared" ref="S9:W9" si="2">S5+S6-S7-S8</f>
        <v>12725.73996496021</v>
      </c>
      <c r="T9" s="62">
        <f t="shared" si="2"/>
        <v>13441.444812374491</v>
      </c>
      <c r="U9" s="62">
        <f t="shared" si="2"/>
        <v>14197.401419609629</v>
      </c>
      <c r="V9" s="62">
        <f t="shared" si="2"/>
        <v>14995.873574838266</v>
      </c>
      <c r="W9" s="62">
        <f t="shared" si="2"/>
        <v>15839.252383322113</v>
      </c>
      <c r="X9" s="1"/>
      <c r="Y9" s="23" t="s">
        <v>71</v>
      </c>
      <c r="Z9" s="24">
        <f>Z5+Z6-Z7-Z8</f>
        <v>8454.2195423757221</v>
      </c>
      <c r="AA9" s="24">
        <f t="shared" ref="AA9:AE9" si="3">AA5+AA6-AA7-AA8</f>
        <v>8443.7603459303664</v>
      </c>
      <c r="AB9" s="24">
        <f t="shared" si="3"/>
        <v>9534.2509297102042</v>
      </c>
      <c r="AC9" s="24">
        <f t="shared" si="3"/>
        <v>10765.5756519063</v>
      </c>
      <c r="AD9" s="24">
        <f t="shared" si="3"/>
        <v>12155.922890152055</v>
      </c>
      <c r="AE9" s="24">
        <f t="shared" si="3"/>
        <v>13725.830005677135</v>
      </c>
      <c r="AG9" s="15" t="s">
        <v>71</v>
      </c>
      <c r="AH9" s="22">
        <f>AH5+AH6-AH7-AH8</f>
        <v>16251.726287125079</v>
      </c>
      <c r="AI9" s="22">
        <f t="shared" ref="AI9:AM9" si="4">AI5+AI6-AI7-AI8</f>
        <v>18279.330207309038</v>
      </c>
      <c r="AJ9" s="22">
        <f t="shared" si="4"/>
        <v>18547.450771433909</v>
      </c>
      <c r="AK9" s="22">
        <f t="shared" si="4"/>
        <v>18819.504118439294</v>
      </c>
      <c r="AL9" s="22">
        <f t="shared" si="4"/>
        <v>19095.547934244354</v>
      </c>
      <c r="AM9" s="22">
        <f t="shared" si="4"/>
        <v>19375.640750903247</v>
      </c>
    </row>
    <row r="10" spans="1:39" x14ac:dyDescent="0.3">
      <c r="A10" s="16"/>
      <c r="B10" s="25"/>
      <c r="C10" s="25"/>
      <c r="D10" s="25"/>
      <c r="E10" s="25"/>
      <c r="F10" s="25"/>
      <c r="G10" s="25"/>
      <c r="H10" s="15"/>
      <c r="I10" s="15"/>
      <c r="J10" s="26"/>
      <c r="K10" s="26"/>
      <c r="L10" s="26"/>
      <c r="M10" s="26"/>
      <c r="N10" s="26"/>
      <c r="O10" s="26"/>
      <c r="Q10" s="16"/>
      <c r="R10" s="62"/>
      <c r="S10" s="62"/>
      <c r="T10" s="62"/>
      <c r="U10" s="62"/>
      <c r="V10" s="62"/>
      <c r="W10" s="62"/>
      <c r="X10" s="15"/>
      <c r="Y10" s="15"/>
      <c r="Z10" s="26"/>
      <c r="AA10" s="26"/>
      <c r="AB10" s="26"/>
      <c r="AC10" s="26"/>
      <c r="AD10" s="26"/>
      <c r="AE10" s="26"/>
      <c r="AG10" s="16"/>
      <c r="AH10" s="25"/>
      <c r="AI10" s="25"/>
      <c r="AJ10" s="25"/>
      <c r="AK10" s="25"/>
      <c r="AL10" s="25"/>
      <c r="AM10" s="25"/>
    </row>
    <row r="11" spans="1:39" x14ac:dyDescent="0.3">
      <c r="A11" s="1"/>
      <c r="B11" s="1"/>
      <c r="C11" s="1"/>
      <c r="D11" s="1"/>
      <c r="E11" s="1"/>
      <c r="F11" s="1"/>
      <c r="G11" s="1"/>
      <c r="H11" s="1"/>
      <c r="I11" s="1"/>
      <c r="J11" s="14"/>
      <c r="K11" s="14"/>
      <c r="L11" s="14"/>
      <c r="M11" s="14"/>
      <c r="N11" s="14"/>
      <c r="O11" s="14"/>
      <c r="Q11" s="1"/>
      <c r="X11" s="1"/>
      <c r="Y11" s="1"/>
      <c r="Z11" s="14"/>
      <c r="AA11" s="14"/>
      <c r="AB11" s="14"/>
      <c r="AC11" s="14"/>
      <c r="AD11" s="14"/>
      <c r="AE11" s="14"/>
      <c r="AG11" s="1"/>
      <c r="AH11" s="1"/>
      <c r="AI11" s="1"/>
      <c r="AJ11" s="1"/>
      <c r="AK11" s="1"/>
      <c r="AL11" s="1"/>
      <c r="AM11" s="1"/>
    </row>
    <row r="12" spans="1:39" x14ac:dyDescent="0.3">
      <c r="A12" s="1" t="s">
        <v>72</v>
      </c>
      <c r="B12" s="14" t="s">
        <v>73</v>
      </c>
      <c r="C12" s="1"/>
      <c r="D12" s="1"/>
      <c r="E12" s="1"/>
      <c r="F12" s="1"/>
      <c r="G12" s="1"/>
      <c r="H12" s="1"/>
      <c r="I12" s="1" t="s">
        <v>72</v>
      </c>
      <c r="J12" s="14" t="s">
        <v>73</v>
      </c>
      <c r="K12" s="14"/>
      <c r="L12" s="14"/>
      <c r="M12" s="14"/>
      <c r="N12" s="14"/>
      <c r="O12" s="14"/>
      <c r="Q12" s="1" t="s">
        <v>72</v>
      </c>
      <c r="R12" s="4" t="s">
        <v>73</v>
      </c>
      <c r="X12" s="1"/>
      <c r="Y12" s="1" t="s">
        <v>72</v>
      </c>
      <c r="Z12" s="14" t="s">
        <v>73</v>
      </c>
      <c r="AA12" s="14"/>
      <c r="AB12" s="14"/>
      <c r="AC12" s="14"/>
      <c r="AD12" s="14"/>
      <c r="AE12" s="14"/>
      <c r="AG12" s="1" t="s">
        <v>72</v>
      </c>
      <c r="AH12" s="14" t="s">
        <v>73</v>
      </c>
      <c r="AI12" s="1"/>
      <c r="AJ12" s="1"/>
      <c r="AK12" s="1"/>
      <c r="AL12" s="1"/>
      <c r="AM12" s="1"/>
    </row>
    <row r="13" spans="1:39" x14ac:dyDescent="0.3">
      <c r="A13" s="1" t="s">
        <v>74</v>
      </c>
      <c r="B13" s="30">
        <f ca="1">G9*(1+'Assumptions &amp; WACC'!B22)/('Assumptions &amp; WACC'!B21-'Assumptions &amp; WACC'!B22)</f>
        <v>796109.4311908799</v>
      </c>
      <c r="C13" s="1"/>
      <c r="D13" s="1"/>
      <c r="E13" s="1"/>
      <c r="F13" s="1"/>
      <c r="G13" s="1"/>
      <c r="H13" s="1"/>
      <c r="I13" s="5" t="s">
        <v>74</v>
      </c>
      <c r="J13" s="31">
        <f ca="1">O9*(1+'Assumptions &amp; WACC'!C21)/('Assumptions &amp; WACC'!C21-'Assumptions &amp; WACC'!C22)</f>
        <v>531326.37106450566</v>
      </c>
      <c r="K13" s="14"/>
      <c r="L13" s="14"/>
      <c r="M13" s="14"/>
      <c r="N13" s="14"/>
      <c r="O13" s="14"/>
      <c r="Q13" s="1" t="s">
        <v>74</v>
      </c>
      <c r="R13" s="30">
        <f ca="1">W9*(1+'Assumptions &amp; WACC'!D22)/('Assumptions &amp; WACC'!D21-'Assumptions &amp; WACC'!D22)</f>
        <v>510439.08418755204</v>
      </c>
      <c r="X13" s="1"/>
      <c r="Y13" s="5" t="s">
        <v>74</v>
      </c>
      <c r="Z13" s="31">
        <f ca="1">AE9*(1+'Assumptions &amp; WACC'!E22)/('Assumptions &amp; WACC'!E21-'Assumptions &amp; WACC'!E22)</f>
        <v>417855.24523865082</v>
      </c>
      <c r="AA13" s="14"/>
      <c r="AB13" s="14"/>
      <c r="AC13" s="14"/>
      <c r="AD13" s="14"/>
      <c r="AE13" s="14"/>
      <c r="AG13" s="1" t="s">
        <v>74</v>
      </c>
      <c r="AH13" s="30">
        <f ca="1">AM9*(1+'Assumptions &amp; WACC'!F22)/('Assumptions &amp; WACC'!F21-'Assumptions &amp; WACC'!F22)</f>
        <v>626683.08416710177</v>
      </c>
      <c r="AI13" s="1"/>
      <c r="AJ13" s="1"/>
      <c r="AK13" s="1"/>
      <c r="AL13" s="1"/>
      <c r="AM13" s="1"/>
    </row>
    <row r="14" spans="1:39" x14ac:dyDescent="0.3">
      <c r="A14" s="1" t="s">
        <v>75</v>
      </c>
      <c r="B14" s="29">
        <f ca="1">B13*'Assumptions &amp; WACC'!B23</f>
        <v>585896.70154512173</v>
      </c>
      <c r="C14" s="1"/>
      <c r="D14" s="1"/>
      <c r="E14" s="1"/>
      <c r="F14" s="1"/>
      <c r="G14" s="1"/>
      <c r="H14" s="1"/>
      <c r="I14" s="5" t="s">
        <v>75</v>
      </c>
      <c r="J14" s="31">
        <f ca="1">J13*'Assumptions &amp; WACC'!C23</f>
        <v>395493.69024444342</v>
      </c>
      <c r="K14" s="14"/>
      <c r="L14" s="14"/>
      <c r="M14" s="14"/>
      <c r="N14" s="14"/>
      <c r="O14" s="14"/>
      <c r="Q14" s="1" t="s">
        <v>75</v>
      </c>
      <c r="R14" s="29">
        <f ca="1">R13*'Assumptions &amp; WACC'!D23</f>
        <v>371821.57448423008</v>
      </c>
      <c r="X14" s="1"/>
      <c r="Y14" s="5" t="s">
        <v>75</v>
      </c>
      <c r="Z14" s="31">
        <f ca="1">Z13*'Assumptions &amp; WACC'!E23</f>
        <v>301180.43118848233</v>
      </c>
      <c r="AA14" s="14"/>
      <c r="AB14" s="14"/>
      <c r="AC14" s="14"/>
      <c r="AD14" s="14"/>
      <c r="AE14" s="14"/>
      <c r="AG14" s="1" t="s">
        <v>75</v>
      </c>
      <c r="AH14" s="29">
        <f ca="1">AH13*'Assumptions &amp; WACC'!F23</f>
        <v>456797.72154693294</v>
      </c>
      <c r="AI14" s="1"/>
      <c r="AJ14" s="1"/>
      <c r="AK14" s="1"/>
      <c r="AL14" s="1"/>
      <c r="AM14" s="1"/>
    </row>
    <row r="15" spans="1:39" x14ac:dyDescent="0.3">
      <c r="A15" s="1" t="s">
        <v>76</v>
      </c>
      <c r="B15" s="30">
        <f ca="1">NPV('Assumptions &amp; WACC'!B21,DCF!B9:G9)</f>
        <v>95362.755331663953</v>
      </c>
      <c r="C15" s="1"/>
      <c r="D15" s="1"/>
      <c r="E15" s="1"/>
      <c r="F15" s="1"/>
      <c r="G15" s="1"/>
      <c r="H15" s="1"/>
      <c r="I15" s="5" t="s">
        <v>76</v>
      </c>
      <c r="J15" s="20">
        <f ca="1">NPV('Assumptions &amp; WACC'!C21,DCF!J9:O9)</f>
        <v>63936.626703315917</v>
      </c>
      <c r="K15" s="14"/>
      <c r="L15" s="14"/>
      <c r="M15" s="14"/>
      <c r="N15" s="14"/>
      <c r="O15" s="14"/>
      <c r="Q15" s="1" t="s">
        <v>76</v>
      </c>
      <c r="R15" s="111">
        <f ca="1">NPV('Assumptions &amp; WACC'!D21,DCF!R9:W9)</f>
        <v>65181.235733411515</v>
      </c>
      <c r="X15" s="1"/>
      <c r="Y15" s="5" t="s">
        <v>76</v>
      </c>
      <c r="Z15" s="20">
        <f ca="1">NPV('Assumptions &amp; WACC'!E21,DCF!Z9:AE9)</f>
        <v>51471.184148889828</v>
      </c>
      <c r="AA15" s="14"/>
      <c r="AB15" s="14"/>
      <c r="AC15" s="14"/>
      <c r="AD15" s="14"/>
      <c r="AE15" s="14"/>
      <c r="AG15" s="1" t="s">
        <v>76</v>
      </c>
      <c r="AH15" s="30">
        <f ca="1">NPV('Assumptions &amp; WACC'!F21,DCF!AH9:AM9)</f>
        <v>91741.295777866035</v>
      </c>
      <c r="AI15" s="1"/>
      <c r="AJ15" s="1"/>
      <c r="AK15" s="1"/>
      <c r="AL15" s="1"/>
      <c r="AM15" s="1"/>
    </row>
    <row r="16" spans="1:39" x14ac:dyDescent="0.3">
      <c r="A16" s="1" t="s">
        <v>77</v>
      </c>
      <c r="B16" s="29">
        <f ca="1">B14+B15</f>
        <v>681259.45687678573</v>
      </c>
      <c r="C16" s="1"/>
      <c r="D16" s="1"/>
      <c r="E16" s="1"/>
      <c r="F16" s="1"/>
      <c r="G16" s="1"/>
      <c r="H16" s="1"/>
      <c r="I16" s="5" t="s">
        <v>77</v>
      </c>
      <c r="J16" s="31">
        <f ca="1">J14+J15</f>
        <v>459430.31694775936</v>
      </c>
      <c r="K16" s="14"/>
      <c r="L16" s="14"/>
      <c r="M16" s="14"/>
      <c r="N16" s="14"/>
      <c r="O16" s="14"/>
      <c r="Q16" s="1" t="s">
        <v>77</v>
      </c>
      <c r="R16" s="29">
        <f ca="1">R14+R15</f>
        <v>437002.81021764159</v>
      </c>
      <c r="X16" s="1"/>
      <c r="Y16" s="5" t="s">
        <v>77</v>
      </c>
      <c r="Z16" s="31">
        <f ca="1">Z14+Z15</f>
        <v>352651.61533737218</v>
      </c>
      <c r="AA16" s="14"/>
      <c r="AB16" s="14"/>
      <c r="AC16" s="14"/>
      <c r="AD16" s="14"/>
      <c r="AE16" s="14"/>
      <c r="AG16" s="1" t="s">
        <v>77</v>
      </c>
      <c r="AH16" s="29">
        <f ca="1">AH14+AH15</f>
        <v>548539.01732479897</v>
      </c>
      <c r="AI16" s="1"/>
      <c r="AJ16" s="1"/>
      <c r="AK16" s="1"/>
      <c r="AL16" s="1"/>
      <c r="AM16" s="1"/>
    </row>
    <row r="17" spans="1:39" x14ac:dyDescent="0.3">
      <c r="A17" s="1" t="s">
        <v>78</v>
      </c>
      <c r="B17" s="29">
        <f>'Assumptions &amp; WACC'!B17-'Assumptions &amp; WACC'!B24</f>
        <v>63308</v>
      </c>
      <c r="C17" s="1"/>
      <c r="D17" s="1"/>
      <c r="E17" s="1"/>
      <c r="F17" s="1"/>
      <c r="G17" s="1"/>
      <c r="H17" s="1"/>
      <c r="I17" s="5" t="s">
        <v>78</v>
      </c>
      <c r="J17" s="31">
        <f>'Assumptions &amp; WACC'!C17-'Assumptions &amp; WACC'!C24</f>
        <v>23869</v>
      </c>
      <c r="K17" s="14"/>
      <c r="L17" s="14"/>
      <c r="M17" s="14"/>
      <c r="N17" s="14"/>
      <c r="O17" s="14"/>
      <c r="Q17" s="1" t="s">
        <v>78</v>
      </c>
      <c r="R17" s="29">
        <f>'Assumptions &amp; WACC'!D17-'Assumptions &amp; WACC'!D24</f>
        <v>48126</v>
      </c>
      <c r="X17" s="1"/>
      <c r="Y17" s="5" t="s">
        <v>78</v>
      </c>
      <c r="Z17" s="31">
        <f>'Assumptions &amp; WACC'!E17-'Assumptions &amp; WACC'!E24</f>
        <v>30375.799999999996</v>
      </c>
      <c r="AA17" s="14"/>
      <c r="AB17" s="14"/>
      <c r="AC17" s="14"/>
      <c r="AD17" s="14"/>
      <c r="AE17" s="14"/>
      <c r="AG17" s="1" t="s">
        <v>78</v>
      </c>
      <c r="AH17" s="29">
        <f>'Assumptions &amp; WACC'!F17-'Assumptions &amp; WACC'!F24</f>
        <v>12529</v>
      </c>
      <c r="AI17" s="1"/>
      <c r="AJ17" s="1"/>
      <c r="AK17" s="1"/>
      <c r="AL17" s="1"/>
      <c r="AM17" s="1"/>
    </row>
    <row r="18" spans="1:39" x14ac:dyDescent="0.3">
      <c r="A18" s="1" t="s">
        <v>79</v>
      </c>
      <c r="B18" s="29">
        <f ca="1">B16-B17</f>
        <v>617951.45687678573</v>
      </c>
      <c r="C18" s="1"/>
      <c r="D18" s="1"/>
      <c r="E18" s="1"/>
      <c r="F18" s="1"/>
      <c r="G18" s="1"/>
      <c r="H18" s="1"/>
      <c r="I18" s="5" t="s">
        <v>79</v>
      </c>
      <c r="J18" s="31">
        <f ca="1">J16-J17</f>
        <v>435561.31694775936</v>
      </c>
      <c r="K18" s="14"/>
      <c r="L18" s="14"/>
      <c r="M18" s="14"/>
      <c r="N18" s="14"/>
      <c r="O18" s="14"/>
      <c r="Q18" s="1" t="s">
        <v>79</v>
      </c>
      <c r="R18" s="29">
        <f ca="1">R16-R17</f>
        <v>388876.81021764159</v>
      </c>
      <c r="X18" s="1"/>
      <c r="Y18" s="5" t="s">
        <v>79</v>
      </c>
      <c r="Z18" s="31">
        <f ca="1">Z16-Z17</f>
        <v>322275.81533737219</v>
      </c>
      <c r="AA18" s="14"/>
      <c r="AB18" s="14"/>
      <c r="AC18" s="14"/>
      <c r="AD18" s="14"/>
      <c r="AE18" s="14"/>
      <c r="AG18" s="1" t="s">
        <v>79</v>
      </c>
      <c r="AH18" s="29">
        <f ca="1">AH16-AH17</f>
        <v>536010.01732479897</v>
      </c>
      <c r="AI18" s="1"/>
      <c r="AJ18" s="1"/>
      <c r="AK18" s="1"/>
      <c r="AL18" s="1"/>
      <c r="AM18" s="1"/>
    </row>
    <row r="19" spans="1:39" x14ac:dyDescent="0.3">
      <c r="A19" s="1" t="s">
        <v>80</v>
      </c>
      <c r="B19" s="29">
        <f>'Assumptions &amp; WACC'!B25</f>
        <v>5700</v>
      </c>
      <c r="C19" s="1"/>
      <c r="D19" s="1"/>
      <c r="E19" s="1"/>
      <c r="F19" s="1"/>
      <c r="G19" s="1"/>
      <c r="H19" s="1"/>
      <c r="I19" s="5" t="s">
        <v>80</v>
      </c>
      <c r="J19" s="31">
        <f ca="1">'Assumptions &amp; WACC'!C25</f>
        <v>2482.0219999999999</v>
      </c>
      <c r="K19" s="14"/>
      <c r="L19" s="14"/>
      <c r="M19" s="14"/>
      <c r="N19" s="14"/>
      <c r="O19" s="14"/>
      <c r="Q19" s="1" t="s">
        <v>80</v>
      </c>
      <c r="R19" s="29">
        <f ca="1">'Assumptions &amp; WACC'!D25</f>
        <v>538.48069999999996</v>
      </c>
      <c r="X19" s="1"/>
      <c r="Y19" s="5" t="s">
        <v>80</v>
      </c>
      <c r="Z19" s="31">
        <f ca="1">'Assumptions &amp; WACC'!E25</f>
        <v>945.38379999999995</v>
      </c>
      <c r="AA19" s="14"/>
      <c r="AB19" s="14"/>
      <c r="AC19" s="14"/>
      <c r="AD19" s="14"/>
      <c r="AE19" s="14"/>
      <c r="AG19" s="1" t="s">
        <v>80</v>
      </c>
      <c r="AH19" s="29">
        <f ca="1">'Assumptions &amp; WACC'!F25</f>
        <v>2409.2950000000001</v>
      </c>
      <c r="AI19" s="1"/>
      <c r="AJ19" s="1"/>
      <c r="AK19" s="1"/>
      <c r="AL19" s="1"/>
      <c r="AM19" s="1"/>
    </row>
    <row r="20" spans="1:39" x14ac:dyDescent="0.3">
      <c r="A20" s="1" t="s">
        <v>81</v>
      </c>
      <c r="B20" s="30">
        <f ca="1">B18/B19</f>
        <v>108.41253629417294</v>
      </c>
      <c r="C20" s="1"/>
      <c r="D20" s="1"/>
      <c r="E20" s="1"/>
      <c r="F20" s="1"/>
      <c r="G20" s="1"/>
      <c r="H20" s="1"/>
      <c r="I20" s="5" t="s">
        <v>81</v>
      </c>
      <c r="J20" s="20">
        <f ca="1">J18/J19</f>
        <v>175.48648519141224</v>
      </c>
      <c r="K20" s="14"/>
      <c r="L20" s="14"/>
      <c r="M20" s="14"/>
      <c r="N20" s="14"/>
      <c r="O20" s="14"/>
      <c r="Q20" s="1" t="s">
        <v>81</v>
      </c>
      <c r="R20" s="30">
        <f ca="1">R18/R19</f>
        <v>722.17409132331318</v>
      </c>
      <c r="X20" s="1"/>
      <c r="Y20" s="5" t="s">
        <v>81</v>
      </c>
      <c r="Z20" s="20">
        <f ca="1">Z18/Z19</f>
        <v>340.8941588986105</v>
      </c>
      <c r="AA20" s="14"/>
      <c r="AB20" s="14"/>
      <c r="AC20" s="14"/>
      <c r="AD20" s="14"/>
      <c r="AE20" s="14"/>
      <c r="AG20" s="1" t="s">
        <v>81</v>
      </c>
      <c r="AH20" s="30">
        <f ca="1">AH18/AH19</f>
        <v>222.47587668791036</v>
      </c>
      <c r="AI20" s="1"/>
      <c r="AJ20" s="1"/>
      <c r="AK20" s="1"/>
      <c r="AL20" s="1"/>
      <c r="AM20" s="1"/>
    </row>
    <row r="21" spans="1:39" x14ac:dyDescent="0.3">
      <c r="A21" s="1" t="s">
        <v>82</v>
      </c>
      <c r="B21" s="30">
        <f ca="1">'Company Profile'!B3</f>
        <v>24.9</v>
      </c>
      <c r="C21" s="1"/>
      <c r="D21" s="1"/>
      <c r="E21" s="1"/>
      <c r="F21" s="1"/>
      <c r="G21" s="1"/>
      <c r="H21" s="1"/>
      <c r="I21" s="5" t="s">
        <v>82</v>
      </c>
      <c r="J21" s="20">
        <f ca="1">'Company Profile'!C3</f>
        <v>95.05</v>
      </c>
      <c r="K21" s="14"/>
      <c r="L21" s="14"/>
      <c r="M21" s="14"/>
      <c r="N21" s="14"/>
      <c r="O21" s="14"/>
      <c r="Q21" s="1" t="s">
        <v>82</v>
      </c>
      <c r="R21" s="30">
        <f ca="1">'Company Profile'!D3</f>
        <v>342.4</v>
      </c>
      <c r="X21" s="1"/>
      <c r="Y21" s="5" t="s">
        <v>82</v>
      </c>
      <c r="Z21" s="20">
        <f ca="1">'Company Profile'!E3</f>
        <v>1049.0899999999999</v>
      </c>
      <c r="AA21" s="14"/>
      <c r="AB21" s="14"/>
      <c r="AC21" s="14"/>
      <c r="AD21" s="14"/>
      <c r="AE21" s="14"/>
      <c r="AG21" s="1" t="s">
        <v>82</v>
      </c>
      <c r="AH21" s="30">
        <f ca="1">'Company Profile'!F3</f>
        <v>202.66</v>
      </c>
      <c r="AI21" s="1"/>
      <c r="AJ21" s="1"/>
      <c r="AK21" s="1"/>
      <c r="AL21" s="1"/>
      <c r="AM21" s="1"/>
    </row>
    <row r="22" spans="1:39" x14ac:dyDescent="0.3">
      <c r="A22" s="1" t="s">
        <v>83</v>
      </c>
      <c r="B22" s="27">
        <f ca="1">(B20-B21)/B21</f>
        <v>3.3539171202479099</v>
      </c>
      <c r="C22" s="1"/>
      <c r="D22" s="1"/>
      <c r="E22" s="1"/>
      <c r="F22" s="1"/>
      <c r="G22" s="1"/>
      <c r="H22" s="1"/>
      <c r="I22" s="5" t="s">
        <v>83</v>
      </c>
      <c r="J22" s="28">
        <f ca="1">(J20-J21)/J21</f>
        <v>0.846254447042738</v>
      </c>
      <c r="K22" s="14"/>
      <c r="L22" s="14"/>
      <c r="M22" s="14"/>
      <c r="N22" s="14"/>
      <c r="O22" s="14"/>
      <c r="Q22" s="1" t="s">
        <v>83</v>
      </c>
      <c r="R22" s="27">
        <f ca="1">(R20-R21)/R21</f>
        <v>1.1091533040984616</v>
      </c>
      <c r="X22" s="1"/>
      <c r="Y22" s="5" t="s">
        <v>83</v>
      </c>
      <c r="Z22" s="28">
        <f ca="1">(Z20-Z21)/Z21</f>
        <v>-0.67505727926239834</v>
      </c>
      <c r="AA22" s="14"/>
      <c r="AB22" s="14"/>
      <c r="AC22" s="14"/>
      <c r="AD22" s="14"/>
      <c r="AE22" s="14"/>
      <c r="AG22" s="1" t="s">
        <v>83</v>
      </c>
      <c r="AH22" s="27">
        <f ca="1">(AH20-AH21)/AH21</f>
        <v>9.7778923753628552E-2</v>
      </c>
      <c r="AI22" s="1"/>
      <c r="AJ22" s="1"/>
      <c r="AK22" s="1"/>
      <c r="AL22" s="1"/>
      <c r="AM22" s="1"/>
    </row>
  </sheetData>
  <conditionalFormatting sqref="B22">
    <cfRule type="cellIs" dxfId="64" priority="9" operator="lessThan">
      <formula>0</formula>
    </cfRule>
    <cfRule type="cellIs" dxfId="63" priority="10" operator="greaterThan">
      <formula>0</formula>
    </cfRule>
  </conditionalFormatting>
  <conditionalFormatting sqref="J22">
    <cfRule type="cellIs" dxfId="62" priority="7" operator="lessThan">
      <formula>0</formula>
    </cfRule>
    <cfRule type="cellIs" dxfId="61" priority="8" operator="greaterThan">
      <formula>0</formula>
    </cfRule>
  </conditionalFormatting>
  <conditionalFormatting sqref="R22">
    <cfRule type="cellIs" dxfId="60" priority="5" operator="lessThan">
      <formula>0</formula>
    </cfRule>
    <cfRule type="cellIs" dxfId="59" priority="6" operator="greaterThan">
      <formula>0</formula>
    </cfRule>
  </conditionalFormatting>
  <conditionalFormatting sqref="Z22">
    <cfRule type="cellIs" dxfId="58" priority="3" operator="lessThan">
      <formula>0</formula>
    </cfRule>
    <cfRule type="cellIs" dxfId="57" priority="4" operator="greaterThan">
      <formula>0</formula>
    </cfRule>
  </conditionalFormatting>
  <conditionalFormatting sqref="AH22">
    <cfRule type="cellIs" dxfId="56" priority="1" operator="lessThan">
      <formula>0</formula>
    </cfRule>
    <cfRule type="cellIs" dxfId="55"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C274-8076-4A66-9FA3-84A5541701C0}">
  <dimension ref="A1:N27"/>
  <sheetViews>
    <sheetView workbookViewId="0">
      <selection activeCell="M17" sqref="M17"/>
    </sheetView>
  </sheetViews>
  <sheetFormatPr defaultRowHeight="14.4" x14ac:dyDescent="0.3"/>
  <cols>
    <col min="1" max="1" width="58.44140625" style="1" bestFit="1" customWidth="1"/>
    <col min="2" max="2" width="10.88671875" style="4" bestFit="1" customWidth="1"/>
    <col min="3" max="3" width="10.77734375" style="4" bestFit="1" customWidth="1"/>
    <col min="4" max="4" width="10.21875" style="4" customWidth="1"/>
    <col min="5" max="5" width="12.44140625" style="4" customWidth="1"/>
    <col min="6" max="7" width="8.88671875" style="1"/>
    <col min="8" max="8" width="11" style="55" customWidth="1"/>
    <col min="9" max="11" width="10.88671875" style="4" bestFit="1" customWidth="1"/>
    <col min="12" max="12" width="12.33203125" style="4" bestFit="1" customWidth="1"/>
    <col min="13" max="13" width="8.88671875" style="1"/>
    <col min="14" max="14" width="8.88671875" style="4"/>
    <col min="15" max="16384" width="8.88671875" style="1"/>
  </cols>
  <sheetData>
    <row r="1" spans="1:14" x14ac:dyDescent="0.3">
      <c r="A1" s="15" t="s">
        <v>87</v>
      </c>
    </row>
    <row r="2" spans="1:14" x14ac:dyDescent="0.3">
      <c r="A2" s="39" t="s">
        <v>0</v>
      </c>
      <c r="B2" s="40" t="s">
        <v>88</v>
      </c>
      <c r="C2" s="40" t="s">
        <v>8</v>
      </c>
      <c r="D2" s="40" t="s">
        <v>89</v>
      </c>
      <c r="E2" s="40" t="s">
        <v>90</v>
      </c>
    </row>
    <row r="3" spans="1:14" x14ac:dyDescent="0.3">
      <c r="A3" s="41" t="e" vm="4">
        <v>#VALUE!</v>
      </c>
      <c r="B3" s="46">
        <v>57.58</v>
      </c>
      <c r="C3" s="46" cm="1">
        <f t="array" aca="1" ref="C3" ca="1">_FV(A3,"P/E",TRUE)</f>
        <v>51.302500000000002</v>
      </c>
      <c r="D3" s="46">
        <v>17.079999999999998</v>
      </c>
      <c r="E3" s="46">
        <v>48.66</v>
      </c>
      <c r="H3" s="58" t="s">
        <v>0</v>
      </c>
      <c r="I3" s="57" t="s">
        <v>88</v>
      </c>
      <c r="J3" s="57" t="s">
        <v>8</v>
      </c>
      <c r="K3" s="57" t="s">
        <v>89</v>
      </c>
      <c r="L3" s="57" t="s">
        <v>90</v>
      </c>
      <c r="N3" s="4" t="s">
        <v>130</v>
      </c>
    </row>
    <row r="4" spans="1:14" x14ac:dyDescent="0.3">
      <c r="A4" s="41" t="e" vm="6">
        <v>#VALUE!</v>
      </c>
      <c r="B4" s="46">
        <v>20.21</v>
      </c>
      <c r="C4" s="46" cm="1">
        <f t="array" aca="1" ref="C4" ca="1">_FV(A4,"P/E",TRUE)</f>
        <v>13.3668</v>
      </c>
      <c r="D4" s="46">
        <v>10.18</v>
      </c>
      <c r="E4" s="46">
        <v>22.72</v>
      </c>
      <c r="H4" s="59" t="s">
        <v>43</v>
      </c>
      <c r="I4" s="31">
        <f>(B23*B20)/$N$4</f>
        <v>102.48658717105263</v>
      </c>
      <c r="J4" s="31">
        <f t="shared" ref="J4:L4" ca="1" si="0">(C23*C20)/$N$4</f>
        <v>27.90975684210526</v>
      </c>
      <c r="K4" s="31">
        <f t="shared" si="0"/>
        <v>61.994465131578941</v>
      </c>
      <c r="L4" s="31">
        <f t="shared" si="0"/>
        <v>195.5279111842105</v>
      </c>
      <c r="N4" s="29">
        <f>'Assumptions &amp; WACC'!B25</f>
        <v>5700</v>
      </c>
    </row>
    <row r="5" spans="1:14" x14ac:dyDescent="0.3">
      <c r="A5" s="41" t="e" vm="5">
        <v>#VALUE!</v>
      </c>
      <c r="B5" s="46">
        <v>14.16</v>
      </c>
      <c r="C5" s="46" cm="1">
        <f t="array" aca="1" ref="C5" ca="1">_FV(A5,"P/E",TRUE)</f>
        <v>19.560600000000001</v>
      </c>
      <c r="D5" s="46">
        <v>4.01</v>
      </c>
      <c r="E5" s="46">
        <v>4.96</v>
      </c>
      <c r="H5" s="59" t="s">
        <v>44</v>
      </c>
      <c r="I5" s="31">
        <f ca="1">(B24*B20)/$N$5</f>
        <v>309.28041607810087</v>
      </c>
      <c r="J5" s="31">
        <f t="shared" ref="J5:L5" ca="1" si="1">(C24*C20)/$N$5</f>
        <v>146.83737498599928</v>
      </c>
      <c r="K5" s="31">
        <f t="shared" ca="1" si="1"/>
        <v>143.58173698702106</v>
      </c>
      <c r="L5" s="31">
        <f t="shared" ca="1" si="1"/>
        <v>235.29097445550437</v>
      </c>
      <c r="N5" s="29">
        <f ca="1">'Assumptions &amp; WACC'!C25</f>
        <v>2482.0219999999999</v>
      </c>
    </row>
    <row r="6" spans="1:14" x14ac:dyDescent="0.3">
      <c r="A6" s="41" t="e" vm="7">
        <v>#VALUE!</v>
      </c>
      <c r="B6" s="46">
        <v>20.71</v>
      </c>
      <c r="C6" s="46" cm="1">
        <f t="array" aca="1" ref="C6" ca="1">_FV(A6,"P/E",TRUE)</f>
        <v>175.6961</v>
      </c>
      <c r="D6" s="46">
        <v>5.67</v>
      </c>
      <c r="E6" s="46">
        <v>52</v>
      </c>
      <c r="H6" s="59" t="s">
        <v>119</v>
      </c>
      <c r="I6" s="31">
        <f ca="1">(B25*B20)/$N$6</f>
        <v>452.96128997752379</v>
      </c>
      <c r="J6" s="31">
        <f t="shared" ref="J6:L6" ca="1" si="2">(C25*C20)/$N$6</f>
        <v>243.61408705084503</v>
      </c>
      <c r="K6" s="31">
        <f t="shared" ca="1" si="2"/>
        <v>344.72644980590769</v>
      </c>
      <c r="L6" s="31">
        <f t="shared" ca="1" si="2"/>
        <v>137.44869361148875</v>
      </c>
      <c r="N6" s="29">
        <f ca="1">'Assumptions &amp; WACC'!D25</f>
        <v>538.48069999999996</v>
      </c>
    </row>
    <row r="7" spans="1:14" x14ac:dyDescent="0.3">
      <c r="A7" s="41" t="e" vm="8">
        <v>#VALUE!</v>
      </c>
      <c r="B7" s="46">
        <v>13.93</v>
      </c>
      <c r="C7" s="46" cm="1">
        <f t="array" aca="1" ref="C7" ca="1">_FV(A7,"P/E",TRUE)</f>
        <v>27.229700000000001</v>
      </c>
      <c r="D7" s="46">
        <v>3.63</v>
      </c>
      <c r="E7" s="46">
        <v>7.96</v>
      </c>
      <c r="H7" s="59" t="s">
        <v>129</v>
      </c>
      <c r="I7" s="31">
        <f ca="1">(B26*B20)/$N$7</f>
        <v>421.3756876109469</v>
      </c>
      <c r="J7" s="31">
        <f t="shared" ref="J7:L7" ca="1" si="3">(C26*C20)/$N$7</f>
        <v>328.40902794042461</v>
      </c>
      <c r="K7" s="31">
        <f t="shared" ca="1" si="3"/>
        <v>264.60776578253189</v>
      </c>
      <c r="L7" s="31">
        <f t="shared" ca="1" si="3"/>
        <v>190.11639770006633</v>
      </c>
      <c r="N7" s="29">
        <f ca="1">'Assumptions &amp; WACC'!E25</f>
        <v>945.38379999999995</v>
      </c>
    </row>
    <row r="8" spans="1:14" x14ac:dyDescent="0.3">
      <c r="A8" s="41" t="e" vm="9">
        <v>#VALUE!</v>
      </c>
      <c r="B8" s="46">
        <v>10.76</v>
      </c>
      <c r="C8" s="46" cm="1">
        <f t="array" aca="1" ref="C8" ca="1">_FV(A8,"P/E",TRUE)</f>
        <v>17.4132</v>
      </c>
      <c r="D8" s="46">
        <v>4</v>
      </c>
      <c r="E8" s="46">
        <v>4.4400000000000004</v>
      </c>
      <c r="H8" s="112" t="s">
        <v>121</v>
      </c>
      <c r="I8" s="31">
        <f ca="1">(B27*B20)/$N$8</f>
        <v>227.43222861874528</v>
      </c>
      <c r="J8" s="31">
        <f t="shared" ref="J8:L8" ca="1" si="4">(C27*C20)/$N$8</f>
        <v>187.25346627332885</v>
      </c>
      <c r="K8" s="31">
        <f t="shared" ca="1" si="4"/>
        <v>204.74438736227816</v>
      </c>
      <c r="L8" s="31">
        <f t="shared" ca="1" si="4"/>
        <v>373.68906153044765</v>
      </c>
      <c r="N8" s="29">
        <f ca="1">'Assumptions &amp; WACC'!F25</f>
        <v>2409.2950000000001</v>
      </c>
    </row>
    <row r="9" spans="1:14" x14ac:dyDescent="0.3">
      <c r="A9" s="41" t="e" vm="10">
        <v>#VALUE!</v>
      </c>
      <c r="B9" s="46">
        <v>15.49</v>
      </c>
      <c r="C9" s="46">
        <v>14.03</v>
      </c>
      <c r="D9" s="46">
        <v>4.01</v>
      </c>
      <c r="E9" s="46">
        <v>5</v>
      </c>
      <c r="I9" s="114"/>
      <c r="J9" s="114"/>
      <c r="K9" s="114"/>
      <c r="L9" s="114"/>
    </row>
    <row r="10" spans="1:14" x14ac:dyDescent="0.3">
      <c r="A10" s="41" t="e" vm="1">
        <v>#VALUE!</v>
      </c>
      <c r="B10" s="46">
        <v>14.96</v>
      </c>
      <c r="C10" s="46" cm="1">
        <f t="array" aca="1" ref="C10" ca="1">_FV(A10,"P/E",TRUE)</f>
        <v>14.5139</v>
      </c>
      <c r="D10" s="46">
        <v>2.5299999999999998</v>
      </c>
      <c r="E10" s="46">
        <v>1.63</v>
      </c>
    </row>
    <row r="11" spans="1:14" x14ac:dyDescent="0.3">
      <c r="A11" s="41" t="e" vm="3">
        <v>#VALUE!</v>
      </c>
      <c r="B11" s="46">
        <v>14.19</v>
      </c>
      <c r="C11" s="46" cm="1">
        <f t="array" aca="1" ref="C11" ca="1">_FV(A11,"P/E",TRUE)</f>
        <v>26.466100000000001</v>
      </c>
      <c r="D11" s="46">
        <v>4.33</v>
      </c>
      <c r="E11" s="46">
        <v>18.59</v>
      </c>
    </row>
    <row r="12" spans="1:14" x14ac:dyDescent="0.3">
      <c r="A12" s="41" t="e" vm="11">
        <v>#VALUE!</v>
      </c>
      <c r="B12" s="46">
        <v>27.79</v>
      </c>
      <c r="C12" s="46" cm="1">
        <f t="array" aca="1" ref="C12" ca="1">_FV(A12,"P/E",TRUE)</f>
        <v>40.78</v>
      </c>
      <c r="D12" s="46">
        <v>9.09</v>
      </c>
      <c r="E12" s="46">
        <v>6.55</v>
      </c>
    </row>
    <row r="13" spans="1:14" x14ac:dyDescent="0.3">
      <c r="A13" s="41" t="e" vm="12">
        <v>#VALUE!</v>
      </c>
      <c r="B13" s="46">
        <v>12.16</v>
      </c>
      <c r="C13" s="46" cm="1">
        <f t="array" aca="1" ref="C13" ca="1">_FV(A13,"P/E",TRUE)</f>
        <v>17.940000000000001</v>
      </c>
      <c r="D13" s="46">
        <v>3.86</v>
      </c>
      <c r="E13" s="46">
        <v>3.93</v>
      </c>
      <c r="H13" s="58" t="s">
        <v>0</v>
      </c>
      <c r="I13" s="57" t="s">
        <v>94</v>
      </c>
      <c r="J13" s="57" t="s">
        <v>95</v>
      </c>
      <c r="K13" s="57" t="s">
        <v>96</v>
      </c>
    </row>
    <row r="14" spans="1:14" x14ac:dyDescent="0.3">
      <c r="A14" s="41" t="e" vm="13">
        <v>#VALUE!</v>
      </c>
      <c r="B14" s="46">
        <v>14.85</v>
      </c>
      <c r="C14" s="46" cm="1">
        <f t="array" aca="1" ref="C14" ca="1">_FV(A14,"P/E",TRUE)</f>
        <v>16.797699999999999</v>
      </c>
      <c r="D14" s="46">
        <v>2.38</v>
      </c>
      <c r="E14" s="46">
        <v>1.6</v>
      </c>
      <c r="H14" s="59" t="s">
        <v>43</v>
      </c>
      <c r="I14" s="11">
        <f ca="1">AVERAGE(I4:L4)</f>
        <v>96.979680082236825</v>
      </c>
      <c r="J14" s="11">
        <f ca="1">'Company Profile'!B3</f>
        <v>24.9</v>
      </c>
      <c r="K14" s="28">
        <f ca="1">(Table23[[#This Row],[Target Price]]-J14)/J14</f>
        <v>2.8947662683629245</v>
      </c>
    </row>
    <row r="15" spans="1:14" x14ac:dyDescent="0.3">
      <c r="A15" s="41" t="e" vm="14">
        <v>#VALUE!</v>
      </c>
      <c r="B15" s="46">
        <v>10.11</v>
      </c>
      <c r="C15" s="46" cm="1">
        <f t="array" aca="1" ref="C15" ca="1">_FV(A15,"P/E",TRUE)</f>
        <v>13.105399999999999</v>
      </c>
      <c r="D15" s="46">
        <v>1.78</v>
      </c>
      <c r="E15" s="46">
        <v>3.92</v>
      </c>
      <c r="H15" s="59" t="s">
        <v>44</v>
      </c>
      <c r="I15" s="11">
        <f t="shared" ref="I15:I18" ca="1" si="5">AVERAGE(I5:L5)</f>
        <v>208.7476256266564</v>
      </c>
      <c r="J15" s="11">
        <f ca="1">'Company Profile'!C3</f>
        <v>95.05</v>
      </c>
      <c r="K15" s="28">
        <f ca="1">(Table23[[#This Row],[Target Price]]-J15)/J15</f>
        <v>1.1961875394703463</v>
      </c>
    </row>
    <row r="16" spans="1:14" x14ac:dyDescent="0.3">
      <c r="A16" s="41" t="e" vm="15">
        <v>#VALUE!</v>
      </c>
      <c r="B16" s="46">
        <v>34.03</v>
      </c>
      <c r="C16" s="46" cm="1">
        <f t="array" aca="1" ref="C16" ca="1">_FV(A16,"P/E",TRUE)</f>
        <v>19.904900000000001</v>
      </c>
      <c r="D16" s="46">
        <v>4.08</v>
      </c>
      <c r="E16" s="46">
        <v>6.23</v>
      </c>
      <c r="H16" s="112" t="s">
        <v>119</v>
      </c>
      <c r="I16" s="11">
        <f t="shared" ca="1" si="5"/>
        <v>294.68763011144136</v>
      </c>
      <c r="J16" s="116">
        <f ca="1">DCF!R21</f>
        <v>342.4</v>
      </c>
      <c r="K16" s="113">
        <f ca="1">(Table23[[#This Row],[Target Price]]-J16)/J16</f>
        <v>-0.13934687467452866</v>
      </c>
    </row>
    <row r="17" spans="1:14" x14ac:dyDescent="0.3">
      <c r="A17" s="41" t="e" vm="16">
        <v>#VALUE!</v>
      </c>
      <c r="B17" s="46">
        <v>190.55</v>
      </c>
      <c r="C17" s="46" cm="1">
        <f t="array" aca="1" ref="C17" ca="1">_FV(A17,"P/E",TRUE)</f>
        <v>29.582699999999999</v>
      </c>
      <c r="D17" s="46">
        <v>9.81</v>
      </c>
      <c r="E17" s="46">
        <v>6.62</v>
      </c>
      <c r="H17" s="112" t="s">
        <v>129</v>
      </c>
      <c r="I17" s="11">
        <f t="shared" ca="1" si="5"/>
        <v>301.1272197584924</v>
      </c>
      <c r="J17" s="116">
        <f ca="1">DCF!Z21</f>
        <v>1049.0899999999999</v>
      </c>
      <c r="K17" s="113">
        <f ca="1">(Table23[[#This Row],[Target Price]]-J17)/J17</f>
        <v>-0.71296340661097479</v>
      </c>
    </row>
    <row r="18" spans="1:14" x14ac:dyDescent="0.3">
      <c r="A18" s="41" t="e" vm="17">
        <v>#VALUE!</v>
      </c>
      <c r="B18" s="46">
        <v>31.17</v>
      </c>
      <c r="C18" s="46" cm="1">
        <f t="array" aca="1" ref="C18" ca="1">_FV(A18,"P/E",TRUE)</f>
        <v>15.489800000000001</v>
      </c>
      <c r="D18" s="46">
        <v>2.42</v>
      </c>
      <c r="E18" s="46">
        <v>6.69</v>
      </c>
      <c r="H18" s="112" t="s">
        <v>121</v>
      </c>
      <c r="I18" s="11">
        <f t="shared" ca="1" si="5"/>
        <v>248.27978594619998</v>
      </c>
      <c r="J18" s="116">
        <f ca="1">DCF!AH21</f>
        <v>202.66</v>
      </c>
      <c r="K18" s="113">
        <f ca="1">(Table23[[#This Row],[Target Price]]-J18)/J18</f>
        <v>0.22510503279482869</v>
      </c>
    </row>
    <row r="19" spans="1:14" x14ac:dyDescent="0.3">
      <c r="A19" s="50"/>
      <c r="B19" s="51"/>
      <c r="C19" s="51"/>
      <c r="D19" s="51"/>
      <c r="E19" s="52"/>
    </row>
    <row r="20" spans="1:14" x14ac:dyDescent="0.3">
      <c r="A20" s="43" t="s">
        <v>91</v>
      </c>
      <c r="B20" s="49">
        <f>AVERAGE(B3:B18)</f>
        <v>31.415624999999999</v>
      </c>
      <c r="C20" s="49">
        <f t="shared" ref="C20:E20" ca="1" si="6">AVERAGE(C3:C18)</f>
        <v>32.073712499999992</v>
      </c>
      <c r="D20" s="49">
        <f t="shared" si="6"/>
        <v>5.55375</v>
      </c>
      <c r="E20" s="49">
        <f t="shared" si="6"/>
        <v>12.593749999999998</v>
      </c>
    </row>
    <row r="22" spans="1:14" s="2" customFormat="1" x14ac:dyDescent="0.3">
      <c r="A22" s="53" t="s">
        <v>0</v>
      </c>
      <c r="B22" s="54" t="s">
        <v>92</v>
      </c>
      <c r="C22" s="54" t="s">
        <v>20</v>
      </c>
      <c r="D22" s="54" t="s">
        <v>12</v>
      </c>
      <c r="E22" s="54" t="s">
        <v>93</v>
      </c>
      <c r="H22" s="56"/>
      <c r="I22" s="3"/>
      <c r="J22" s="3"/>
      <c r="K22" s="3"/>
      <c r="L22" s="3"/>
      <c r="N22" s="3"/>
    </row>
    <row r="23" spans="1:14" x14ac:dyDescent="0.3">
      <c r="A23" s="5" t="s">
        <v>43</v>
      </c>
      <c r="B23" s="31">
        <f>Financials!F7+Financials!F8</f>
        <v>18595</v>
      </c>
      <c r="C23" s="31">
        <f>Financials!F11</f>
        <v>4960</v>
      </c>
      <c r="D23" s="31">
        <f>Financials!F3</f>
        <v>63627</v>
      </c>
      <c r="E23" s="31">
        <f>Table2[[#This Row],[2024]]</f>
        <v>88497</v>
      </c>
    </row>
    <row r="24" spans="1:14" x14ac:dyDescent="0.3">
      <c r="A24" s="5" t="s">
        <v>44</v>
      </c>
      <c r="B24" s="31">
        <f>Financials!M7+Financials!M8</f>
        <v>24435</v>
      </c>
      <c r="C24" s="31">
        <f>Financials!M11</f>
        <v>11363</v>
      </c>
      <c r="D24" s="31">
        <f>Financials!M3</f>
        <v>64168</v>
      </c>
      <c r="E24" s="31">
        <f>Financials!M23</f>
        <v>46372</v>
      </c>
    </row>
    <row r="25" spans="1:14" x14ac:dyDescent="0.3">
      <c r="A25" s="5" t="str">
        <f>H6</f>
        <v>Amgen</v>
      </c>
      <c r="B25" s="31">
        <f>Financials!T7+Financials!T8</f>
        <v>7764</v>
      </c>
      <c r="C25" s="31">
        <f>Financials!T11</f>
        <v>4090</v>
      </c>
      <c r="D25" s="31">
        <f>Financials!T3</f>
        <v>33424</v>
      </c>
      <c r="E25" s="31">
        <f>Financials!T23</f>
        <v>5877</v>
      </c>
    </row>
    <row r="26" spans="1:14" x14ac:dyDescent="0.3">
      <c r="A26" s="5" t="str">
        <f t="shared" ref="A26:A27" si="7">H7</f>
        <v>LLY</v>
      </c>
      <c r="B26" s="31">
        <f>Financials!AB7+Financials!AB8</f>
        <v>12680.369999999995</v>
      </c>
      <c r="C26" s="31">
        <f>Financials!AB11</f>
        <v>9679.9699999999957</v>
      </c>
      <c r="D26" s="31">
        <f>Financials!AB3</f>
        <v>45042.7</v>
      </c>
      <c r="E26" s="31">
        <f>Financials!AB23</f>
        <v>14271.6</v>
      </c>
    </row>
    <row r="27" spans="1:14" x14ac:dyDescent="0.3">
      <c r="A27" s="115" t="str">
        <f t="shared" si="7"/>
        <v>J&amp;J</v>
      </c>
      <c r="B27" s="117">
        <f>Financials!AJ7+Financials!AJ8</f>
        <v>17442</v>
      </c>
      <c r="C27" s="117">
        <f>Financials!AJ11</f>
        <v>14066</v>
      </c>
      <c r="D27" s="117">
        <f>Financials!AJ3</f>
        <v>88821</v>
      </c>
      <c r="E27" s="117">
        <f>Financials!AJ23</f>
        <v>71490</v>
      </c>
    </row>
  </sheetData>
  <conditionalFormatting sqref="I9:L9">
    <cfRule type="cellIs" dxfId="54" priority="1" operator="lessThan">
      <formula>0</formula>
    </cfRule>
    <cfRule type="cellIs" dxfId="53" priority="2" operator="greaterThan">
      <formula>0</formula>
    </cfRule>
  </conditionalFormatting>
  <conditionalFormatting sqref="K14:K18">
    <cfRule type="cellIs" dxfId="52" priority="3" operator="lessThan">
      <formula>0</formula>
    </cfRule>
    <cfRule type="cellIs" dxfId="51" priority="4" operator="greaterThan">
      <formula>0</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98FB-1970-4621-B9CB-B19465FDCB76}">
  <dimension ref="A1:AE73"/>
  <sheetViews>
    <sheetView workbookViewId="0">
      <selection activeCell="D52" sqref="D52"/>
    </sheetView>
  </sheetViews>
  <sheetFormatPr defaultRowHeight="14.4" x14ac:dyDescent="0.3"/>
  <cols>
    <col min="1" max="1" width="7.6640625" style="1" bestFit="1" customWidth="1"/>
    <col min="2" max="2" width="16.88671875" style="4" bestFit="1" customWidth="1"/>
    <col min="3" max="3" width="9.109375" style="4" bestFit="1" customWidth="1"/>
    <col min="4" max="4" width="10.88671875" style="4" bestFit="1" customWidth="1"/>
    <col min="5" max="5" width="8.88671875" style="1"/>
    <col min="6" max="6" width="15.5546875" style="1" customWidth="1"/>
    <col min="7" max="15" width="15.5546875" style="4" customWidth="1"/>
    <col min="17" max="17" width="15.5546875" bestFit="1" customWidth="1"/>
    <col min="18" max="19" width="9.88671875" bestFit="1" customWidth="1"/>
    <col min="20" max="20" width="10.88671875" bestFit="1" customWidth="1"/>
    <col min="21" max="22" width="9.88671875" bestFit="1" customWidth="1"/>
    <col min="23" max="23" width="10.88671875" bestFit="1" customWidth="1"/>
  </cols>
  <sheetData>
    <row r="1" spans="1:31" ht="28.8" x14ac:dyDescent="0.3">
      <c r="A1" s="2" t="s">
        <v>9</v>
      </c>
      <c r="B1" s="3" t="s">
        <v>11</v>
      </c>
      <c r="C1" s="3" t="s">
        <v>0</v>
      </c>
      <c r="D1" s="3" t="s">
        <v>73</v>
      </c>
      <c r="E1" s="2"/>
      <c r="F1" s="2" t="s">
        <v>0</v>
      </c>
      <c r="G1" s="3" t="s">
        <v>97</v>
      </c>
      <c r="H1" s="3" t="s">
        <v>98</v>
      </c>
      <c r="I1" s="3" t="s">
        <v>99</v>
      </c>
      <c r="J1" s="3" t="s">
        <v>100</v>
      </c>
      <c r="K1" s="3" t="s">
        <v>33</v>
      </c>
      <c r="L1" s="3" t="s">
        <v>47</v>
      </c>
      <c r="M1" s="3" t="s">
        <v>101</v>
      </c>
      <c r="N1" s="3" t="s">
        <v>102</v>
      </c>
      <c r="O1" s="3" t="s">
        <v>103</v>
      </c>
      <c r="Q1" s="77" t="s">
        <v>11</v>
      </c>
      <c r="R1" s="78">
        <v>2020</v>
      </c>
      <c r="S1" s="78">
        <v>2021</v>
      </c>
      <c r="T1" s="78">
        <v>2022</v>
      </c>
      <c r="U1" s="78">
        <v>2023</v>
      </c>
      <c r="V1" s="79">
        <v>2024</v>
      </c>
      <c r="W1" s="4"/>
      <c r="X1" s="1"/>
      <c r="Y1" s="77" t="s">
        <v>0</v>
      </c>
      <c r="Z1" s="78" t="s">
        <v>58</v>
      </c>
      <c r="AA1" s="78" t="s">
        <v>117</v>
      </c>
      <c r="AB1" s="78" t="s">
        <v>51</v>
      </c>
      <c r="AC1" s="78" t="s">
        <v>81</v>
      </c>
      <c r="AD1" s="78" t="s">
        <v>118</v>
      </c>
      <c r="AE1" s="79" t="s">
        <v>83</v>
      </c>
    </row>
    <row r="2" spans="1:31" x14ac:dyDescent="0.3">
      <c r="A2" s="1" t="s">
        <v>104</v>
      </c>
      <c r="B2" s="4" t="s">
        <v>105</v>
      </c>
      <c r="C2" s="4" t="str">
        <f>Relative!A23</f>
        <v>Pfizer</v>
      </c>
      <c r="D2" s="29">
        <f>AVERAGE(Financials!B28:F28)</f>
        <v>2997.8</v>
      </c>
      <c r="F2" s="1" t="str">
        <f>C2</f>
        <v>Pfizer</v>
      </c>
      <c r="G2" s="29">
        <f>Financials!F7-Financials!B7</f>
        <v>2376</v>
      </c>
      <c r="H2" s="30">
        <f>(213396-Financials!F20)-(154229-Financials!B20)</f>
        <v>42092</v>
      </c>
      <c r="I2" s="27">
        <f>G2/H2</f>
        <v>5.6447781051031078E-2</v>
      </c>
      <c r="J2" s="29">
        <f>DCF!G4-DCF!B4</f>
        <v>9964.9310394731692</v>
      </c>
      <c r="K2" s="29">
        <f>D8</f>
        <v>3722.2161371606708</v>
      </c>
      <c r="L2" s="29">
        <f>AVERAGE(DCF!B6:G6)</f>
        <v>5156.3210268866633</v>
      </c>
      <c r="M2" s="30">
        <f>IF(K2-L2&lt;=0,K2,MAX(K2-L2,0.1*K2))</f>
        <v>3722.2161371606708</v>
      </c>
      <c r="N2" s="27">
        <f>J2/M2</f>
        <v>2.6771500289809822</v>
      </c>
      <c r="O2" s="60">
        <f>MIN(MAX(N2,0.12),0.28)</f>
        <v>0.28000000000000003</v>
      </c>
      <c r="Q2" s="76" t="s">
        <v>12</v>
      </c>
      <c r="R2" s="74" cm="1">
        <f t="array" ref="R2:V2">Financials!B3:F3</f>
        <v>41908</v>
      </c>
      <c r="S2" s="74">
        <v>81288</v>
      </c>
      <c r="T2" s="74">
        <v>100330</v>
      </c>
      <c r="U2" s="74">
        <v>59553</v>
      </c>
      <c r="V2" s="74">
        <v>63627</v>
      </c>
      <c r="W2" s="30"/>
      <c r="X2" s="33"/>
      <c r="Y2" s="72" t="s">
        <v>43</v>
      </c>
      <c r="Z2" s="73">
        <f ca="1">'Assumptions &amp; WACC'!B21</f>
        <v>5.2426930357289458E-2</v>
      </c>
      <c r="AA2" s="73">
        <f>'Assumptions &amp; WACC'!$B$22</f>
        <v>2.2499999999999999E-2</v>
      </c>
      <c r="AB2" s="73">
        <f ca="1">'Assumptions &amp; WACC'!B12</f>
        <v>6.0990000000000003E-2</v>
      </c>
      <c r="AC2" s="74">
        <f ca="1">DCF!B20</f>
        <v>108.41253629417294</v>
      </c>
      <c r="AD2" s="74">
        <f ca="1">DCF!B21</f>
        <v>24.9</v>
      </c>
      <c r="AE2" s="75">
        <f ca="1">(AC2-AD2)/AD2</f>
        <v>3.3539171202479099</v>
      </c>
    </row>
    <row r="3" spans="1:31" x14ac:dyDescent="0.3">
      <c r="A3" s="1" t="s">
        <v>104</v>
      </c>
      <c r="B3" s="4" t="s">
        <v>105</v>
      </c>
      <c r="C3" s="4" t="str">
        <f>Relative!A24</f>
        <v>Merck</v>
      </c>
      <c r="D3" s="29">
        <f>AVERAGE(Financials!I28:M28)</f>
        <v>4100</v>
      </c>
      <c r="F3" s="1" t="str">
        <f t="shared" ref="F3" si="0">C3</f>
        <v>Merck</v>
      </c>
      <c r="G3" s="29">
        <f>Financials!M7-Financials!I7</f>
        <v>11145</v>
      </c>
      <c r="H3" s="30">
        <f>(117106-Financials!M20)-(109160-Financials!I20)</f>
        <v>6853</v>
      </c>
      <c r="I3" s="27">
        <f>G3/H3</f>
        <v>1.6262950532613454</v>
      </c>
      <c r="J3" s="29">
        <f>DCF!O4-DCF!J4</f>
        <v>4983.1425770132355</v>
      </c>
      <c r="K3" s="29">
        <f t="shared" ref="K3:K6" si="1">D9</f>
        <v>5780.0527006290567</v>
      </c>
      <c r="L3" s="29">
        <f>AVERAGE(DCF!J6:O6)</f>
        <v>5390.6745162598509</v>
      </c>
      <c r="M3" s="30">
        <f>IF(K3-L3&lt;=0,K3,MAX(K3-L3,0.1*K3))</f>
        <v>578.00527006290565</v>
      </c>
      <c r="N3" s="27">
        <f>J3/M3</f>
        <v>8.6212753327853022</v>
      </c>
      <c r="O3" s="60">
        <f t="shared" ref="O3:O6" si="2">MIN(MAX(N3,0.12),0.28)</f>
        <v>0.28000000000000003</v>
      </c>
      <c r="Q3" s="69" t="s">
        <v>115</v>
      </c>
      <c r="R3" s="20" cm="1">
        <f t="array" ref="R3:V3">Financials!B7:F7</f>
        <v>10933</v>
      </c>
      <c r="S3" s="20">
        <v>28011</v>
      </c>
      <c r="T3" s="20">
        <v>38336</v>
      </c>
      <c r="U3" s="20">
        <v>5790</v>
      </c>
      <c r="V3" s="20">
        <v>13309</v>
      </c>
      <c r="W3" s="30"/>
      <c r="X3" s="33"/>
      <c r="Y3" s="70" t="s">
        <v>44</v>
      </c>
      <c r="Z3" s="71">
        <f ca="1">'Assumptions &amp; WACC'!C21</f>
        <v>5.0437704776862373E-2</v>
      </c>
      <c r="AA3" s="71">
        <f>'Assumptions &amp; WACC'!$B$22</f>
        <v>2.2499999999999999E-2</v>
      </c>
      <c r="AB3" s="71">
        <f ca="1">'Assumptions &amp; WACC'!C12</f>
        <v>5.475E-2</v>
      </c>
      <c r="AC3" s="20">
        <f ca="1">DCF!J20</f>
        <v>175.48648519141224</v>
      </c>
      <c r="AD3" s="20">
        <f ca="1">DCF!J21</f>
        <v>95.05</v>
      </c>
      <c r="AE3" s="28">
        <f ca="1">(AC3-AD3)/AD3</f>
        <v>0.846254447042738</v>
      </c>
    </row>
    <row r="4" spans="1:31" x14ac:dyDescent="0.3">
      <c r="A4" s="1" t="s">
        <v>104</v>
      </c>
      <c r="B4" s="4" t="s">
        <v>105</v>
      </c>
      <c r="C4" s="4" t="s">
        <v>119</v>
      </c>
      <c r="D4" s="29">
        <f>AVERAGE(Financials!P28:T28)</f>
        <v>926.4</v>
      </c>
      <c r="F4" s="1" t="str">
        <f>C4</f>
        <v>Amgen</v>
      </c>
      <c r="G4" s="29">
        <f>Financials!T7-Financials!P7</f>
        <v>-1631</v>
      </c>
      <c r="H4" s="29">
        <f>(Financials!T16-Financials!T20)-(Financials!P16-Financials!P20)</f>
        <v>17445</v>
      </c>
      <c r="I4" s="27">
        <f t="shared" ref="I4:I6" si="3">G4/H4</f>
        <v>-9.3493837775867006E-2</v>
      </c>
      <c r="J4" s="29">
        <f>Table931[[#This Row],[2030]]-Table931[[#This Row],[2025]]</f>
        <v>3550.8480985324259</v>
      </c>
      <c r="K4" s="29">
        <f t="shared" si="1"/>
        <v>1351.4990518608395</v>
      </c>
      <c r="L4" s="29">
        <f>AVERAGE(DCF!R6:W6)</f>
        <v>5857.6629890237928</v>
      </c>
      <c r="M4" s="30">
        <f t="shared" ref="M4:M6" si="4">IF(K4-L4&lt;=0,K4,MAX(K4-L4,0.1*K4))</f>
        <v>1351.4990518608395</v>
      </c>
      <c r="N4" s="27">
        <f t="shared" ref="N4:N6" si="5">J4/M4</f>
        <v>2.6273404288692377</v>
      </c>
      <c r="O4" s="60">
        <f t="shared" si="2"/>
        <v>0.28000000000000003</v>
      </c>
      <c r="Q4" s="69" t="s">
        <v>116</v>
      </c>
      <c r="R4" s="80" cm="1">
        <f t="array" ref="R4:V4">Financials!B11:F11</f>
        <v>5729</v>
      </c>
      <c r="S4" s="80">
        <v>21221</v>
      </c>
      <c r="T4" s="80">
        <v>29190</v>
      </c>
      <c r="U4" s="80">
        <v>-919</v>
      </c>
      <c r="V4" s="80">
        <v>4960</v>
      </c>
      <c r="W4" s="65"/>
      <c r="X4" s="38"/>
      <c r="Y4" s="67"/>
      <c r="Z4" s="65"/>
      <c r="AA4" s="65"/>
      <c r="AB4" s="65"/>
      <c r="AC4" s="65"/>
      <c r="AD4" s="65"/>
      <c r="AE4" s="65"/>
    </row>
    <row r="5" spans="1:31" x14ac:dyDescent="0.3">
      <c r="A5" s="1" t="s">
        <v>104</v>
      </c>
      <c r="B5" s="4" t="s">
        <v>105</v>
      </c>
      <c r="C5" s="4" t="s">
        <v>120</v>
      </c>
      <c r="D5" s="29">
        <f>AVERAGE(Financials!X28:AB28)</f>
        <v>2611.4800000000005</v>
      </c>
      <c r="F5" s="1" t="str">
        <f t="shared" ref="F5:F6" si="6">C5</f>
        <v>Eli Lilly</v>
      </c>
      <c r="G5" s="29">
        <f>Financials!AB7-Financials!X7</f>
        <v>5450.4699999999975</v>
      </c>
      <c r="H5" s="29">
        <f>(Financials!AB16-Financials!AB20)-(Financials!X16-Financials!X20)</f>
        <v>16186.799999999996</v>
      </c>
      <c r="I5" s="27">
        <f t="shared" si="3"/>
        <v>0.33672313242889262</v>
      </c>
      <c r="J5" s="29">
        <f>DCF!AE4-DCF!Z4</f>
        <v>10434.121716807316</v>
      </c>
      <c r="K5" s="29">
        <f t="shared" si="1"/>
        <v>5724.73767740728</v>
      </c>
      <c r="L5" s="29">
        <f>AVERAGE(DCF!Z6:AE6)</f>
        <v>3370.6391214106302</v>
      </c>
      <c r="M5" s="30">
        <f t="shared" si="4"/>
        <v>2354.0985559966498</v>
      </c>
      <c r="N5" s="27">
        <f t="shared" si="5"/>
        <v>4.4323215314109241</v>
      </c>
      <c r="O5" s="60">
        <f t="shared" si="2"/>
        <v>0.28000000000000003</v>
      </c>
      <c r="Q5" s="69" t="s">
        <v>33</v>
      </c>
      <c r="R5" s="20" cm="1">
        <f t="array" ref="R5:V5">Financials!B28:F28</f>
        <v>2226</v>
      </c>
      <c r="S5" s="20">
        <v>2711</v>
      </c>
      <c r="T5" s="20">
        <v>3236</v>
      </c>
      <c r="U5" s="20">
        <v>3907</v>
      </c>
      <c r="V5" s="20">
        <v>2909</v>
      </c>
      <c r="W5" s="30"/>
      <c r="X5" s="33"/>
      <c r="Y5" s="21"/>
      <c r="Z5" s="30"/>
      <c r="AA5" s="30"/>
      <c r="AB5" s="30"/>
      <c r="AC5" s="30"/>
      <c r="AD5" s="30"/>
      <c r="AE5" s="30"/>
    </row>
    <row r="6" spans="1:31" x14ac:dyDescent="0.3">
      <c r="A6" s="1" t="s">
        <v>104</v>
      </c>
      <c r="B6" s="4" t="s">
        <v>105</v>
      </c>
      <c r="C6" s="4" t="s">
        <v>121</v>
      </c>
      <c r="D6" s="29">
        <f>AVERAGE(Financials!AF28:AJ28)</f>
        <v>3995</v>
      </c>
      <c r="F6" s="1" t="str">
        <f t="shared" si="6"/>
        <v>J&amp;J</v>
      </c>
      <c r="G6" s="29">
        <f>Financials!AJ7-Financials!AF7</f>
        <v>744</v>
      </c>
      <c r="H6" s="29">
        <f>(Financials!AJ16-Financials!AJ20)-(Financials!AF16-Financials!AF20)</f>
        <v>-2618</v>
      </c>
      <c r="I6" s="27">
        <f t="shared" si="3"/>
        <v>-0.28418640183346067</v>
      </c>
      <c r="J6" s="29">
        <f>DCF!AM4-DCF!AH4</f>
        <v>1451.129187222683</v>
      </c>
      <c r="K6" s="29">
        <f t="shared" si="1"/>
        <v>4194.0674492516309</v>
      </c>
      <c r="L6" s="30">
        <f>AVERAGE(Table93135[[#This Row],[2025]:[2030]])</f>
        <v>7646.1156561675789</v>
      </c>
      <c r="M6" s="30">
        <f t="shared" si="4"/>
        <v>4194.0674492516309</v>
      </c>
      <c r="N6" s="27">
        <f t="shared" si="5"/>
        <v>0.34599567240665513</v>
      </c>
      <c r="O6" s="60">
        <f t="shared" si="2"/>
        <v>0.28000000000000003</v>
      </c>
      <c r="Q6" s="68"/>
      <c r="R6" s="65"/>
      <c r="S6" s="65"/>
      <c r="T6" s="65"/>
      <c r="U6" s="65"/>
      <c r="V6" s="65"/>
      <c r="W6" s="65"/>
      <c r="X6" s="38"/>
      <c r="Y6" s="67"/>
      <c r="Z6" s="65"/>
      <c r="AA6" s="65"/>
      <c r="AB6" s="65"/>
      <c r="AC6" s="65"/>
      <c r="AD6" s="65"/>
      <c r="AE6" s="65"/>
    </row>
    <row r="7" spans="1:31" x14ac:dyDescent="0.3">
      <c r="A7" s="15" t="s">
        <v>104</v>
      </c>
      <c r="B7" s="61" t="s">
        <v>105</v>
      </c>
      <c r="C7" s="61" t="s">
        <v>91</v>
      </c>
      <c r="D7" s="62">
        <f>AVERAGE(D2:D6)</f>
        <v>2926.136</v>
      </c>
      <c r="H7" s="61" t="s">
        <v>91</v>
      </c>
      <c r="I7" s="63">
        <f>AVERAGE(I2:I6)</f>
        <v>0.32835714542638827</v>
      </c>
      <c r="J7" s="61"/>
      <c r="K7" s="62"/>
      <c r="L7" s="61"/>
      <c r="M7" s="61" t="s">
        <v>91</v>
      </c>
      <c r="N7" s="63">
        <f>AVERAGE(N2:N6)</f>
        <v>3.7408165988906199</v>
      </c>
      <c r="O7" s="63">
        <f>AVERAGE(O2:O3)</f>
        <v>0.28000000000000003</v>
      </c>
      <c r="Q7" s="77" t="s">
        <v>11</v>
      </c>
      <c r="R7" s="78">
        <v>2020</v>
      </c>
      <c r="S7" s="78">
        <v>2021</v>
      </c>
      <c r="T7" s="78">
        <v>2022</v>
      </c>
      <c r="U7" s="78">
        <v>2023</v>
      </c>
      <c r="V7" s="79">
        <v>2024</v>
      </c>
      <c r="W7" s="30"/>
      <c r="X7" s="33"/>
      <c r="Y7" s="21"/>
      <c r="Z7" s="30"/>
      <c r="AA7" s="30"/>
      <c r="AB7" s="30"/>
      <c r="AC7" s="30"/>
      <c r="AD7" s="30"/>
      <c r="AE7" s="30"/>
    </row>
    <row r="8" spans="1:31" x14ac:dyDescent="0.3">
      <c r="A8" s="1" t="s">
        <v>106</v>
      </c>
      <c r="B8" s="4" t="s">
        <v>105</v>
      </c>
      <c r="C8" s="4" t="str">
        <f t="shared" ref="C8:D23" si="7">C2</f>
        <v>Pfizer</v>
      </c>
      <c r="D8" s="82">
        <f>AVERAGE(DCF!B7:G7)</f>
        <v>3722.2161371606708</v>
      </c>
      <c r="Q8" s="76" t="s">
        <v>12</v>
      </c>
      <c r="R8" s="74" cm="1">
        <f t="array" ref="R8:V8">Financials!I3:M3</f>
        <v>47994</v>
      </c>
      <c r="S8" s="74">
        <v>48704</v>
      </c>
      <c r="T8" s="74">
        <v>59283</v>
      </c>
      <c r="U8" s="74">
        <v>60115</v>
      </c>
      <c r="V8" s="74">
        <v>64168</v>
      </c>
      <c r="W8" s="30"/>
      <c r="X8" s="33"/>
      <c r="Y8" s="21"/>
      <c r="Z8" s="30"/>
      <c r="AA8" s="30"/>
      <c r="AB8" s="30"/>
      <c r="AC8" s="30"/>
      <c r="AD8" s="30"/>
      <c r="AE8" s="30"/>
    </row>
    <row r="9" spans="1:31" x14ac:dyDescent="0.3">
      <c r="A9" s="1" t="s">
        <v>106</v>
      </c>
      <c r="B9" s="4" t="s">
        <v>105</v>
      </c>
      <c r="C9" s="4" t="str">
        <f t="shared" si="7"/>
        <v>Merck</v>
      </c>
      <c r="D9" s="82">
        <f>AVERAGE(DCF!J7:O7)</f>
        <v>5780.0527006290567</v>
      </c>
      <c r="L9" s="27"/>
      <c r="Q9" s="69" t="s">
        <v>115</v>
      </c>
      <c r="R9" s="20" cm="1">
        <f t="array" ref="R9:V9">Financials!I7:M7</f>
        <v>8791</v>
      </c>
      <c r="S9" s="20">
        <v>13879</v>
      </c>
      <c r="T9" s="20">
        <v>16444</v>
      </c>
      <c r="U9" s="20">
        <v>1889</v>
      </c>
      <c r="V9" s="20">
        <v>19936</v>
      </c>
      <c r="W9" s="30"/>
      <c r="X9" s="33"/>
      <c r="Y9" s="21"/>
      <c r="Z9" s="30"/>
      <c r="AA9" s="30"/>
      <c r="AB9" s="30"/>
      <c r="AC9" s="30"/>
      <c r="AD9" s="30"/>
      <c r="AE9" s="30"/>
    </row>
    <row r="10" spans="1:31" x14ac:dyDescent="0.3">
      <c r="A10" s="1" t="s">
        <v>106</v>
      </c>
      <c r="B10" s="4" t="s">
        <v>105</v>
      </c>
      <c r="C10" s="4" t="str">
        <f t="shared" si="7"/>
        <v>Amgen</v>
      </c>
      <c r="D10" s="29">
        <f>AVERAGE(DCF!R7:W7)</f>
        <v>1351.4990518608395</v>
      </c>
      <c r="F10" s="4" t="s">
        <v>124</v>
      </c>
      <c r="G10" s="4" t="s">
        <v>104</v>
      </c>
      <c r="H10" s="4" t="s">
        <v>106</v>
      </c>
      <c r="L10" s="27"/>
      <c r="Q10" s="69" t="s">
        <v>116</v>
      </c>
      <c r="R10" s="80" cm="1">
        <f t="array" ref="R10:V10">Table18[[#This Row],[2020]:[2024]]</f>
        <v>1709</v>
      </c>
      <c r="S10" s="80">
        <v>1521</v>
      </c>
      <c r="T10" s="80">
        <v>1918</v>
      </c>
      <c r="U10" s="80">
        <v>1512</v>
      </c>
      <c r="V10" s="80">
        <v>2803</v>
      </c>
      <c r="W10" s="65"/>
      <c r="X10" s="38"/>
      <c r="Y10" s="67"/>
      <c r="Z10" s="65"/>
      <c r="AA10" s="65"/>
      <c r="AB10" s="65"/>
      <c r="AC10" s="65"/>
      <c r="AD10" s="65"/>
      <c r="AE10" s="65"/>
    </row>
    <row r="11" spans="1:31" x14ac:dyDescent="0.3">
      <c r="A11" s="1" t="s">
        <v>106</v>
      </c>
      <c r="B11" s="4" t="s">
        <v>105</v>
      </c>
      <c r="C11" s="4" t="str">
        <f t="shared" si="7"/>
        <v>Eli Lilly</v>
      </c>
      <c r="D11" s="82">
        <f>AVERAGE(DCF!Z7:AE7)</f>
        <v>5724.73767740728</v>
      </c>
      <c r="F11" s="4" t="s">
        <v>108</v>
      </c>
      <c r="G11" s="27">
        <f>AVERAGE(-0.035,0.058)</f>
        <v>1.15E-2</v>
      </c>
      <c r="H11" s="27">
        <v>1.7999999999999999E-2</v>
      </c>
      <c r="K11" s="27"/>
      <c r="L11" s="27"/>
      <c r="M11" s="27"/>
      <c r="Q11" s="69" t="s">
        <v>33</v>
      </c>
      <c r="R11" s="20" cm="1">
        <f t="array" ref="R11:V11">Financials!I28:M28</f>
        <v>4429</v>
      </c>
      <c r="S11" s="20">
        <v>4448</v>
      </c>
      <c r="T11" s="20">
        <v>4388</v>
      </c>
      <c r="U11" s="20">
        <v>3863</v>
      </c>
      <c r="V11" s="20">
        <v>3372</v>
      </c>
      <c r="W11" s="4"/>
      <c r="X11" s="1"/>
      <c r="Y11" s="66"/>
      <c r="Z11" s="4"/>
      <c r="AA11" s="4"/>
      <c r="AB11" s="4"/>
      <c r="AC11" s="4"/>
      <c r="AD11" s="4"/>
      <c r="AE11" s="4"/>
    </row>
    <row r="12" spans="1:31" x14ac:dyDescent="0.3">
      <c r="A12" s="1" t="s">
        <v>106</v>
      </c>
      <c r="B12" s="4" t="s">
        <v>105</v>
      </c>
      <c r="C12" s="4" t="str">
        <f t="shared" si="7"/>
        <v>J&amp;J</v>
      </c>
      <c r="D12" s="82">
        <f>AVERAGE(DCF!AH7:AM7)</f>
        <v>4194.0674492516309</v>
      </c>
      <c r="F12" s="4" t="s">
        <v>108</v>
      </c>
      <c r="G12" s="27">
        <v>2.8000000000000001E-2</v>
      </c>
      <c r="H12" s="27">
        <v>2.5999999999999999E-2</v>
      </c>
      <c r="Q12" s="66"/>
      <c r="R12" s="4"/>
      <c r="S12" s="4"/>
      <c r="T12" s="4"/>
      <c r="U12" s="4"/>
      <c r="V12" s="4"/>
      <c r="W12" s="4"/>
      <c r="X12" s="1"/>
      <c r="Y12" s="66"/>
      <c r="Z12" s="4"/>
      <c r="AA12" s="4"/>
      <c r="AB12" s="4"/>
      <c r="AC12" s="4"/>
      <c r="AD12" s="4"/>
      <c r="AE12" s="4"/>
    </row>
    <row r="13" spans="1:31" x14ac:dyDescent="0.3">
      <c r="A13" s="15" t="s">
        <v>106</v>
      </c>
      <c r="B13" s="61" t="s">
        <v>105</v>
      </c>
      <c r="C13" s="61" t="str">
        <f t="shared" si="7"/>
        <v>Average</v>
      </c>
      <c r="D13" s="65">
        <f>AVERAGE(D8:D12)</f>
        <v>4154.5146032618959</v>
      </c>
      <c r="F13" s="4" t="s">
        <v>110</v>
      </c>
      <c r="G13" s="60">
        <f>G12-G11</f>
        <v>1.6500000000000001E-2</v>
      </c>
      <c r="H13" s="60">
        <f>H12-H11</f>
        <v>8.0000000000000002E-3</v>
      </c>
      <c r="Q13" s="77" t="s">
        <v>11</v>
      </c>
      <c r="R13" s="78">
        <v>2025</v>
      </c>
      <c r="S13" s="78">
        <v>2026</v>
      </c>
      <c r="T13" s="78">
        <v>2027</v>
      </c>
      <c r="U13" s="78">
        <v>2028</v>
      </c>
      <c r="V13" s="78">
        <v>2029</v>
      </c>
      <c r="W13" s="79">
        <v>2030</v>
      </c>
      <c r="X13" s="1"/>
      <c r="Y13" s="66"/>
      <c r="Z13" s="4"/>
      <c r="AA13" s="4"/>
      <c r="AB13" s="4"/>
      <c r="AC13" s="4"/>
      <c r="AD13" s="4"/>
      <c r="AE13" s="4"/>
    </row>
    <row r="14" spans="1:31" x14ac:dyDescent="0.3">
      <c r="A14" s="1" t="s">
        <v>106</v>
      </c>
      <c r="B14" s="4" t="s">
        <v>107</v>
      </c>
      <c r="C14" s="4" t="str">
        <f t="shared" si="7"/>
        <v>Pfizer</v>
      </c>
      <c r="D14" s="81">
        <f>(DCF!G7/DCF!B7)^(1/6)-1</f>
        <v>7.2072325487681832E-2</v>
      </c>
      <c r="F14" s="61" t="s">
        <v>111</v>
      </c>
      <c r="G14" s="65">
        <f>D61/G13</f>
        <v>40.863202671431331</v>
      </c>
      <c r="H14" s="65">
        <f>D67/H13</f>
        <v>52.023423761755353</v>
      </c>
      <c r="Q14" s="76" t="s">
        <v>12</v>
      </c>
      <c r="R14" s="74" cm="1">
        <f t="array" ref="R14:W14">DCF!B3:G3</f>
        <v>69168.817186716187</v>
      </c>
      <c r="S14" s="74">
        <v>75193.318418428724</v>
      </c>
      <c r="T14" s="74">
        <v>81742.544758464734</v>
      </c>
      <c r="U14" s="74">
        <v>88862.19898431818</v>
      </c>
      <c r="V14" s="74">
        <v>96601.9645175146</v>
      </c>
      <c r="W14" s="74">
        <v>105015.85213179328</v>
      </c>
      <c r="X14" s="33"/>
      <c r="Y14" s="21"/>
      <c r="Z14" s="30"/>
      <c r="AA14" s="30"/>
      <c r="AB14" s="30"/>
      <c r="AC14" s="30"/>
      <c r="AD14" s="30"/>
      <c r="AE14" s="30"/>
    </row>
    <row r="15" spans="1:31" x14ac:dyDescent="0.3">
      <c r="A15" s="1" t="s">
        <v>106</v>
      </c>
      <c r="B15" s="4" t="s">
        <v>107</v>
      </c>
      <c r="C15" s="4" t="str">
        <f t="shared" si="7"/>
        <v>Merck</v>
      </c>
      <c r="D15" s="81">
        <f>(DCF!O7/DCF!J7)^(1/6)-1</f>
        <v>4.9595417757945182E-2</v>
      </c>
      <c r="Q15" s="69" t="s">
        <v>115</v>
      </c>
      <c r="R15" s="20" cm="1">
        <f t="array" ref="R15:W15">DCF!B4:G4</f>
        <v>19227.880197165665</v>
      </c>
      <c r="S15" s="20">
        <v>20902.600000720326</v>
      </c>
      <c r="T15" s="20">
        <v>22723.18541149006</v>
      </c>
      <c r="U15" s="20">
        <v>24702.341107190536</v>
      </c>
      <c r="V15" s="20">
        <v>26853.878324094589</v>
      </c>
      <c r="W15" s="20">
        <v>29192.811236638834</v>
      </c>
      <c r="X15" s="33"/>
      <c r="Y15" s="21"/>
      <c r="Z15" s="30"/>
      <c r="AA15" s="30"/>
      <c r="AB15" s="30"/>
      <c r="AC15" s="30"/>
      <c r="AD15" s="30"/>
      <c r="AE15" s="30"/>
    </row>
    <row r="16" spans="1:31" x14ac:dyDescent="0.3">
      <c r="A16" s="1" t="s">
        <v>106</v>
      </c>
      <c r="B16" s="4" t="s">
        <v>107</v>
      </c>
      <c r="C16" s="4" t="str">
        <f t="shared" si="7"/>
        <v>Amgen</v>
      </c>
      <c r="D16" s="60">
        <f>(DCF!W7/DCF!R7)^(1/6)-1</f>
        <v>4.665227989741294E-2</v>
      </c>
      <c r="Q16" s="69" t="s">
        <v>116</v>
      </c>
      <c r="R16" s="20" cm="1">
        <f t="array" ref="R16:W16">DCF!B5:G5</f>
        <v>14805.467751817563</v>
      </c>
      <c r="S16" s="20">
        <v>16095.00200055465</v>
      </c>
      <c r="T16" s="20">
        <v>17496.852766847347</v>
      </c>
      <c r="U16" s="20">
        <v>19020.802652536713</v>
      </c>
      <c r="V16" s="20">
        <v>20677.486309552834</v>
      </c>
      <c r="W16" s="20">
        <v>22478.464652211904</v>
      </c>
      <c r="X16" s="33"/>
      <c r="Y16" s="21"/>
      <c r="Z16" s="30"/>
      <c r="AA16" s="30"/>
      <c r="AB16" s="30"/>
      <c r="AC16" s="30"/>
      <c r="AD16" s="30"/>
      <c r="AE16" s="30"/>
    </row>
    <row r="17" spans="1:31" x14ac:dyDescent="0.3">
      <c r="A17" s="1" t="s">
        <v>106</v>
      </c>
      <c r="B17" s="4" t="s">
        <v>107</v>
      </c>
      <c r="C17" s="4" t="str">
        <f t="shared" si="7"/>
        <v>Eli Lilly</v>
      </c>
      <c r="D17" s="81">
        <f>(DCF!AE7/DCF!Z7)^(1/6)-1</f>
        <v>0.10651906080779083</v>
      </c>
      <c r="Q17" s="69" t="s">
        <v>33</v>
      </c>
      <c r="R17" s="80" cm="1">
        <f t="array" ref="R17:W17">DCF!B7:G7</f>
        <v>2990.3474436891456</v>
      </c>
      <c r="S17" s="80">
        <v>3250.8022640906943</v>
      </c>
      <c r="T17" s="80">
        <v>3533.9423124625127</v>
      </c>
      <c r="U17" s="80">
        <v>3841.7434384635549</v>
      </c>
      <c r="V17" s="80">
        <v>4176.3535853230878</v>
      </c>
      <c r="W17" s="80">
        <v>4540.1077789350329</v>
      </c>
      <c r="X17" s="38"/>
      <c r="Y17" s="67"/>
      <c r="Z17" s="65"/>
      <c r="AA17" s="65"/>
      <c r="AB17" s="65"/>
      <c r="AC17" s="65"/>
      <c r="AD17" s="65"/>
      <c r="AE17" s="65"/>
    </row>
    <row r="18" spans="1:31" x14ac:dyDescent="0.3">
      <c r="A18" s="1" t="s">
        <v>106</v>
      </c>
      <c r="B18" s="4" t="s">
        <v>107</v>
      </c>
      <c r="C18" s="4" t="str">
        <f t="shared" si="7"/>
        <v>J&amp;J</v>
      </c>
      <c r="D18" s="81">
        <f>(DCF!AM7/DCF!AH7)^(1/6)-1</f>
        <v>1.2208447278778012E-2</v>
      </c>
      <c r="Q18" s="69" t="s">
        <v>71</v>
      </c>
      <c r="R18" s="20" cm="1">
        <f t="array" ref="R18:W18">DCF!B9:G9</f>
        <v>15701.185539390382</v>
      </c>
      <c r="S18" s="20">
        <v>16683.839986701016</v>
      </c>
      <c r="T18" s="20">
        <v>18136.977666911029</v>
      </c>
      <c r="U18" s="20">
        <v>19716.681480536929</v>
      </c>
      <c r="V18" s="20">
        <v>21433.975149794445</v>
      </c>
      <c r="W18" s="20">
        <v>23300.842546729378</v>
      </c>
      <c r="X18" s="33"/>
      <c r="Y18" s="21"/>
      <c r="Z18" s="30"/>
      <c r="AA18" s="30"/>
      <c r="AB18" s="30"/>
      <c r="AC18" s="30"/>
      <c r="AD18" s="30"/>
      <c r="AE18" s="30"/>
    </row>
    <row r="19" spans="1:31" x14ac:dyDescent="0.3">
      <c r="A19" s="15" t="s">
        <v>106</v>
      </c>
      <c r="B19" s="61" t="s">
        <v>107</v>
      </c>
      <c r="C19" s="61" t="str">
        <f t="shared" si="7"/>
        <v>Average</v>
      </c>
      <c r="D19" s="64">
        <f>AVERAGE(D14:D18)</f>
        <v>5.7409506245921761E-2</v>
      </c>
      <c r="Q19" s="68"/>
      <c r="R19" s="30"/>
      <c r="S19" s="30"/>
      <c r="T19" s="30"/>
      <c r="U19" s="30"/>
      <c r="V19" s="30"/>
      <c r="W19" s="30"/>
      <c r="X19" s="33"/>
      <c r="Y19" s="21"/>
      <c r="Z19" s="30"/>
      <c r="AA19" s="30"/>
      <c r="AB19" s="30"/>
      <c r="AC19" s="30"/>
      <c r="AD19" s="30"/>
      <c r="AE19" s="30"/>
    </row>
    <row r="20" spans="1:31" x14ac:dyDescent="0.3">
      <c r="A20" s="1" t="str">
        <f t="shared" ref="A20:A31" si="8">A14</f>
        <v>2025-30</v>
      </c>
      <c r="B20" s="4" t="s">
        <v>109</v>
      </c>
      <c r="C20" s="4" t="str">
        <f t="shared" si="7"/>
        <v>Pfizer</v>
      </c>
      <c r="D20" s="81">
        <f>D14</f>
        <v>7.2072325487681832E-2</v>
      </c>
      <c r="Q20" s="77" t="s">
        <v>11</v>
      </c>
      <c r="R20" s="78">
        <v>2025</v>
      </c>
      <c r="S20" s="78">
        <v>2026</v>
      </c>
      <c r="T20" s="78">
        <v>2027</v>
      </c>
      <c r="U20" s="78">
        <v>2028</v>
      </c>
      <c r="V20" s="78">
        <v>2029</v>
      </c>
      <c r="W20" s="79">
        <v>2030</v>
      </c>
      <c r="X20" s="33"/>
      <c r="Y20" s="21"/>
      <c r="Z20" s="30"/>
      <c r="AA20" s="30"/>
      <c r="AB20" s="30"/>
      <c r="AC20" s="30"/>
      <c r="AD20" s="30"/>
      <c r="AE20" s="30"/>
    </row>
    <row r="21" spans="1:31" x14ac:dyDescent="0.3">
      <c r="A21" s="1" t="str">
        <f t="shared" si="8"/>
        <v>2025-30</v>
      </c>
      <c r="B21" s="4" t="s">
        <v>109</v>
      </c>
      <c r="C21" s="4" t="str">
        <f t="shared" si="7"/>
        <v>Merck</v>
      </c>
      <c r="D21" s="81">
        <f>D15</f>
        <v>4.9595417757945182E-2</v>
      </c>
      <c r="Q21" s="76" t="s">
        <v>12</v>
      </c>
      <c r="R21" s="74" cm="1">
        <f t="array" ref="R21:W21">DCF!J3:O3</f>
        <v>68005.621593966745</v>
      </c>
      <c r="S21" s="74">
        <v>72072.755398045687</v>
      </c>
      <c r="T21" s="74">
        <v>76383.12758437256</v>
      </c>
      <c r="U21" s="74">
        <v>80951.285230434529</v>
      </c>
      <c r="V21" s="74">
        <v>85792.645414010083</v>
      </c>
      <c r="W21" s="74">
        <v>90923.547244273403</v>
      </c>
      <c r="X21" s="33"/>
      <c r="Y21" s="21"/>
      <c r="Z21" s="30"/>
      <c r="AA21" s="30"/>
      <c r="AB21" s="30"/>
      <c r="AC21" s="30"/>
      <c r="AD21" s="30"/>
      <c r="AE21" s="30"/>
    </row>
    <row r="22" spans="1:31" x14ac:dyDescent="0.3">
      <c r="A22" s="1" t="str">
        <f t="shared" si="8"/>
        <v>2025-30</v>
      </c>
      <c r="B22" s="4" t="s">
        <v>109</v>
      </c>
      <c r="C22" s="4" t="str">
        <f t="shared" si="7"/>
        <v>Amgen</v>
      </c>
      <c r="D22" s="81">
        <f t="shared" si="7"/>
        <v>4.665227989741294E-2</v>
      </c>
      <c r="Q22" s="69" t="s">
        <v>115</v>
      </c>
      <c r="R22" s="20" cm="1">
        <f t="array" ref="R22:W22">DCF!J4:O4</f>
        <v>14786.753112475164</v>
      </c>
      <c r="S22" s="20">
        <v>15671.087407592504</v>
      </c>
      <c r="T22" s="20">
        <v>16608.310064311074</v>
      </c>
      <c r="U22" s="20">
        <v>17601.584115895901</v>
      </c>
      <c r="V22" s="20">
        <v>18654.261763495702</v>
      </c>
      <c r="W22" s="20">
        <v>19769.8956894884</v>
      </c>
      <c r="X22" s="33"/>
      <c r="Y22" s="21"/>
      <c r="Z22" s="30"/>
      <c r="AA22" s="30"/>
      <c r="AB22" s="30"/>
      <c r="AC22" s="30"/>
      <c r="AD22" s="30"/>
      <c r="AE22" s="30"/>
    </row>
    <row r="23" spans="1:31" x14ac:dyDescent="0.3">
      <c r="A23" s="1" t="str">
        <f t="shared" si="8"/>
        <v>2025-30</v>
      </c>
      <c r="B23" s="4" t="s">
        <v>109</v>
      </c>
      <c r="C23" s="4" t="str">
        <f t="shared" si="7"/>
        <v>Eli Lilly</v>
      </c>
      <c r="D23" s="81">
        <f t="shared" si="7"/>
        <v>0.10651906080779083</v>
      </c>
      <c r="Q23" s="69" t="s">
        <v>116</v>
      </c>
      <c r="R23" s="20" cm="1">
        <f t="array" ref="R23:W23">DCF!J5:O5</f>
        <v>11385.799896605877</v>
      </c>
      <c r="S23" s="20">
        <v>12066.737303846228</v>
      </c>
      <c r="T23" s="20">
        <v>12788.398749519527</v>
      </c>
      <c r="U23" s="20">
        <v>13553.219769239844</v>
      </c>
      <c r="V23" s="20">
        <v>14363.781557891691</v>
      </c>
      <c r="W23" s="20">
        <v>15222.819680906068</v>
      </c>
      <c r="X23" s="1"/>
      <c r="Y23" s="66"/>
      <c r="Z23" s="4"/>
      <c r="AA23" s="4"/>
      <c r="AB23" s="4"/>
      <c r="AC23" s="4"/>
      <c r="AD23" s="4"/>
      <c r="AE23" s="4"/>
    </row>
    <row r="24" spans="1:31" x14ac:dyDescent="0.3">
      <c r="A24" s="1" t="str">
        <f t="shared" si="8"/>
        <v>2025-30</v>
      </c>
      <c r="B24" s="4" t="s">
        <v>109</v>
      </c>
      <c r="C24" s="4" t="str">
        <f t="shared" ref="C24:D39" si="9">C18</f>
        <v>J&amp;J</v>
      </c>
      <c r="D24" s="81">
        <f t="shared" si="9"/>
        <v>1.2208447278778012E-2</v>
      </c>
      <c r="Q24" s="69" t="s">
        <v>33</v>
      </c>
      <c r="R24" s="80" cm="1">
        <f t="array" ref="R24:W24">DCF!J7:O7</f>
        <v>4974.2929619084798</v>
      </c>
      <c r="S24" s="80">
        <v>5271.7847660061107</v>
      </c>
      <c r="T24" s="80">
        <v>5587.0683194403755</v>
      </c>
      <c r="U24" s="80">
        <v>5921.2076728509828</v>
      </c>
      <c r="V24" s="80">
        <v>6275.330513327458</v>
      </c>
      <c r="W24" s="80">
        <v>6650.6319702409328</v>
      </c>
      <c r="X24" s="1"/>
      <c r="Y24" s="66"/>
      <c r="Z24" s="4"/>
      <c r="AA24" s="4"/>
      <c r="AB24" s="4"/>
      <c r="AC24" s="4"/>
      <c r="AD24" s="4"/>
      <c r="AE24" s="4"/>
    </row>
    <row r="25" spans="1:31" x14ac:dyDescent="0.3">
      <c r="A25" s="15" t="str">
        <f t="shared" si="8"/>
        <v>2025-30</v>
      </c>
      <c r="B25" s="61" t="s">
        <v>109</v>
      </c>
      <c r="C25" s="61" t="str">
        <f t="shared" si="9"/>
        <v>Average</v>
      </c>
      <c r="D25" s="83">
        <f>AVERAGE(D20:D24)</f>
        <v>5.7409506245921761E-2</v>
      </c>
      <c r="Q25" s="69" t="s">
        <v>71</v>
      </c>
      <c r="R25" s="20" cm="1">
        <f t="array" ref="R25:W25">DCF!J9:O9</f>
        <v>12883.609838484968</v>
      </c>
      <c r="S25" s="20">
        <v>11201.509417217634</v>
      </c>
      <c r="T25" s="20">
        <v>11871.425176233597</v>
      </c>
      <c r="U25" s="20">
        <v>12581.405814674477</v>
      </c>
      <c r="V25" s="20">
        <v>13333.847446591526</v>
      </c>
      <c r="W25" s="20">
        <v>14131.28948766649</v>
      </c>
      <c r="X25" s="1"/>
      <c r="Y25" s="66"/>
      <c r="Z25" s="4"/>
      <c r="AA25" s="4"/>
      <c r="AB25" s="4"/>
      <c r="AC25" s="4"/>
      <c r="AD25" s="4"/>
      <c r="AE25" s="4"/>
    </row>
    <row r="26" spans="1:31" x14ac:dyDescent="0.3">
      <c r="A26" s="1" t="str">
        <f t="shared" si="8"/>
        <v>2025-30</v>
      </c>
      <c r="B26" s="4" t="s">
        <v>45</v>
      </c>
      <c r="C26" s="4" t="str">
        <f t="shared" si="9"/>
        <v>Pfizer</v>
      </c>
      <c r="D26" s="84">
        <f>D20</f>
        <v>7.2072325487681832E-2</v>
      </c>
    </row>
    <row r="27" spans="1:31" x14ac:dyDescent="0.3">
      <c r="A27" s="1" t="str">
        <f t="shared" si="8"/>
        <v>2025-30</v>
      </c>
      <c r="B27" s="4" t="s">
        <v>45</v>
      </c>
      <c r="C27" s="4" t="str">
        <f t="shared" si="9"/>
        <v>Merck</v>
      </c>
      <c r="D27" s="84">
        <f t="shared" si="9"/>
        <v>4.9595417757945182E-2</v>
      </c>
    </row>
    <row r="28" spans="1:31" x14ac:dyDescent="0.3">
      <c r="A28" s="1" t="str">
        <f t="shared" si="8"/>
        <v>2025-30</v>
      </c>
      <c r="B28" s="4" t="s">
        <v>45</v>
      </c>
      <c r="C28" s="4" t="str">
        <f t="shared" si="9"/>
        <v>Amgen</v>
      </c>
      <c r="D28" s="84">
        <f t="shared" si="9"/>
        <v>4.665227989741294E-2</v>
      </c>
    </row>
    <row r="29" spans="1:31" x14ac:dyDescent="0.3">
      <c r="A29" s="1" t="str">
        <f t="shared" si="8"/>
        <v>2025-30</v>
      </c>
      <c r="B29" s="4" t="s">
        <v>45</v>
      </c>
      <c r="C29" s="4" t="str">
        <f t="shared" si="9"/>
        <v>Eli Lilly</v>
      </c>
      <c r="D29" s="84">
        <f t="shared" si="9"/>
        <v>0.10651906080779083</v>
      </c>
    </row>
    <row r="30" spans="1:31" x14ac:dyDescent="0.3">
      <c r="A30" s="1" t="str">
        <f t="shared" si="8"/>
        <v>2025-30</v>
      </c>
      <c r="B30" s="4" t="s">
        <v>45</v>
      </c>
      <c r="C30" s="4" t="str">
        <f t="shared" si="9"/>
        <v>J&amp;J</v>
      </c>
      <c r="D30" s="84">
        <f t="shared" si="9"/>
        <v>1.2208447278778012E-2</v>
      </c>
    </row>
    <row r="31" spans="1:31" x14ac:dyDescent="0.3">
      <c r="A31" s="15" t="str">
        <f t="shared" si="8"/>
        <v>2025-30</v>
      </c>
      <c r="B31" s="61" t="s">
        <v>45</v>
      </c>
      <c r="C31" s="61" t="str">
        <f t="shared" si="9"/>
        <v>Average</v>
      </c>
      <c r="D31" s="64">
        <f>AVERAGE(D26:D30)</f>
        <v>5.7409506245921761E-2</v>
      </c>
    </row>
    <row r="32" spans="1:31" x14ac:dyDescent="0.3">
      <c r="A32" s="1" t="str">
        <f>A2</f>
        <v>2020-24</v>
      </c>
      <c r="B32" s="4" t="s">
        <v>113</v>
      </c>
      <c r="C32" s="4" t="str">
        <f t="shared" si="9"/>
        <v>Pfizer</v>
      </c>
      <c r="D32" s="27">
        <f>(Financials!F7+Financials!F8)/Financials!F3</f>
        <v>0.29225014537853428</v>
      </c>
    </row>
    <row r="33" spans="1:4" x14ac:dyDescent="0.3">
      <c r="A33" s="1" t="str">
        <f>A3</f>
        <v>2020-24</v>
      </c>
      <c r="B33" s="4" t="s">
        <v>113</v>
      </c>
      <c r="C33" s="4" t="str">
        <f t="shared" si="9"/>
        <v>Merck</v>
      </c>
      <c r="D33" s="27">
        <f>(Financials!M7+Financials!M8)/Financials!M3</f>
        <v>0.38079728213439723</v>
      </c>
    </row>
    <row r="34" spans="1:4" x14ac:dyDescent="0.3">
      <c r="A34" s="1" t="str">
        <f>A4</f>
        <v>2020-24</v>
      </c>
      <c r="B34" s="4" t="s">
        <v>113</v>
      </c>
      <c r="C34" s="4" t="str">
        <f t="shared" si="9"/>
        <v>Amgen</v>
      </c>
      <c r="D34" s="27">
        <f>(Financials!T7+Financials!T31)/Financials!T3</f>
        <v>0.39953326950694112</v>
      </c>
    </row>
    <row r="35" spans="1:4" x14ac:dyDescent="0.3">
      <c r="A35" s="1" t="str">
        <f>A5</f>
        <v>2020-24</v>
      </c>
      <c r="B35" s="4" t="s">
        <v>113</v>
      </c>
      <c r="C35" s="4" t="str">
        <f t="shared" si="9"/>
        <v>Eli Lilly</v>
      </c>
      <c r="D35" s="27">
        <f>(Financials!AB7+Financials!AB31)/Financials!AB3</f>
        <v>0.32074831215713084</v>
      </c>
    </row>
    <row r="36" spans="1:4" x14ac:dyDescent="0.3">
      <c r="A36" s="1" t="str">
        <f>A6</f>
        <v>2020-24</v>
      </c>
      <c r="B36" s="4" t="s">
        <v>113</v>
      </c>
      <c r="C36" s="4" t="str">
        <f t="shared" si="9"/>
        <v>J&amp;J</v>
      </c>
      <c r="D36" s="27">
        <f>(Financials!AJ7+Financials!AJ31)/Financials!AJ3</f>
        <v>0.27899933574267349</v>
      </c>
    </row>
    <row r="37" spans="1:4" x14ac:dyDescent="0.3">
      <c r="A37" s="15" t="str">
        <f>$A$36</f>
        <v>2020-24</v>
      </c>
      <c r="B37" s="61" t="s">
        <v>113</v>
      </c>
      <c r="C37" s="61" t="str">
        <f t="shared" si="9"/>
        <v>Average</v>
      </c>
      <c r="D37" s="64">
        <f>AVERAGE(D32:D36)</f>
        <v>0.33446566898393537</v>
      </c>
    </row>
    <row r="38" spans="1:4" x14ac:dyDescent="0.3">
      <c r="A38" s="1" t="str">
        <f t="shared" ref="A38:A39" si="10">$A$36</f>
        <v>2020-24</v>
      </c>
      <c r="B38" s="4" t="s">
        <v>122</v>
      </c>
      <c r="C38" s="4" t="str">
        <f t="shared" si="9"/>
        <v>Pfizer</v>
      </c>
      <c r="D38" s="27">
        <f>Financials!F11/Financials!F3</f>
        <v>7.7954327565341763E-2</v>
      </c>
    </row>
    <row r="39" spans="1:4" x14ac:dyDescent="0.3">
      <c r="A39" s="1" t="str">
        <f t="shared" si="10"/>
        <v>2020-24</v>
      </c>
      <c r="B39" s="4" t="s">
        <v>122</v>
      </c>
      <c r="C39" s="4" t="str">
        <f t="shared" si="9"/>
        <v>Merck</v>
      </c>
      <c r="D39" s="27">
        <f>Financials!M11/Financials!M3</f>
        <v>0.17708203465902006</v>
      </c>
    </row>
    <row r="40" spans="1:4" x14ac:dyDescent="0.3">
      <c r="A40" s="1" t="str">
        <f>A32</f>
        <v>2020-24</v>
      </c>
      <c r="B40" s="4" t="s">
        <v>122</v>
      </c>
      <c r="C40" s="4" t="str">
        <f t="shared" ref="C40:C67" si="11">C34</f>
        <v>Amgen</v>
      </c>
      <c r="D40" s="27">
        <f>Financials!T11/Financials!T3</f>
        <v>0.12236716132120631</v>
      </c>
    </row>
    <row r="41" spans="1:4" x14ac:dyDescent="0.3">
      <c r="A41" s="1" t="str">
        <f>A33</f>
        <v>2020-24</v>
      </c>
      <c r="B41" s="4" t="s">
        <v>122</v>
      </c>
      <c r="C41" s="4" t="str">
        <f t="shared" si="11"/>
        <v>Eli Lilly</v>
      </c>
      <c r="D41" s="27">
        <f>Financials!AB11/Financials!AB3</f>
        <v>0.214906522033537</v>
      </c>
    </row>
    <row r="42" spans="1:4" x14ac:dyDescent="0.3">
      <c r="A42" s="1" t="str">
        <f>A34</f>
        <v>2020-24</v>
      </c>
      <c r="B42" s="4" t="s">
        <v>122</v>
      </c>
      <c r="C42" s="4" t="str">
        <f t="shared" si="11"/>
        <v>J&amp;J</v>
      </c>
      <c r="D42" s="27">
        <f>Financials!AJ11/Financials!AJ3</f>
        <v>0.15836345008500241</v>
      </c>
    </row>
    <row r="43" spans="1:4" x14ac:dyDescent="0.3">
      <c r="A43" s="15" t="str">
        <f>$A$42</f>
        <v>2020-24</v>
      </c>
      <c r="B43" s="61" t="s">
        <v>122</v>
      </c>
      <c r="C43" s="61" t="str">
        <f t="shared" si="11"/>
        <v>Average</v>
      </c>
      <c r="D43" s="64">
        <f>AVERAGE(D38:D42)</f>
        <v>0.15013469913282151</v>
      </c>
    </row>
    <row r="44" spans="1:4" x14ac:dyDescent="0.3">
      <c r="A44" s="1" t="str">
        <f t="shared" ref="A44:A49" si="12">A26</f>
        <v>2025-30</v>
      </c>
      <c r="B44" s="4" t="s">
        <v>114</v>
      </c>
      <c r="C44" s="4" t="str">
        <f t="shared" si="11"/>
        <v>Pfizer</v>
      </c>
      <c r="D44" s="30">
        <f>AVERAGE(DCF!B3:G3)</f>
        <v>86097.449332872624</v>
      </c>
    </row>
    <row r="45" spans="1:4" x14ac:dyDescent="0.3">
      <c r="A45" s="1" t="str">
        <f t="shared" si="12"/>
        <v>2025-30</v>
      </c>
      <c r="B45" s="4" t="s">
        <v>114</v>
      </c>
      <c r="C45" s="4" t="str">
        <f t="shared" si="11"/>
        <v>Merck</v>
      </c>
      <c r="D45" s="30">
        <f>AVERAGE(DCF!J3:O3)</f>
        <v>79021.497077517168</v>
      </c>
    </row>
    <row r="46" spans="1:4" x14ac:dyDescent="0.3">
      <c r="A46" s="1" t="str">
        <f t="shared" si="12"/>
        <v>2025-30</v>
      </c>
      <c r="B46" s="4" t="s">
        <v>114</v>
      </c>
      <c r="C46" s="4" t="str">
        <f t="shared" si="11"/>
        <v>Amgen</v>
      </c>
      <c r="D46" s="30">
        <f>AVERAGE(DCF!R3:W3)</f>
        <v>40655.84583037335</v>
      </c>
    </row>
    <row r="47" spans="1:4" x14ac:dyDescent="0.3">
      <c r="A47" s="1" t="str">
        <f t="shared" si="12"/>
        <v>2025-30</v>
      </c>
      <c r="B47" s="4" t="s">
        <v>114</v>
      </c>
      <c r="C47" s="4" t="str">
        <f t="shared" si="11"/>
        <v>Eli Lilly</v>
      </c>
      <c r="D47" s="30">
        <f>AVERAGE(DCF!Z3:AE3)</f>
        <v>70396.90289074766</v>
      </c>
    </row>
    <row r="48" spans="1:4" x14ac:dyDescent="0.3">
      <c r="A48" s="1" t="str">
        <f t="shared" si="12"/>
        <v>2025-30</v>
      </c>
      <c r="B48" s="4" t="s">
        <v>114</v>
      </c>
      <c r="C48" s="4" t="str">
        <f t="shared" si="11"/>
        <v>J&amp;J</v>
      </c>
      <c r="D48" s="30">
        <f>AVERAGE(DCF!AH3:AM3)</f>
        <v>93494.004602636545</v>
      </c>
    </row>
    <row r="49" spans="1:4" x14ac:dyDescent="0.3">
      <c r="A49" s="15" t="str">
        <f t="shared" si="12"/>
        <v>2025-30</v>
      </c>
      <c r="B49" s="61" t="s">
        <v>114</v>
      </c>
      <c r="C49" s="61" t="str">
        <f t="shared" si="11"/>
        <v>Average</v>
      </c>
      <c r="D49" s="65">
        <f>AVERAGE(D44:D48)</f>
        <v>73933.139946829469</v>
      </c>
    </row>
    <row r="50" spans="1:4" x14ac:dyDescent="0.3">
      <c r="A50" s="1" t="str">
        <f t="shared" ref="A50:A55" si="13">A44</f>
        <v>2025-30</v>
      </c>
      <c r="B50" s="4" t="s">
        <v>123</v>
      </c>
      <c r="C50" s="4" t="str">
        <f t="shared" si="11"/>
        <v>Pfizer</v>
      </c>
      <c r="D50" s="27">
        <f>D8/D44</f>
        <v>4.3232594763286468E-2</v>
      </c>
    </row>
    <row r="51" spans="1:4" x14ac:dyDescent="0.3">
      <c r="A51" s="1" t="str">
        <f t="shared" si="13"/>
        <v>2025-30</v>
      </c>
      <c r="B51" s="4" t="s">
        <v>123</v>
      </c>
      <c r="C51" s="4" t="str">
        <f t="shared" si="11"/>
        <v>Merck</v>
      </c>
      <c r="D51" s="27">
        <f t="shared" ref="D51:D54" si="14">D9/D45</f>
        <v>7.3145320126737648E-2</v>
      </c>
    </row>
    <row r="52" spans="1:4" x14ac:dyDescent="0.3">
      <c r="A52" s="1" t="str">
        <f t="shared" si="13"/>
        <v>2025-30</v>
      </c>
      <c r="B52" s="4" t="s">
        <v>123</v>
      </c>
      <c r="C52" s="4" t="str">
        <f t="shared" si="11"/>
        <v>Amgen</v>
      </c>
      <c r="D52" s="27">
        <f t="shared" si="14"/>
        <v>3.3242428591933403E-2</v>
      </c>
    </row>
    <row r="53" spans="1:4" x14ac:dyDescent="0.3">
      <c r="A53" s="1" t="str">
        <f t="shared" si="13"/>
        <v>2025-30</v>
      </c>
      <c r="B53" s="4" t="s">
        <v>123</v>
      </c>
      <c r="C53" s="4" t="str">
        <f t="shared" si="11"/>
        <v>Eli Lilly</v>
      </c>
      <c r="D53" s="27">
        <f t="shared" si="14"/>
        <v>8.1320874105665922E-2</v>
      </c>
    </row>
    <row r="54" spans="1:4" x14ac:dyDescent="0.3">
      <c r="A54" s="1" t="str">
        <f t="shared" si="13"/>
        <v>2025-30</v>
      </c>
      <c r="B54" s="4" t="s">
        <v>123</v>
      </c>
      <c r="C54" s="4" t="str">
        <f t="shared" si="11"/>
        <v>J&amp;J</v>
      </c>
      <c r="D54" s="27">
        <f t="shared" si="14"/>
        <v>4.4859212813453044E-2</v>
      </c>
    </row>
    <row r="55" spans="1:4" x14ac:dyDescent="0.3">
      <c r="A55" s="15" t="str">
        <f t="shared" si="13"/>
        <v>2025-30</v>
      </c>
      <c r="B55" s="61" t="s">
        <v>123</v>
      </c>
      <c r="C55" s="61" t="str">
        <f t="shared" si="11"/>
        <v>Average</v>
      </c>
      <c r="D55" s="64">
        <f>AVERAGE(D50:D54)</f>
        <v>5.5160086080215297E-2</v>
      </c>
    </row>
    <row r="56" spans="1:4" x14ac:dyDescent="0.3">
      <c r="A56" s="1" t="str">
        <f>A38</f>
        <v>2020-24</v>
      </c>
      <c r="B56" s="4" t="s">
        <v>112</v>
      </c>
      <c r="C56" s="4" t="str">
        <f t="shared" si="11"/>
        <v>Pfizer</v>
      </c>
      <c r="D56" s="27">
        <f>(Financials!F11-Financials!B11)/Financials!B11</f>
        <v>-0.13422935939954617</v>
      </c>
    </row>
    <row r="57" spans="1:4" x14ac:dyDescent="0.3">
      <c r="A57" s="1" t="str">
        <f>A39</f>
        <v>2020-24</v>
      </c>
      <c r="B57" s="4" t="s">
        <v>112</v>
      </c>
      <c r="C57" s="4" t="str">
        <f t="shared" si="11"/>
        <v>Merck</v>
      </c>
      <c r="D57" s="27">
        <f>(Financials!M11-Financials!I11)/Financials!I11</f>
        <v>3.3271134805788272</v>
      </c>
    </row>
    <row r="58" spans="1:4" x14ac:dyDescent="0.3">
      <c r="A58" s="1" t="str">
        <f>A40</f>
        <v>2020-24</v>
      </c>
      <c r="B58" s="4" t="s">
        <v>112</v>
      </c>
      <c r="C58" s="4" t="str">
        <f t="shared" si="11"/>
        <v>Amgen</v>
      </c>
      <c r="D58" s="27">
        <f>(Financials!T11-Financials!P11)/Financials!P11</f>
        <v>-0.43694933920704848</v>
      </c>
    </row>
    <row r="59" spans="1:4" x14ac:dyDescent="0.3">
      <c r="A59" s="1" t="str">
        <f>A41</f>
        <v>2020-24</v>
      </c>
      <c r="B59" s="4" t="s">
        <v>112</v>
      </c>
      <c r="C59" s="4" t="str">
        <f t="shared" si="11"/>
        <v>Eli Lilly</v>
      </c>
      <c r="D59" s="27">
        <f>(Financials!AB11-Financials!X11)/Financials!X11</f>
        <v>0.65931912851192198</v>
      </c>
    </row>
    <row r="60" spans="1:4" x14ac:dyDescent="0.3">
      <c r="A60" s="1" t="str">
        <f>A42</f>
        <v>2020-24</v>
      </c>
      <c r="B60" s="4" t="s">
        <v>112</v>
      </c>
      <c r="C60" s="4" t="str">
        <f t="shared" si="11"/>
        <v>J&amp;J</v>
      </c>
      <c r="D60" s="27">
        <f>(Financials!AJ11-Financials!AF11)/Financials!AF11</f>
        <v>-4.4039690091069728E-2</v>
      </c>
    </row>
    <row r="61" spans="1:4" x14ac:dyDescent="0.3">
      <c r="A61" s="15" t="str">
        <f>A60</f>
        <v>2020-24</v>
      </c>
      <c r="B61" s="61" t="s">
        <v>112</v>
      </c>
      <c r="C61" s="61" t="str">
        <f t="shared" si="11"/>
        <v>Average</v>
      </c>
      <c r="D61" s="64">
        <f>AVERAGE(D56:D60)</f>
        <v>0.67424284407861701</v>
      </c>
    </row>
    <row r="62" spans="1:4" x14ac:dyDescent="0.3">
      <c r="A62" s="1" t="str">
        <f t="shared" ref="A62:A67" si="15">A50</f>
        <v>2025-30</v>
      </c>
      <c r="B62" s="4" t="str">
        <f t="shared" ref="B62:B67" si="16">B56</f>
        <v>Earnings Growth</v>
      </c>
      <c r="C62" s="4" t="str">
        <f t="shared" si="11"/>
        <v>Pfizer</v>
      </c>
      <c r="D62" s="27">
        <f>(DCF!G5-DCF!B5)/DCF!B5</f>
        <v>0.51825427126085777</v>
      </c>
    </row>
    <row r="63" spans="1:4" x14ac:dyDescent="0.3">
      <c r="A63" s="1" t="str">
        <f t="shared" si="15"/>
        <v>2025-30</v>
      </c>
      <c r="B63" s="4" t="str">
        <f t="shared" si="16"/>
        <v>Earnings Growth</v>
      </c>
      <c r="C63" s="4" t="str">
        <f t="shared" si="11"/>
        <v>Merck</v>
      </c>
      <c r="D63" s="27">
        <f>(DCF!O5-DCF!J5)/DCF!J5</f>
        <v>0.33700045839063203</v>
      </c>
    </row>
    <row r="64" spans="1:4" x14ac:dyDescent="0.3">
      <c r="A64" s="1" t="str">
        <f t="shared" si="15"/>
        <v>2025-30</v>
      </c>
      <c r="B64" s="4" t="str">
        <f t="shared" si="16"/>
        <v>Earnings Growth</v>
      </c>
      <c r="C64" s="4" t="str">
        <f t="shared" si="11"/>
        <v>Amgen</v>
      </c>
      <c r="D64" s="27">
        <f>(DCF!W5-DCF!R5)/DCF!R5</f>
        <v>0.31466331025802319</v>
      </c>
    </row>
    <row r="65" spans="1:4" x14ac:dyDescent="0.3">
      <c r="A65" s="1" t="str">
        <f t="shared" si="15"/>
        <v>2025-30</v>
      </c>
      <c r="B65" s="4" t="str">
        <f t="shared" si="16"/>
        <v>Earnings Growth</v>
      </c>
      <c r="C65" s="4" t="str">
        <f t="shared" si="11"/>
        <v>Eli Lilly</v>
      </c>
      <c r="D65" s="27">
        <f>(DCF!AE5-DCF!Z5)/DCF!Z5</f>
        <v>0.83549580681179125</v>
      </c>
    </row>
    <row r="66" spans="1:4" x14ac:dyDescent="0.3">
      <c r="A66" s="1" t="str">
        <f t="shared" si="15"/>
        <v>2025-30</v>
      </c>
      <c r="B66" s="4" t="str">
        <f t="shared" si="16"/>
        <v>Earnings Growth</v>
      </c>
      <c r="C66" s="4" t="str">
        <f t="shared" si="11"/>
        <v>J&amp;J</v>
      </c>
      <c r="D66" s="27">
        <f>(DCF!AM5-DCF!AH5)/DCF!AH5</f>
        <v>7.5523103748909345E-2</v>
      </c>
    </row>
    <row r="67" spans="1:4" x14ac:dyDescent="0.3">
      <c r="A67" s="15" t="str">
        <f t="shared" si="15"/>
        <v>2025-30</v>
      </c>
      <c r="B67" s="61" t="str">
        <f t="shared" si="16"/>
        <v>Earnings Growth</v>
      </c>
      <c r="C67" s="61" t="str">
        <f t="shared" si="11"/>
        <v>Average</v>
      </c>
      <c r="D67" s="64">
        <f>AVERAGE(D62:D66)</f>
        <v>0.41618739009404282</v>
      </c>
    </row>
    <row r="68" spans="1:4" x14ac:dyDescent="0.3">
      <c r="A68" s="1" t="str">
        <f>A56</f>
        <v>2020-24</v>
      </c>
      <c r="B68" s="4" t="str">
        <f>B20</f>
        <v>Earnings CAGR</v>
      </c>
      <c r="C68" s="4" t="str">
        <f>C62</f>
        <v>Pfizer</v>
      </c>
      <c r="D68" s="27">
        <f>(Financials!F11/Financials!B11)^(1/5)-1</f>
        <v>-2.8415515437937411E-2</v>
      </c>
    </row>
    <row r="69" spans="1:4" x14ac:dyDescent="0.3">
      <c r="A69" s="1" t="str">
        <f t="shared" ref="A69:A73" si="17">A57</f>
        <v>2020-24</v>
      </c>
      <c r="B69" s="4" t="str">
        <f t="shared" ref="B69:B73" si="18">B21</f>
        <v>Earnings CAGR</v>
      </c>
      <c r="C69" s="4" t="str">
        <f t="shared" ref="C69:C73" si="19">C63</f>
        <v>Merck</v>
      </c>
      <c r="D69" s="27">
        <f>(Financials!M11/Financials!I11)^(1/5)-1</f>
        <v>0.34041616603194447</v>
      </c>
    </row>
    <row r="70" spans="1:4" x14ac:dyDescent="0.3">
      <c r="A70" s="1" t="str">
        <f t="shared" si="17"/>
        <v>2020-24</v>
      </c>
      <c r="B70" s="4" t="str">
        <f t="shared" si="18"/>
        <v>Earnings CAGR</v>
      </c>
      <c r="C70" s="4" t="str">
        <f t="shared" si="19"/>
        <v>Amgen</v>
      </c>
      <c r="D70" s="27">
        <f>(Financials!T11/Financials!P11)^(1/5)-1</f>
        <v>-0.10852433099404957</v>
      </c>
    </row>
    <row r="71" spans="1:4" x14ac:dyDescent="0.3">
      <c r="A71" s="1" t="str">
        <f t="shared" si="17"/>
        <v>2020-24</v>
      </c>
      <c r="B71" s="4" t="str">
        <f t="shared" si="18"/>
        <v>Earnings CAGR</v>
      </c>
      <c r="C71" s="4" t="str">
        <f t="shared" si="19"/>
        <v>Eli Lilly</v>
      </c>
      <c r="D71" s="27">
        <f>(Financials!AB11/Financials!X11)^(1/5)-1</f>
        <v>0.10658807031253881</v>
      </c>
    </row>
    <row r="72" spans="1:4" x14ac:dyDescent="0.3">
      <c r="A72" s="1" t="str">
        <f t="shared" si="17"/>
        <v>2020-24</v>
      </c>
      <c r="B72" s="4" t="str">
        <f t="shared" si="18"/>
        <v>Earnings CAGR</v>
      </c>
      <c r="C72" s="4" t="str">
        <f t="shared" si="19"/>
        <v>J&amp;J</v>
      </c>
      <c r="D72" s="27">
        <f>(Financials!AJ11/Financials!AF11)^(1/5)-1</f>
        <v>-8.9673282454888481E-3</v>
      </c>
    </row>
    <row r="73" spans="1:4" x14ac:dyDescent="0.3">
      <c r="A73" s="15" t="str">
        <f t="shared" si="17"/>
        <v>2020-24</v>
      </c>
      <c r="B73" s="61" t="str">
        <f t="shared" si="18"/>
        <v>Earnings CAGR</v>
      </c>
      <c r="C73" s="61" t="str">
        <f t="shared" si="19"/>
        <v>Average</v>
      </c>
      <c r="D73" s="64">
        <f>AVERAGE(D68:D72)</f>
        <v>6.0219412333401487E-2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2025-11-19T21:09:19Z</dcterms:modified>
</cp:coreProperties>
</file>