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Music\Job &amp; Future\Fundamental Analysis Project-Flagship\Fundamental Analysis-US\"/>
    </mc:Choice>
  </mc:AlternateContent>
  <xr:revisionPtr revIDLastSave="0" documentId="13_ncr:1_{86B91EE9-F624-4D84-B00E-E45C84D1958B}" xr6:coauthVersionLast="47" xr6:coauthVersionMax="47" xr10:uidLastSave="{00000000-0000-0000-0000-000000000000}"/>
  <bookViews>
    <workbookView xWindow="-96" yWindow="0" windowWidth="11712" windowHeight="12336" firstSheet="2" activeTab="3" xr2:uid="{00000000-000D-0000-FFFF-FFFF00000000}"/>
  </bookViews>
  <sheets>
    <sheet name="Company Profile" sheetId="1" r:id="rId1"/>
    <sheet name="Financials" sheetId="2" r:id="rId2"/>
    <sheet name="Assumptions &amp; WACC" sheetId="5" r:id="rId3"/>
    <sheet name="DCF" sheetId="6" r:id="rId4"/>
    <sheet name="Relative Valuation" sheetId="7" r:id="rId5"/>
    <sheet name="Calc"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S39" i="2" l="1"/>
  <c r="AT39" i="2"/>
  <c r="AU39" i="2"/>
  <c r="AV39" i="2"/>
  <c r="AW39" i="2"/>
  <c r="AS40" i="2"/>
  <c r="AT40" i="2"/>
  <c r="AU40" i="2"/>
  <c r="AV40" i="2"/>
  <c r="AW40" i="2"/>
  <c r="AS41" i="2"/>
  <c r="AT41" i="2"/>
  <c r="AU41" i="2"/>
  <c r="AV41" i="2"/>
  <c r="AW41" i="2"/>
  <c r="AS42" i="2"/>
  <c r="AT42" i="2"/>
  <c r="AU42" i="2"/>
  <c r="AV42" i="2"/>
  <c r="AW42" i="2"/>
  <c r="AR42" i="2"/>
  <c r="AR41" i="2"/>
  <c r="AR40" i="2"/>
  <c r="AR39" i="2"/>
  <c r="AV36" i="2"/>
  <c r="AU36" i="2"/>
  <c r="AT36" i="2"/>
  <c r="AS36" i="2"/>
  <c r="AR36" i="2"/>
  <c r="AV35" i="2"/>
  <c r="AU35" i="2"/>
  <c r="AT35" i="2"/>
  <c r="AS35" i="2"/>
  <c r="AR35" i="2"/>
  <c r="AV34" i="2"/>
  <c r="AU34" i="2"/>
  <c r="AT34" i="2"/>
  <c r="AS34" i="2"/>
  <c r="AR34" i="2"/>
  <c r="AV33" i="2"/>
  <c r="AU33" i="2"/>
  <c r="AT33" i="2"/>
  <c r="AS33" i="2"/>
  <c r="AR33" i="2"/>
  <c r="AL43" i="2"/>
  <c r="AM43" i="2"/>
  <c r="AN43" i="2"/>
  <c r="AO43" i="2"/>
  <c r="AP43" i="2"/>
  <c r="AL44" i="2"/>
  <c r="AM44" i="2"/>
  <c r="AN44" i="2"/>
  <c r="AO44" i="2"/>
  <c r="AP44" i="2"/>
  <c r="AL45" i="2"/>
  <c r="AM45" i="2"/>
  <c r="AN45" i="2"/>
  <c r="AO45" i="2"/>
  <c r="AP45" i="2"/>
  <c r="AL46" i="2"/>
  <c r="AM46" i="2"/>
  <c r="AN46" i="2"/>
  <c r="AO46" i="2"/>
  <c r="AP46" i="2"/>
  <c r="AK46" i="2"/>
  <c r="AK45" i="2"/>
  <c r="AK44" i="2"/>
  <c r="AE42" i="2"/>
  <c r="AF42" i="2"/>
  <c r="AG42" i="2"/>
  <c r="AH42" i="2"/>
  <c r="AI42" i="2"/>
  <c r="AD42" i="2"/>
  <c r="Q42" i="2"/>
  <c r="R42" i="2"/>
  <c r="S42" i="2"/>
  <c r="T42" i="2"/>
  <c r="U42" i="2"/>
  <c r="P42" i="2"/>
  <c r="AK43" i="2"/>
  <c r="AO36" i="2"/>
  <c r="AN36" i="2"/>
  <c r="AM36" i="2"/>
  <c r="AL36" i="2"/>
  <c r="AK36" i="2"/>
  <c r="AO35" i="2"/>
  <c r="AN35" i="2"/>
  <c r="AM35" i="2"/>
  <c r="AL35" i="2"/>
  <c r="AK35" i="2"/>
  <c r="AO34" i="2"/>
  <c r="AN34" i="2"/>
  <c r="AM34" i="2"/>
  <c r="AL34" i="2"/>
  <c r="AK34" i="2"/>
  <c r="AO33" i="2"/>
  <c r="AN33" i="2"/>
  <c r="AM33" i="2"/>
  <c r="AL33" i="2"/>
  <c r="AK33" i="2"/>
  <c r="AE39" i="2"/>
  <c r="AF39" i="2"/>
  <c r="AG39" i="2"/>
  <c r="AH39" i="2"/>
  <c r="AI39" i="2"/>
  <c r="AE40" i="2"/>
  <c r="AF40" i="2"/>
  <c r="AG40" i="2"/>
  <c r="AH40" i="2"/>
  <c r="AI40" i="2"/>
  <c r="AE41" i="2"/>
  <c r="AF41" i="2"/>
  <c r="AG41" i="2"/>
  <c r="AH41" i="2"/>
  <c r="AI41" i="2"/>
  <c r="AD41" i="2"/>
  <c r="AD40" i="2"/>
  <c r="AD39" i="2"/>
  <c r="AH36" i="2"/>
  <c r="AG36" i="2"/>
  <c r="AF36" i="2"/>
  <c r="AE36" i="2"/>
  <c r="AD36" i="2"/>
  <c r="AH35" i="2"/>
  <c r="AG35" i="2"/>
  <c r="AF35" i="2"/>
  <c r="AE35" i="2"/>
  <c r="AD35" i="2"/>
  <c r="AH34" i="2"/>
  <c r="AG34" i="2"/>
  <c r="AF34" i="2"/>
  <c r="AE34" i="2"/>
  <c r="AD34" i="2"/>
  <c r="AH33" i="2"/>
  <c r="AG33" i="2"/>
  <c r="AF33" i="2"/>
  <c r="AE33" i="2"/>
  <c r="AD33" i="2"/>
  <c r="X44" i="2"/>
  <c r="Y44" i="2"/>
  <c r="Z44" i="2"/>
  <c r="AA44" i="2"/>
  <c r="AB44" i="2"/>
  <c r="X45" i="2"/>
  <c r="Y45" i="2"/>
  <c r="Z45" i="2"/>
  <c r="AA45" i="2"/>
  <c r="AB45" i="2"/>
  <c r="X46" i="2"/>
  <c r="Y46" i="2"/>
  <c r="Z46" i="2"/>
  <c r="AA46" i="2"/>
  <c r="AB46" i="2"/>
  <c r="X33" i="2"/>
  <c r="Y33" i="2"/>
  <c r="Z33" i="2"/>
  <c r="AA33" i="2"/>
  <c r="X34" i="2"/>
  <c r="Y34" i="2"/>
  <c r="Z34" i="2"/>
  <c r="AA34" i="2"/>
  <c r="X35" i="2"/>
  <c r="Y35" i="2"/>
  <c r="Z35" i="2"/>
  <c r="AA35" i="2"/>
  <c r="W46" i="2"/>
  <c r="W45" i="2"/>
  <c r="W44" i="2"/>
  <c r="W35" i="2"/>
  <c r="W34" i="2"/>
  <c r="W33" i="2"/>
  <c r="Q34" i="2"/>
  <c r="R34" i="2"/>
  <c r="S34" i="2"/>
  <c r="T34" i="2"/>
  <c r="Q35" i="2"/>
  <c r="R35" i="2"/>
  <c r="S35" i="2"/>
  <c r="T35" i="2"/>
  <c r="Q36" i="2"/>
  <c r="R36" i="2"/>
  <c r="S36" i="2"/>
  <c r="T36" i="2"/>
  <c r="P36" i="2"/>
  <c r="P35" i="2"/>
  <c r="P34" i="2"/>
  <c r="Q33" i="2"/>
  <c r="R33" i="2"/>
  <c r="S33" i="2"/>
  <c r="T33" i="2"/>
  <c r="P33" i="2"/>
  <c r="D61" i="8"/>
  <c r="D53" i="8"/>
  <c r="G14" i="5"/>
  <c r="D14" i="5"/>
  <c r="G18" i="5"/>
  <c r="F18" i="5"/>
  <c r="E18" i="5"/>
  <c r="D18" i="5"/>
  <c r="C18" i="5"/>
  <c r="B18" i="5"/>
  <c r="C19" i="5"/>
  <c r="C20" i="5" s="1"/>
  <c r="D19" i="5"/>
  <c r="D20" i="5" s="1"/>
  <c r="G17" i="5"/>
  <c r="F17" i="5"/>
  <c r="E17" i="5"/>
  <c r="D17" i="5"/>
  <c r="C17" i="5"/>
  <c r="B17" i="5"/>
  <c r="B19" i="5" s="1"/>
  <c r="B21" i="5" s="1"/>
  <c r="G19" i="5" l="1"/>
  <c r="D21" i="5"/>
  <c r="C21" i="5"/>
  <c r="E19" i="5"/>
  <c r="E20" i="5" s="1"/>
  <c r="F19" i="5"/>
  <c r="F20" i="5" s="1"/>
  <c r="G21" i="5"/>
  <c r="G20" i="5"/>
  <c r="F21" i="5"/>
  <c r="B20" i="5"/>
  <c r="E21" i="5" l="1"/>
  <c r="D88" i="8"/>
  <c r="D87" i="8"/>
  <c r="D86" i="8"/>
  <c r="D85" i="8"/>
  <c r="D84" i="8"/>
  <c r="D83" i="8"/>
  <c r="D82" i="8"/>
  <c r="A83" i="8"/>
  <c r="B83" i="8"/>
  <c r="C83" i="8"/>
  <c r="A84" i="8"/>
  <c r="B84" i="8"/>
  <c r="C84" i="8"/>
  <c r="A85" i="8"/>
  <c r="B85" i="8"/>
  <c r="C85" i="8"/>
  <c r="A86" i="8"/>
  <c r="B86" i="8"/>
  <c r="C86" i="8"/>
  <c r="A87" i="8"/>
  <c r="B87" i="8"/>
  <c r="C87" i="8"/>
  <c r="A88" i="8"/>
  <c r="B88" i="8"/>
  <c r="C88" i="8"/>
  <c r="A89" i="8"/>
  <c r="B89" i="8"/>
  <c r="C89" i="8"/>
  <c r="C82" i="8"/>
  <c r="B82" i="8"/>
  <c r="A82" i="8"/>
  <c r="D89" i="8" l="1"/>
  <c r="D64" i="8"/>
  <c r="D63" i="8"/>
  <c r="D62" i="8"/>
  <c r="D60" i="8"/>
  <c r="D59" i="8"/>
  <c r="D58" i="8"/>
  <c r="D65" i="8" s="1"/>
  <c r="D56" i="8"/>
  <c r="D55" i="8"/>
  <c r="D54" i="8"/>
  <c r="D52" i="8"/>
  <c r="D51" i="8"/>
  <c r="D50" i="8"/>
  <c r="D48" i="8"/>
  <c r="D47" i="8"/>
  <c r="D46" i="8"/>
  <c r="D44" i="8"/>
  <c r="D43" i="8"/>
  <c r="D42" i="8"/>
  <c r="C49" i="8"/>
  <c r="C57" i="8" s="1"/>
  <c r="C65" i="8" s="1"/>
  <c r="C73" i="8" s="1"/>
  <c r="C81" i="8" s="1"/>
  <c r="D57" i="8" l="1"/>
  <c r="J26" i="5" l="1"/>
  <c r="H8" i="8"/>
  <c r="H7" i="8"/>
  <c r="H6" i="8"/>
  <c r="H5" i="8"/>
  <c r="H4" i="8"/>
  <c r="G8" i="8"/>
  <c r="I8" i="8" s="1"/>
  <c r="G7" i="8"/>
  <c r="G6" i="8"/>
  <c r="G5" i="8"/>
  <c r="G4" i="8"/>
  <c r="I4" i="8" s="1"/>
  <c r="I16" i="8"/>
  <c r="H14" i="8"/>
  <c r="H16" i="8" s="1"/>
  <c r="D32" i="8"/>
  <c r="D31" i="8"/>
  <c r="D30" i="8"/>
  <c r="D29" i="8"/>
  <c r="D28" i="8"/>
  <c r="D27" i="8"/>
  <c r="D26" i="8"/>
  <c r="A27" i="8"/>
  <c r="A28" i="8"/>
  <c r="A29" i="8"/>
  <c r="A30" i="8"/>
  <c r="A31" i="8"/>
  <c r="A32" i="8"/>
  <c r="A38" i="8"/>
  <c r="A78" i="8" s="1"/>
  <c r="A26" i="8"/>
  <c r="A19" i="8"/>
  <c r="A35" i="8" s="1"/>
  <c r="A75" i="8" s="1"/>
  <c r="A20" i="8"/>
  <c r="A36" i="8" s="1"/>
  <c r="A76" i="8" s="1"/>
  <c r="A21" i="8"/>
  <c r="A37" i="8" s="1"/>
  <c r="A77" i="8" s="1"/>
  <c r="A22" i="8"/>
  <c r="A23" i="8"/>
  <c r="A39" i="8" s="1"/>
  <c r="A79" i="8" s="1"/>
  <c r="A24" i="8"/>
  <c r="A40" i="8" s="1"/>
  <c r="A80" i="8" s="1"/>
  <c r="A18" i="8"/>
  <c r="A34" i="8" s="1"/>
  <c r="A74" i="8" s="1"/>
  <c r="D16" i="8"/>
  <c r="D15" i="8"/>
  <c r="D14" i="8"/>
  <c r="D13" i="8"/>
  <c r="D12" i="8"/>
  <c r="D11" i="8"/>
  <c r="D10" i="8"/>
  <c r="I6" i="8" l="1"/>
  <c r="I7" i="8"/>
  <c r="D17" i="8"/>
  <c r="I5" i="8"/>
  <c r="D33" i="8"/>
  <c r="H17" i="8" s="1"/>
  <c r="C8" i="8"/>
  <c r="C3" i="8"/>
  <c r="C11" i="8" s="1"/>
  <c r="C19" i="8" s="1"/>
  <c r="C27" i="8" s="1"/>
  <c r="C35" i="8" s="1"/>
  <c r="C43" i="8" s="1"/>
  <c r="C51" i="8" s="1"/>
  <c r="C59" i="8" s="1"/>
  <c r="C67" i="8" s="1"/>
  <c r="C75" i="8" s="1"/>
  <c r="C4" i="8"/>
  <c r="C5" i="8"/>
  <c r="C6" i="8"/>
  <c r="C7" i="8"/>
  <c r="C2" i="8"/>
  <c r="C10" i="8" s="1"/>
  <c r="C18" i="8" s="1"/>
  <c r="C26" i="8" s="1"/>
  <c r="C34" i="8" s="1"/>
  <c r="C42" i="8" s="1"/>
  <c r="C50" i="8" s="1"/>
  <c r="C58" i="8" s="1"/>
  <c r="C66" i="8" s="1"/>
  <c r="C74" i="8" s="1"/>
  <c r="H19" i="7"/>
  <c r="H20" i="7"/>
  <c r="H21" i="7"/>
  <c r="H22" i="7"/>
  <c r="H23" i="7"/>
  <c r="H24" i="7"/>
  <c r="H18" i="7"/>
  <c r="C15" i="8" l="1"/>
  <c r="C23" i="8" s="1"/>
  <c r="C31" i="8" s="1"/>
  <c r="C39" i="8" s="1"/>
  <c r="C47" i="8" s="1"/>
  <c r="C55" i="8" s="1"/>
  <c r="C63" i="8" s="1"/>
  <c r="C71" i="8" s="1"/>
  <c r="C79" i="8" s="1"/>
  <c r="F7" i="8"/>
  <c r="C14" i="8"/>
  <c r="C22" i="8" s="1"/>
  <c r="C30" i="8" s="1"/>
  <c r="C38" i="8" s="1"/>
  <c r="C46" i="8" s="1"/>
  <c r="C54" i="8" s="1"/>
  <c r="C62" i="8" s="1"/>
  <c r="C70" i="8" s="1"/>
  <c r="C78" i="8" s="1"/>
  <c r="F6" i="8"/>
  <c r="C13" i="8"/>
  <c r="C21" i="8" s="1"/>
  <c r="C29" i="8" s="1"/>
  <c r="C37" i="8" s="1"/>
  <c r="C45" i="8" s="1"/>
  <c r="C53" i="8" s="1"/>
  <c r="C61" i="8" s="1"/>
  <c r="C69" i="8" s="1"/>
  <c r="C77" i="8" s="1"/>
  <c r="F5" i="8"/>
  <c r="C12" i="8"/>
  <c r="C20" i="8" s="1"/>
  <c r="C28" i="8" s="1"/>
  <c r="C36" i="8" s="1"/>
  <c r="C44" i="8" s="1"/>
  <c r="C52" i="8" s="1"/>
  <c r="C60" i="8" s="1"/>
  <c r="C68" i="8" s="1"/>
  <c r="C76" i="8" s="1"/>
  <c r="F4" i="8"/>
  <c r="C16" i="8"/>
  <c r="C24" i="8" s="1"/>
  <c r="C32" i="8" s="1"/>
  <c r="C40" i="8" s="1"/>
  <c r="C48" i="8" s="1"/>
  <c r="C56" i="8" s="1"/>
  <c r="C64" i="8" s="1"/>
  <c r="C72" i="8" s="1"/>
  <c r="C80" i="8" s="1"/>
  <c r="F8" i="8"/>
  <c r="D27" i="7"/>
  <c r="D26" i="7"/>
  <c r="D25" i="7"/>
  <c r="D24" i="7"/>
  <c r="D23" i="7"/>
  <c r="C27" i="7"/>
  <c r="C26" i="7"/>
  <c r="C25" i="7"/>
  <c r="C24" i="7"/>
  <c r="C23" i="7"/>
  <c r="J10" i="7" s="1"/>
  <c r="B27" i="7"/>
  <c r="B26" i="7"/>
  <c r="B25" i="7"/>
  <c r="B24" i="7"/>
  <c r="B23" i="7"/>
  <c r="A27" i="7"/>
  <c r="A23" i="7"/>
  <c r="A24" i="7"/>
  <c r="A25" i="7"/>
  <c r="A26" i="7"/>
  <c r="A22" i="7"/>
  <c r="A21" i="7"/>
  <c r="AI5" i="6"/>
  <c r="AJ5" i="6"/>
  <c r="AK5" i="6"/>
  <c r="AL5" i="6"/>
  <c r="AM5" i="6"/>
  <c r="AH5" i="6"/>
  <c r="O3" i="5"/>
  <c r="P3" i="5"/>
  <c r="Q3" i="5"/>
  <c r="R3" i="5"/>
  <c r="N3" i="5"/>
  <c r="J5" i="5"/>
  <c r="J4" i="5"/>
  <c r="J3" i="5"/>
  <c r="J25" i="5"/>
  <c r="F24" i="7" s="1"/>
  <c r="L11" i="7" s="1"/>
  <c r="G15" i="5"/>
  <c r="F27" i="7" s="1"/>
  <c r="F15" i="5"/>
  <c r="F26" i="7" s="1"/>
  <c r="L13" i="7" s="1"/>
  <c r="E15" i="5"/>
  <c r="F25" i="7" s="1"/>
  <c r="D15" i="5"/>
  <c r="F23" i="7" s="1"/>
  <c r="C15" i="5"/>
  <c r="F22" i="7" s="1"/>
  <c r="B15" i="5"/>
  <c r="F21" i="7" s="1"/>
  <c r="J23" i="5"/>
  <c r="J9" i="5"/>
  <c r="J8" i="5"/>
  <c r="J12" i="5"/>
  <c r="J14" i="5" s="1"/>
  <c r="J15" i="5"/>
  <c r="AH22" i="6" s="1"/>
  <c r="J2" i="5"/>
  <c r="D45" i="8" s="1"/>
  <c r="D49" i="8" s="1"/>
  <c r="J11" i="7" l="1"/>
  <c r="I13" i="7"/>
  <c r="K11" i="7"/>
  <c r="AH24" i="6"/>
  <c r="AP22" i="6"/>
  <c r="K13" i="7"/>
  <c r="AX22" i="6"/>
  <c r="J13" i="7"/>
  <c r="K10" i="7"/>
  <c r="J6" i="5"/>
  <c r="I11" i="7"/>
  <c r="K12" i="7"/>
  <c r="L12" i="7"/>
  <c r="K14" i="7"/>
  <c r="J12" i="7"/>
  <c r="I12" i="7"/>
  <c r="I22" i="7" s="1"/>
  <c r="I14" i="7"/>
  <c r="J14" i="7"/>
  <c r="L14" i="7"/>
  <c r="L10" i="7"/>
  <c r="I21" i="7"/>
  <c r="Z22" i="6"/>
  <c r="I10" i="7"/>
  <c r="I20" i="7" s="1"/>
  <c r="AH3" i="6"/>
  <c r="AI3" i="6" s="1"/>
  <c r="R22" i="6"/>
  <c r="I23" i="7" l="1"/>
  <c r="AI4" i="6"/>
  <c r="AI6" i="6" s="1"/>
  <c r="AI7" i="6"/>
  <c r="AI8" i="6"/>
  <c r="O4" i="5"/>
  <c r="AJ3" i="6"/>
  <c r="N4" i="5"/>
  <c r="AH9" i="6" s="1"/>
  <c r="AH8" i="6"/>
  <c r="AH7" i="6"/>
  <c r="AH4" i="6"/>
  <c r="AH6" i="6" s="1"/>
  <c r="I24" i="7"/>
  <c r="O1" i="6"/>
  <c r="G1" i="6"/>
  <c r="G13" i="5"/>
  <c r="F13" i="5"/>
  <c r="E13" i="5"/>
  <c r="C13" i="5"/>
  <c r="B13" i="5"/>
  <c r="D13" i="5"/>
  <c r="G11" i="5"/>
  <c r="F11" i="5"/>
  <c r="E11" i="5"/>
  <c r="D11" i="5"/>
  <c r="G10" i="5"/>
  <c r="F10" i="5"/>
  <c r="E10" i="5"/>
  <c r="D10" i="5"/>
  <c r="C10" i="5"/>
  <c r="B10" i="5"/>
  <c r="D9" i="5"/>
  <c r="E9" i="5"/>
  <c r="F9" i="5"/>
  <c r="G9" i="5"/>
  <c r="G8" i="5"/>
  <c r="G7" i="5"/>
  <c r="F8" i="5"/>
  <c r="E8" i="5"/>
  <c r="D8" i="5"/>
  <c r="F7" i="5"/>
  <c r="E7" i="5"/>
  <c r="D7" i="5"/>
  <c r="AO22" i="2"/>
  <c r="AN22" i="2"/>
  <c r="AO15" i="2"/>
  <c r="AN15" i="2"/>
  <c r="AM15" i="2"/>
  <c r="AL15" i="2"/>
  <c r="AK15" i="2"/>
  <c r="AH22" i="2"/>
  <c r="AG22" i="2"/>
  <c r="AD11" i="2"/>
  <c r="AD6" i="2"/>
  <c r="AE6" i="2"/>
  <c r="AE8" i="2" s="1"/>
  <c r="AE10" i="2" s="1"/>
  <c r="AE11" i="2" s="1"/>
  <c r="AF6" i="2"/>
  <c r="AG6" i="2"/>
  <c r="AG8" i="2" s="1"/>
  <c r="AG10" i="2" s="1"/>
  <c r="AG11" i="2" s="1"/>
  <c r="AH6" i="2"/>
  <c r="AH8" i="2" s="1"/>
  <c r="AH10" i="2" s="1"/>
  <c r="AH11" i="2" s="1"/>
  <c r="AD8" i="2"/>
  <c r="AD10" i="2" s="1"/>
  <c r="AF8" i="2"/>
  <c r="AF10" i="2" s="1"/>
  <c r="AF11" i="2" s="1"/>
  <c r="AA17" i="2"/>
  <c r="Z17" i="2"/>
  <c r="AA16" i="2"/>
  <c r="Z16" i="2"/>
  <c r="AA9" i="2"/>
  <c r="Z9" i="2"/>
  <c r="AA5" i="2"/>
  <c r="AA6" i="2" s="1"/>
  <c r="AA11" i="2" s="1"/>
  <c r="Z5" i="2"/>
  <c r="Z6" i="2" s="1"/>
  <c r="Z11" i="2" s="1"/>
  <c r="Y17" i="2"/>
  <c r="X17" i="2"/>
  <c r="Y16" i="2"/>
  <c r="X16" i="2"/>
  <c r="Y9" i="2"/>
  <c r="X9" i="2"/>
  <c r="Y5" i="2"/>
  <c r="Y6" i="2" s="1"/>
  <c r="X5" i="2"/>
  <c r="W17" i="2"/>
  <c r="W16" i="2"/>
  <c r="W9" i="2"/>
  <c r="W11" i="2" s="1"/>
  <c r="W5" i="2"/>
  <c r="W6" i="2" s="1"/>
  <c r="X6" i="2"/>
  <c r="X11" i="2" s="1"/>
  <c r="Z5" i="6" l="1"/>
  <c r="AA5" i="6" s="1"/>
  <c r="AB5" i="6" s="1"/>
  <c r="AC5" i="6" s="1"/>
  <c r="AD5" i="6" s="1"/>
  <c r="AE5" i="6" s="1"/>
  <c r="AK3" i="6"/>
  <c r="AJ7" i="6"/>
  <c r="AJ8" i="6"/>
  <c r="AJ4" i="6"/>
  <c r="AJ6" i="6" s="1"/>
  <c r="P4" i="5"/>
  <c r="AJ9" i="6" s="1"/>
  <c r="AI9" i="6"/>
  <c r="AI10" i="6" s="1"/>
  <c r="AY5" i="6"/>
  <c r="AZ5" i="6" s="1"/>
  <c r="BA5" i="6" s="1"/>
  <c r="BB5" i="6" s="1"/>
  <c r="BC5" i="6" s="1"/>
  <c r="AX5" i="6"/>
  <c r="R3" i="6"/>
  <c r="S3" i="6"/>
  <c r="AH12" i="6"/>
  <c r="K5" i="8" s="1"/>
  <c r="AH10" i="6"/>
  <c r="R5" i="6"/>
  <c r="S5" i="6" s="1"/>
  <c r="T5" i="6" s="1"/>
  <c r="U5" i="6" s="1"/>
  <c r="V5" i="6" s="1"/>
  <c r="W5" i="6" s="1"/>
  <c r="AX3" i="6"/>
  <c r="AY3" i="6" s="1"/>
  <c r="AP5" i="6"/>
  <c r="AQ5" i="6" s="1"/>
  <c r="AR5" i="6" s="1"/>
  <c r="AS5" i="6" s="1"/>
  <c r="AT5" i="6" s="1"/>
  <c r="AU5" i="6" s="1"/>
  <c r="Z3" i="6"/>
  <c r="AA3" i="6" s="1"/>
  <c r="AB3" i="6" s="1"/>
  <c r="AP3" i="6"/>
  <c r="AQ3" i="6" s="1"/>
  <c r="AI12" i="6"/>
  <c r="Y11" i="2"/>
  <c r="T22" i="2"/>
  <c r="S22" i="2"/>
  <c r="T15" i="2"/>
  <c r="S15" i="2"/>
  <c r="R22" i="2"/>
  <c r="Q22" i="2"/>
  <c r="R15" i="2"/>
  <c r="Q15" i="2"/>
  <c r="P22" i="2"/>
  <c r="P15" i="2"/>
  <c r="P11" i="2"/>
  <c r="AX13" i="2" a="1"/>
  <c r="AX13" i="2" s="1"/>
  <c r="AV6" i="2"/>
  <c r="AV8" i="2" s="1"/>
  <c r="AV10" i="2" s="1"/>
  <c r="AU6" i="2"/>
  <c r="AU8" i="2" s="1"/>
  <c r="AU10" i="2" s="1"/>
  <c r="AT6" i="2"/>
  <c r="AT8" i="2" s="1"/>
  <c r="AT10" i="2" s="1"/>
  <c r="AS6" i="2"/>
  <c r="AS8" i="2" s="1"/>
  <c r="AS10" i="2" s="1"/>
  <c r="AR6" i="2"/>
  <c r="AR8" i="2" s="1"/>
  <c r="AR10" i="2" s="1"/>
  <c r="AO6" i="2"/>
  <c r="AO8" i="2" s="1"/>
  <c r="AO10" i="2" s="1"/>
  <c r="AO11" i="2" s="1"/>
  <c r="AN6" i="2"/>
  <c r="AN8" i="2" s="1"/>
  <c r="AN10" i="2" s="1"/>
  <c r="AN11" i="2" s="1"/>
  <c r="AM6" i="2"/>
  <c r="AM8" i="2" s="1"/>
  <c r="AM10" i="2" s="1"/>
  <c r="AM11" i="2" s="1"/>
  <c r="AL6" i="2"/>
  <c r="AL8" i="2" s="1"/>
  <c r="AL10" i="2" s="1"/>
  <c r="AL11" i="2" s="1"/>
  <c r="AK6" i="2"/>
  <c r="AK8" i="2" s="1"/>
  <c r="AK10" i="2" s="1"/>
  <c r="AK11" i="2" s="1"/>
  <c r="T6" i="2"/>
  <c r="T8" i="2" s="1"/>
  <c r="T10" i="2" s="1"/>
  <c r="T11" i="2" s="1"/>
  <c r="S6" i="2"/>
  <c r="S8" i="2" s="1"/>
  <c r="S10" i="2" s="1"/>
  <c r="S11" i="2" s="1"/>
  <c r="R6" i="2"/>
  <c r="R8" i="2" s="1"/>
  <c r="R10" i="2" s="1"/>
  <c r="R11" i="2" s="1"/>
  <c r="Q6" i="2"/>
  <c r="Q8" i="2" s="1"/>
  <c r="Q10" i="2" s="1"/>
  <c r="Q11" i="2" s="1"/>
  <c r="P6" i="2"/>
  <c r="P8" i="2" s="1"/>
  <c r="P10" i="2" s="1"/>
  <c r="D2" i="1" a="1"/>
  <c r="D2" i="1" s="1"/>
  <c r="E2" i="1" a="1"/>
  <c r="E2" i="1" s="1"/>
  <c r="F2" i="1" a="1"/>
  <c r="F2" i="1" s="1"/>
  <c r="G2" i="1" a="1"/>
  <c r="G2" i="1" s="1"/>
  <c r="H2" i="1" a="1"/>
  <c r="H2" i="1" s="1"/>
  <c r="D3" i="1" a="1"/>
  <c r="D3" i="1" s="1"/>
  <c r="E3" i="1" a="1"/>
  <c r="E3" i="1" s="1"/>
  <c r="F3" i="1" a="1"/>
  <c r="F3" i="1" s="1"/>
  <c r="G3" i="1" a="1"/>
  <c r="G3" i="1" s="1"/>
  <c r="H3" i="1" a="1"/>
  <c r="H3" i="1" s="1"/>
  <c r="D4" i="1" a="1"/>
  <c r="D4" i="1" s="1"/>
  <c r="E4" i="1" a="1"/>
  <c r="E4" i="1" s="1"/>
  <c r="F4" i="1" a="1"/>
  <c r="F4" i="1" s="1"/>
  <c r="G4" i="1" a="1"/>
  <c r="G4" i="1" s="1"/>
  <c r="H4" i="1" a="1"/>
  <c r="H4" i="1" s="1"/>
  <c r="D5" i="1" a="1"/>
  <c r="D5" i="1" s="1"/>
  <c r="E5" i="1" a="1"/>
  <c r="E5" i="1" s="1"/>
  <c r="F5" i="1" a="1"/>
  <c r="F5" i="1" s="1"/>
  <c r="G5" i="1" a="1"/>
  <c r="G5" i="1" s="1"/>
  <c r="H5" i="1" a="1"/>
  <c r="H5" i="1" s="1"/>
  <c r="D6" i="1" a="1"/>
  <c r="D6" i="1" s="1"/>
  <c r="D7" i="1" s="1"/>
  <c r="E6" i="1" a="1"/>
  <c r="E6" i="1" s="1"/>
  <c r="E7" i="1" s="1"/>
  <c r="J16" i="5" s="1"/>
  <c r="F6" i="1" a="1"/>
  <c r="F6" i="1" s="1"/>
  <c r="F7" i="1" s="1"/>
  <c r="G6" i="1" a="1"/>
  <c r="G6" i="1" s="1"/>
  <c r="G7" i="1" s="1"/>
  <c r="H6" i="1" a="1"/>
  <c r="H6" i="1" s="1"/>
  <c r="H7" i="1" s="1"/>
  <c r="D8" i="1" a="1"/>
  <c r="D8" i="1" s="1"/>
  <c r="D9" i="1" s="1"/>
  <c r="E8" i="1" a="1"/>
  <c r="E8" i="1" s="1"/>
  <c r="E9" i="1" s="1"/>
  <c r="F8" i="1" a="1"/>
  <c r="F8" i="1" s="1"/>
  <c r="F9" i="1" s="1"/>
  <c r="G8" i="1" a="1"/>
  <c r="G8" i="1" s="1"/>
  <c r="G9" i="1" s="1"/>
  <c r="H8" i="1" a="1"/>
  <c r="H8" i="1" s="1"/>
  <c r="H9" i="1" s="1"/>
  <c r="D10" i="1" a="1"/>
  <c r="D10" i="1" s="1"/>
  <c r="E10" i="1" a="1"/>
  <c r="E10" i="1" s="1"/>
  <c r="F10" i="1" a="1"/>
  <c r="F10" i="1" s="1"/>
  <c r="G10" i="1" a="1"/>
  <c r="G10" i="1" s="1"/>
  <c r="H10" i="1" a="1"/>
  <c r="H10" i="1" s="1"/>
  <c r="D11" i="1" a="1"/>
  <c r="D11" i="1" s="1"/>
  <c r="E11" i="1" a="1"/>
  <c r="E11" i="1" s="1"/>
  <c r="F11" i="1" a="1"/>
  <c r="F11" i="1" s="1"/>
  <c r="G11" i="1" a="1"/>
  <c r="G11" i="1" s="1"/>
  <c r="H11" i="1" a="1"/>
  <c r="H11" i="1" s="1"/>
  <c r="AY8" i="6" l="1"/>
  <c r="AY4" i="6"/>
  <c r="AY6" i="6" s="1"/>
  <c r="AZ3" i="6"/>
  <c r="AC3" i="6"/>
  <c r="AB8" i="6"/>
  <c r="AB4" i="6"/>
  <c r="AB6" i="6" s="1"/>
  <c r="S8" i="6"/>
  <c r="S4" i="6"/>
  <c r="S6" i="6" s="1"/>
  <c r="Q39" i="2" s="1"/>
  <c r="AJ12" i="6"/>
  <c r="AJ10" i="6"/>
  <c r="R8" i="6"/>
  <c r="R4" i="6"/>
  <c r="R6" i="6" s="1"/>
  <c r="P39" i="2" s="1"/>
  <c r="AA4" i="6"/>
  <c r="AA6" i="6" s="1"/>
  <c r="AA8" i="6"/>
  <c r="T3" i="6"/>
  <c r="AP8" i="6"/>
  <c r="AP4" i="6"/>
  <c r="AP6" i="6" s="1"/>
  <c r="AL3" i="6"/>
  <c r="AK7" i="6"/>
  <c r="AK4" i="6"/>
  <c r="AK6" i="6" s="1"/>
  <c r="AK8" i="6"/>
  <c r="Q4" i="5"/>
  <c r="AK9" i="6" s="1"/>
  <c r="AQ4" i="6"/>
  <c r="AQ6" i="6" s="1"/>
  <c r="AQ8" i="6"/>
  <c r="AX4" i="6"/>
  <c r="AX6" i="6" s="1"/>
  <c r="AX8" i="6"/>
  <c r="AR3" i="6"/>
  <c r="Z4" i="6"/>
  <c r="Z6" i="6" s="1"/>
  <c r="Z8" i="6"/>
  <c r="G4" i="5"/>
  <c r="G5" i="5" s="1"/>
  <c r="J10" i="5"/>
  <c r="J11" i="5" s="1"/>
  <c r="D4" i="5"/>
  <c r="D5" i="5" s="1"/>
  <c r="AX24" i="6"/>
  <c r="E27" i="7"/>
  <c r="J24" i="7" s="1"/>
  <c r="AP24" i="6"/>
  <c r="E26" i="7"/>
  <c r="J23" i="7" s="1"/>
  <c r="Z24" i="6"/>
  <c r="E25" i="7"/>
  <c r="J22" i="7" s="1"/>
  <c r="AH26" i="6"/>
  <c r="E24" i="7"/>
  <c r="J21" i="7" s="1"/>
  <c r="R24" i="6"/>
  <c r="E23" i="7"/>
  <c r="J20" i="7" s="1"/>
  <c r="J17" i="5"/>
  <c r="J18" i="5" s="1"/>
  <c r="F4" i="5"/>
  <c r="F5" i="5" s="1"/>
  <c r="E4" i="5"/>
  <c r="E5" i="5" s="1"/>
  <c r="AY28" i="2"/>
  <c r="AY27" i="2"/>
  <c r="AX14" i="2" a="1"/>
  <c r="AX14" i="2" s="1"/>
  <c r="AX8" i="2" a="1"/>
  <c r="AX8" i="2" s="1"/>
  <c r="M6" i="2"/>
  <c r="U3" i="6" l="1"/>
  <c r="T4" i="6"/>
  <c r="T6" i="6" s="1"/>
  <c r="R39" i="2" s="1"/>
  <c r="T8" i="6"/>
  <c r="AS3" i="6"/>
  <c r="AR4" i="6"/>
  <c r="AR6" i="6" s="1"/>
  <c r="AR8" i="6"/>
  <c r="R7" i="6"/>
  <c r="R9" i="6"/>
  <c r="R11" i="6" s="1"/>
  <c r="P40" i="2" s="1"/>
  <c r="AD3" i="6"/>
  <c r="AC4" i="6"/>
  <c r="AC6" i="6" s="1"/>
  <c r="AC8" i="6"/>
  <c r="AX7" i="6"/>
  <c r="AX9" i="6" s="1"/>
  <c r="AX11" i="6" s="1"/>
  <c r="BA3" i="6"/>
  <c r="AZ4" i="6"/>
  <c r="AZ6" i="6" s="1"/>
  <c r="AZ8" i="6"/>
  <c r="S7" i="6"/>
  <c r="S9" i="6" s="1"/>
  <c r="S11" i="6" s="1"/>
  <c r="Q40" i="2" s="1"/>
  <c r="AM3" i="6"/>
  <c r="AL4" i="6"/>
  <c r="AL6" i="6" s="1"/>
  <c r="AL8" i="6"/>
  <c r="AL7" i="6"/>
  <c r="R4" i="5"/>
  <c r="AL9" i="6" s="1"/>
  <c r="AY7" i="6"/>
  <c r="AY9" i="6" s="1"/>
  <c r="AY11" i="6" s="1"/>
  <c r="AK12" i="6"/>
  <c r="AK10" i="6"/>
  <c r="AQ7" i="6"/>
  <c r="AQ9" i="6" s="1"/>
  <c r="AQ11" i="6" s="1"/>
  <c r="AP7" i="6"/>
  <c r="AP9" i="6" s="1"/>
  <c r="AP11" i="6" s="1"/>
  <c r="D16" i="5"/>
  <c r="G16" i="5"/>
  <c r="F16" i="5"/>
  <c r="E16" i="5"/>
  <c r="J19" i="5"/>
  <c r="H3" i="8"/>
  <c r="H2" i="8"/>
  <c r="F3" i="8"/>
  <c r="F2" i="8"/>
  <c r="AY12" i="6" l="1"/>
  <c r="AY13" i="6"/>
  <c r="AX12" i="6"/>
  <c r="AX13" i="6"/>
  <c r="AP12" i="6"/>
  <c r="AP13" i="6" s="1"/>
  <c r="AQ12" i="6"/>
  <c r="AQ13" i="6"/>
  <c r="S12" i="6"/>
  <c r="S13" i="6"/>
  <c r="Q41" i="2" s="1"/>
  <c r="AR7" i="6"/>
  <c r="AR9" i="6"/>
  <c r="AR11" i="6" s="1"/>
  <c r="AZ7" i="6"/>
  <c r="AZ9" i="6" s="1"/>
  <c r="AZ11" i="6" s="1"/>
  <c r="AE3" i="6"/>
  <c r="AD8" i="6"/>
  <c r="AD4" i="6"/>
  <c r="AD6" i="6" s="1"/>
  <c r="AT3" i="6"/>
  <c r="AS4" i="6"/>
  <c r="AS6" i="6" s="1"/>
  <c r="AS8" i="6"/>
  <c r="R12" i="6"/>
  <c r="K4" i="8" s="1"/>
  <c r="S4" i="5"/>
  <c r="AM9" i="6" s="1"/>
  <c r="AM8" i="6"/>
  <c r="AM4" i="6"/>
  <c r="AM7" i="6"/>
  <c r="D70" i="8"/>
  <c r="D21" i="8"/>
  <c r="BB3" i="6"/>
  <c r="BA4" i="6"/>
  <c r="BA6" i="6" s="1"/>
  <c r="BA8" i="6"/>
  <c r="T7" i="6"/>
  <c r="T9" i="6" s="1"/>
  <c r="T11" i="6" s="1"/>
  <c r="R40" i="2" s="1"/>
  <c r="AL12" i="6"/>
  <c r="AL10" i="6"/>
  <c r="V3" i="6"/>
  <c r="U4" i="6"/>
  <c r="U6" i="6" s="1"/>
  <c r="S39" i="2" s="1"/>
  <c r="U8" i="6"/>
  <c r="J20" i="5"/>
  <c r="D22" i="7"/>
  <c r="K9" i="7" s="1"/>
  <c r="C22" i="7"/>
  <c r="J9" i="7" s="1"/>
  <c r="B22" i="7"/>
  <c r="D21" i="7"/>
  <c r="K8" i="7" s="1"/>
  <c r="D18" i="7"/>
  <c r="E18" i="7"/>
  <c r="B18" i="7"/>
  <c r="C6" i="7" a="1"/>
  <c r="C6" i="7" s="1"/>
  <c r="R13" i="6" l="1"/>
  <c r="P41" i="2" s="1"/>
  <c r="BA7" i="6"/>
  <c r="BA9" i="6"/>
  <c r="BA11" i="6" s="1"/>
  <c r="BC3" i="6"/>
  <c r="BB4" i="6"/>
  <c r="BB6" i="6" s="1"/>
  <c r="BB8" i="6"/>
  <c r="AZ12" i="6"/>
  <c r="AZ13" i="6" s="1"/>
  <c r="AR12" i="6"/>
  <c r="AR13" i="6" s="1"/>
  <c r="AE4" i="6"/>
  <c r="AE6" i="6" s="1"/>
  <c r="AE8" i="6"/>
  <c r="W3" i="6"/>
  <c r="V4" i="6"/>
  <c r="V6" i="6" s="1"/>
  <c r="T39" i="2" s="1"/>
  <c r="V8" i="6"/>
  <c r="AS7" i="6"/>
  <c r="AS9" i="6" s="1"/>
  <c r="AS11" i="6" s="1"/>
  <c r="T12" i="6"/>
  <c r="T13" i="6" s="1"/>
  <c r="R41" i="2" s="1"/>
  <c r="AU3" i="6"/>
  <c r="AT4" i="6"/>
  <c r="AT6" i="6" s="1"/>
  <c r="AT8" i="6"/>
  <c r="U7" i="6"/>
  <c r="U9" i="6" s="1"/>
  <c r="U11" i="6" s="1"/>
  <c r="S40" i="2" s="1"/>
  <c r="L9" i="7"/>
  <c r="I9" i="7"/>
  <c r="J5" i="8"/>
  <c r="L5" i="8" s="1"/>
  <c r="AM6" i="6"/>
  <c r="J22" i="5"/>
  <c r="C18" i="7"/>
  <c r="AS12" i="6" l="1"/>
  <c r="AS13" i="6"/>
  <c r="U12" i="6"/>
  <c r="U13" i="6" s="1"/>
  <c r="S41" i="2" s="1"/>
  <c r="D69" i="8"/>
  <c r="D77" i="8" s="1"/>
  <c r="D22" i="8"/>
  <c r="D78" i="8" s="1"/>
  <c r="BB7" i="6"/>
  <c r="BB9" i="6" s="1"/>
  <c r="BB11" i="6" s="1"/>
  <c r="AM12" i="6"/>
  <c r="D37" i="8"/>
  <c r="D5" i="8"/>
  <c r="AM10" i="6"/>
  <c r="BC4" i="6"/>
  <c r="BC6" i="6" s="1"/>
  <c r="D24" i="8" s="1"/>
  <c r="BC8" i="6"/>
  <c r="BA12" i="6"/>
  <c r="BA13" i="6" s="1"/>
  <c r="I19" i="7"/>
  <c r="AT7" i="6"/>
  <c r="AT9" i="6"/>
  <c r="AT11" i="6" s="1"/>
  <c r="AU8" i="6"/>
  <c r="AU4" i="6"/>
  <c r="AU6" i="6" s="1"/>
  <c r="V7" i="6"/>
  <c r="V9" i="6" s="1"/>
  <c r="V11" i="6" s="1"/>
  <c r="T40" i="2" s="1"/>
  <c r="W4" i="6"/>
  <c r="W6" i="6" s="1"/>
  <c r="U39" i="2" s="1"/>
  <c r="W8" i="6"/>
  <c r="BB12" i="6" l="1"/>
  <c r="BB13" i="6" s="1"/>
  <c r="V12" i="6"/>
  <c r="V13" i="6"/>
  <c r="T41" i="2" s="1"/>
  <c r="D72" i="8"/>
  <c r="D80" i="8" s="1"/>
  <c r="AT12" i="6"/>
  <c r="AT13" i="6"/>
  <c r="AH20" i="6"/>
  <c r="AH18" i="6"/>
  <c r="AH19" i="6" s="1"/>
  <c r="BC7" i="6"/>
  <c r="BC9" i="6"/>
  <c r="W7" i="6"/>
  <c r="W9" i="6" s="1"/>
  <c r="D68" i="8"/>
  <c r="D20" i="8"/>
  <c r="D76" i="8" s="1"/>
  <c r="AU7" i="6"/>
  <c r="AU9" i="6"/>
  <c r="D71" i="8"/>
  <c r="D23" i="8"/>
  <c r="J22" i="6"/>
  <c r="C9" i="5"/>
  <c r="B9" i="5"/>
  <c r="B5" i="6"/>
  <c r="C5" i="6" s="1"/>
  <c r="D5" i="6" s="1"/>
  <c r="E5" i="6" s="1"/>
  <c r="F5" i="6" s="1"/>
  <c r="G5" i="6" s="1"/>
  <c r="B22" i="6"/>
  <c r="C14" i="5"/>
  <c r="B14" i="5"/>
  <c r="J5" i="6"/>
  <c r="C8" i="5"/>
  <c r="J3" i="6" s="1"/>
  <c r="J8" i="6" s="1"/>
  <c r="C7" i="5"/>
  <c r="B8" i="5"/>
  <c r="B3" i="6" s="1"/>
  <c r="B8" i="6" s="1"/>
  <c r="D79" i="8" l="1"/>
  <c r="AH21" i="6"/>
  <c r="AH23" i="6" s="1"/>
  <c r="AH25" i="6" s="1"/>
  <c r="AH27" i="6" s="1"/>
  <c r="W11" i="6"/>
  <c r="U40" i="2" s="1"/>
  <c r="J4" i="8"/>
  <c r="L4" i="8" s="1"/>
  <c r="BC11" i="6"/>
  <c r="J8" i="8"/>
  <c r="AU11" i="6"/>
  <c r="J7" i="8"/>
  <c r="K3" i="6"/>
  <c r="K8" i="6" s="1"/>
  <c r="J4" i="6"/>
  <c r="J6" i="6" s="1"/>
  <c r="K5" i="6"/>
  <c r="B4" i="6"/>
  <c r="B6" i="6" s="1"/>
  <c r="C3" i="6"/>
  <c r="C8" i="6" s="1"/>
  <c r="J6" i="2"/>
  <c r="J8" i="2" s="1"/>
  <c r="J10" i="2" s="1"/>
  <c r="K6" i="2"/>
  <c r="K8" i="2" s="1"/>
  <c r="K10" i="2" s="1"/>
  <c r="L6" i="2"/>
  <c r="L8" i="2" s="1"/>
  <c r="L10" i="2" s="1"/>
  <c r="M8" i="2"/>
  <c r="M10" i="2" s="1"/>
  <c r="I6" i="2"/>
  <c r="C6" i="2"/>
  <c r="C8" i="2" s="1"/>
  <c r="C10" i="2" s="1"/>
  <c r="C11" i="2" s="1"/>
  <c r="D6" i="2"/>
  <c r="D8" i="2" s="1"/>
  <c r="D10" i="2" s="1"/>
  <c r="D11" i="2" s="1"/>
  <c r="E6" i="2"/>
  <c r="E8" i="2" s="1"/>
  <c r="E10" i="2" s="1"/>
  <c r="E11" i="2" s="1"/>
  <c r="F6" i="2"/>
  <c r="B6" i="2"/>
  <c r="C2" i="1" a="1"/>
  <c r="C2" i="1" s="1"/>
  <c r="C3" i="1" a="1"/>
  <c r="C3" i="1" s="1"/>
  <c r="C4" i="1" a="1"/>
  <c r="C4" i="1" s="1"/>
  <c r="C5" i="1" a="1"/>
  <c r="C5" i="1" s="1"/>
  <c r="BA28" i="2" s="1"/>
  <c r="C6" i="1" a="1"/>
  <c r="C6" i="1" s="1"/>
  <c r="C7" i="1" s="1"/>
  <c r="C8" i="1" a="1"/>
  <c r="C8" i="1" s="1"/>
  <c r="C9" i="1" s="1"/>
  <c r="C10" i="1" a="1"/>
  <c r="C10" i="1" s="1"/>
  <c r="C11" i="1" a="1"/>
  <c r="C11" i="1" s="1"/>
  <c r="B11" i="1" a="1"/>
  <c r="B11" i="1" s="1"/>
  <c r="B10" i="1" a="1"/>
  <c r="B10" i="1" s="1"/>
  <c r="B8" i="1" a="1"/>
  <c r="B8" i="1" s="1"/>
  <c r="B9" i="1" s="1"/>
  <c r="B6" i="1" a="1"/>
  <c r="B6" i="1" s="1"/>
  <c r="B7" i="1" s="1"/>
  <c r="B5" i="1" a="1"/>
  <c r="B5" i="1" s="1"/>
  <c r="BA27" i="2" s="1"/>
  <c r="B4" i="1" a="1"/>
  <c r="B4" i="1" s="1"/>
  <c r="B3" i="1" a="1"/>
  <c r="B3" i="1" s="1"/>
  <c r="B2" i="1" a="1"/>
  <c r="B2" i="1" s="1"/>
  <c r="BC12" i="6" l="1"/>
  <c r="K8" i="8"/>
  <c r="L8" i="8" s="1"/>
  <c r="D40" i="8"/>
  <c r="D8" i="8"/>
  <c r="BC13" i="6"/>
  <c r="D39" i="8"/>
  <c r="D7" i="8"/>
  <c r="AU12" i="6"/>
  <c r="K7" i="8" s="1"/>
  <c r="L7" i="8" s="1"/>
  <c r="D36" i="8"/>
  <c r="D4" i="8"/>
  <c r="W12" i="6"/>
  <c r="W13" i="6"/>
  <c r="U41" i="2" s="1"/>
  <c r="C4" i="5"/>
  <c r="C5" i="5" s="1"/>
  <c r="AX28" i="2" s="1"/>
  <c r="B4" i="5"/>
  <c r="B5" i="5" s="1"/>
  <c r="AX11" i="2" a="1"/>
  <c r="AX11" i="2" s="1"/>
  <c r="L5" i="6"/>
  <c r="M5" i="6" s="1"/>
  <c r="N5" i="6" s="1"/>
  <c r="O5" i="6" s="1"/>
  <c r="F8" i="2"/>
  <c r="F10" i="2" s="1"/>
  <c r="B21" i="7"/>
  <c r="AX5" i="2" a="1"/>
  <c r="AX5" i="2" s="1"/>
  <c r="L3" i="6"/>
  <c r="L8" i="6" s="1"/>
  <c r="K4" i="6"/>
  <c r="K6" i="6" s="1"/>
  <c r="B24" i="6"/>
  <c r="E21" i="7"/>
  <c r="J24" i="6"/>
  <c r="E22" i="7"/>
  <c r="J19" i="7" s="1"/>
  <c r="I8" i="2"/>
  <c r="C11" i="5"/>
  <c r="B8" i="2"/>
  <c r="B11" i="5"/>
  <c r="B7" i="6" s="1"/>
  <c r="B9" i="6" s="1"/>
  <c r="B11" i="6" s="1"/>
  <c r="D3" i="6"/>
  <c r="D8" i="6" s="1"/>
  <c r="C4" i="6"/>
  <c r="C6" i="6" s="1"/>
  <c r="AU13" i="6" l="1"/>
  <c r="AX18" i="6"/>
  <c r="AX19" i="6" s="1"/>
  <c r="AX20" i="6"/>
  <c r="R18" i="6"/>
  <c r="R19" i="6" s="1"/>
  <c r="R20" i="6"/>
  <c r="Z7" i="6"/>
  <c r="Z9" i="6" s="1"/>
  <c r="Z11" i="6" s="1"/>
  <c r="AA7" i="6"/>
  <c r="AA9" i="6" s="1"/>
  <c r="AA11" i="6" s="1"/>
  <c r="AA12" i="6" s="1"/>
  <c r="AA13" i="6" s="1"/>
  <c r="AB7" i="6"/>
  <c r="AB9" i="6" s="1"/>
  <c r="AB11" i="6" s="1"/>
  <c r="AB12" i="6" s="1"/>
  <c r="AB13" i="6" s="1"/>
  <c r="AC7" i="6"/>
  <c r="AC9" i="6" s="1"/>
  <c r="AC11" i="6" s="1"/>
  <c r="AC12" i="6" s="1"/>
  <c r="AC13" i="6" s="1"/>
  <c r="AD7" i="6"/>
  <c r="AD9" i="6" s="1"/>
  <c r="AD11" i="6" s="1"/>
  <c r="AD12" i="6" s="1"/>
  <c r="AD13" i="6" s="1"/>
  <c r="AE7" i="6"/>
  <c r="AE9" i="6" s="1"/>
  <c r="AP18" i="6"/>
  <c r="AP19" i="6" s="1"/>
  <c r="AP20" i="6"/>
  <c r="L8" i="7"/>
  <c r="I8" i="7"/>
  <c r="I18" i="7" s="1"/>
  <c r="J18" i="7" s="1"/>
  <c r="C16" i="5"/>
  <c r="AX27" i="2"/>
  <c r="B16" i="5"/>
  <c r="M3" i="6"/>
  <c r="M8" i="6" s="1"/>
  <c r="L4" i="6"/>
  <c r="L6" i="6" s="1"/>
  <c r="F11" i="2"/>
  <c r="C21" i="7" s="1"/>
  <c r="J8" i="7" s="1"/>
  <c r="B10" i="2"/>
  <c r="B11" i="2" s="1"/>
  <c r="AX6" i="2" a="1"/>
  <c r="AX6" i="2" s="1"/>
  <c r="I10" i="2"/>
  <c r="G3" i="8" s="1"/>
  <c r="I3" i="8" s="1"/>
  <c r="AX12" i="2" a="1"/>
  <c r="AX12" i="2" s="1"/>
  <c r="K7" i="6"/>
  <c r="K9" i="6" s="1"/>
  <c r="K11" i="6" s="1"/>
  <c r="K12" i="6" s="1"/>
  <c r="K13" i="6" s="1"/>
  <c r="J7" i="6"/>
  <c r="J9" i="6" s="1"/>
  <c r="J11" i="6" s="1"/>
  <c r="E3" i="6"/>
  <c r="E8" i="6" s="1"/>
  <c r="D4" i="6"/>
  <c r="D6" i="6" s="1"/>
  <c r="C7" i="6"/>
  <c r="C9" i="6" s="1"/>
  <c r="C11" i="6" s="1"/>
  <c r="AP21" i="6" l="1"/>
  <c r="AP23" i="6" s="1"/>
  <c r="AP25" i="6" s="1"/>
  <c r="AX21" i="6"/>
  <c r="AX23" i="6" s="1"/>
  <c r="AX25" i="6" s="1"/>
  <c r="Z12" i="6"/>
  <c r="Z13" i="6" s="1"/>
  <c r="R21" i="6"/>
  <c r="R23" i="6" s="1"/>
  <c r="R25" i="6" s="1"/>
  <c r="J6" i="8"/>
  <c r="AE11" i="6"/>
  <c r="N3" i="6"/>
  <c r="N8" i="6" s="1"/>
  <c r="M4" i="6"/>
  <c r="M6" i="6" s="1"/>
  <c r="M7" i="6" s="1"/>
  <c r="J12" i="6"/>
  <c r="J13" i="6" s="1"/>
  <c r="AX7" i="2" a="1"/>
  <c r="AX7" i="2" s="1"/>
  <c r="B7" i="5"/>
  <c r="B12" i="6" s="1"/>
  <c r="B13" i="6" s="1"/>
  <c r="L7" i="6"/>
  <c r="L9" i="6" s="1"/>
  <c r="L11" i="6" s="1"/>
  <c r="L12" i="6" s="1"/>
  <c r="L13" i="6" s="1"/>
  <c r="G2" i="8"/>
  <c r="I2" i="8" s="1"/>
  <c r="I9" i="8" s="1"/>
  <c r="D7" i="6"/>
  <c r="D9" i="6" s="1"/>
  <c r="D11" i="6" s="1"/>
  <c r="F3" i="6"/>
  <c r="F8" i="6" s="1"/>
  <c r="E4" i="6"/>
  <c r="E6" i="6" s="1"/>
  <c r="AE12" i="6" l="1"/>
  <c r="AE13" i="6" s="1"/>
  <c r="Z18" i="6" s="1"/>
  <c r="Z19" i="6" s="1"/>
  <c r="D38" i="8"/>
  <c r="D6" i="8"/>
  <c r="Z20" i="6"/>
  <c r="K6" i="8"/>
  <c r="L6" i="8" s="1"/>
  <c r="M9" i="6"/>
  <c r="M11" i="6" s="1"/>
  <c r="C12" i="6"/>
  <c r="C13" i="6" s="1"/>
  <c r="O3" i="6"/>
  <c r="O8" i="6" s="1"/>
  <c r="N4" i="6"/>
  <c r="N6" i="6" s="1"/>
  <c r="N7" i="6" s="1"/>
  <c r="D12" i="6"/>
  <c r="D13" i="6" s="1"/>
  <c r="E7" i="6"/>
  <c r="E9" i="6" s="1"/>
  <c r="E11" i="6" s="1"/>
  <c r="G3" i="6"/>
  <c r="G8" i="6" s="1"/>
  <c r="F4" i="6"/>
  <c r="F6" i="6" s="1"/>
  <c r="Z21" i="6" l="1"/>
  <c r="Z23" i="6" s="1"/>
  <c r="Z25" i="6" s="1"/>
  <c r="N9" i="6"/>
  <c r="N11" i="6" s="1"/>
  <c r="N12" i="6" s="1"/>
  <c r="N13" i="6" s="1"/>
  <c r="G4" i="6"/>
  <c r="G6" i="6" s="1"/>
  <c r="O4" i="6"/>
  <c r="O6" i="6" s="1"/>
  <c r="M12" i="6"/>
  <c r="M13" i="6" s="1"/>
  <c r="F7" i="6"/>
  <c r="F9" i="6" s="1"/>
  <c r="F11" i="6" s="1"/>
  <c r="G7" i="6"/>
  <c r="G9" i="6" s="1"/>
  <c r="E12" i="6"/>
  <c r="E13" i="6" s="1"/>
  <c r="AX17" i="2" l="1" a="1"/>
  <c r="AX17" i="2" s="1"/>
  <c r="D66" i="8"/>
  <c r="D19" i="8"/>
  <c r="D67" i="8"/>
  <c r="D18" i="8"/>
  <c r="G11" i="6"/>
  <c r="J2" i="8"/>
  <c r="O7" i="6"/>
  <c r="O9" i="6" s="1"/>
  <c r="AX22" i="2" a="1"/>
  <c r="AX22" i="2" s="1"/>
  <c r="F12" i="6"/>
  <c r="F13" i="6" s="1"/>
  <c r="D74" i="8" l="1"/>
  <c r="D25" i="8"/>
  <c r="G12" i="6"/>
  <c r="G13" i="6" s="1"/>
  <c r="B18" i="6" s="1"/>
  <c r="B19" i="6" s="1"/>
  <c r="D34" i="8"/>
  <c r="D41" i="8" s="1"/>
  <c r="I17" i="8" s="1"/>
  <c r="D75" i="8"/>
  <c r="D73" i="8"/>
  <c r="AX18" i="2" a="1"/>
  <c r="AX18" i="2" s="1"/>
  <c r="J3" i="8"/>
  <c r="O11" i="6"/>
  <c r="D35" i="8" s="1"/>
  <c r="D2" i="8"/>
  <c r="K2" i="8"/>
  <c r="L2" i="8" s="1"/>
  <c r="AX19" i="2" a="1"/>
  <c r="AX19" i="2" s="1"/>
  <c r="B20" i="6"/>
  <c r="B21" i="6" l="1"/>
  <c r="B23" i="6" s="1"/>
  <c r="B25" i="6" s="1"/>
  <c r="D81" i="8"/>
  <c r="D3" i="8"/>
  <c r="D9" i="8" s="1"/>
  <c r="O12" i="6"/>
  <c r="K3" i="8" s="1"/>
  <c r="L3" i="8" s="1"/>
  <c r="L9" i="8" s="1"/>
  <c r="AX23" i="2" a="1"/>
  <c r="AX23" i="2" s="1"/>
  <c r="AZ27" i="2" l="1"/>
  <c r="BB27" i="2" s="1"/>
  <c r="O13" i="6"/>
  <c r="J18" i="6" l="1"/>
  <c r="J19" i="6" s="1"/>
  <c r="J20" i="6"/>
  <c r="AX24" i="2" a="1"/>
  <c r="AX24" i="2" s="1"/>
  <c r="J21" i="6" l="1"/>
  <c r="J23" i="6" s="1"/>
  <c r="AZ28" i="2" l="1"/>
  <c r="BB28" i="2" s="1"/>
  <c r="J25"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7">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1"/>
        </ext>
      </extLst>
    </bk>
    <bk>
      <extLst>
        <ext uri="{3e2802c4-a4d2-4d8b-9148-e3be6c30e623}">
          <xlrd:rvb i="14"/>
        </ext>
      </extLst>
    </bk>
    <bk>
      <extLst>
        <ext uri="{3e2802c4-a4d2-4d8b-9148-e3be6c30e623}">
          <xlrd:rvb i="17"/>
        </ext>
      </extLst>
    </bk>
    <bk>
      <extLst>
        <ext uri="{3e2802c4-a4d2-4d8b-9148-e3be6c30e623}">
          <xlrd:rvb i="20"/>
        </ext>
      </extLst>
    </bk>
    <bk>
      <extLst>
        <ext uri="{3e2802c4-a4d2-4d8b-9148-e3be6c30e623}">
          <xlrd:rvb i="23"/>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4"/>
        </ext>
      </extLst>
    </bk>
  </futureMetadata>
  <cellMetadata count="1">
    <bk>
      <rc t="1" v="0"/>
    </bk>
  </cellMetadata>
  <valueMetadata count="17">
    <bk>
      <rc t="2" v="0"/>
    </bk>
    <bk>
      <rc t="2" v="1"/>
    </bk>
    <bk>
      <rc t="2" v="2"/>
    </bk>
    <bk>
      <rc t="2" v="3"/>
    </bk>
    <bk>
      <rc t="2" v="4"/>
    </bk>
    <bk>
      <rc t="2" v="5"/>
    </bk>
    <bk>
      <rc t="2" v="6"/>
    </bk>
    <bk>
      <rc t="2" v="7"/>
    </bk>
    <bk>
      <rc t="2" v="8"/>
    </bk>
    <bk>
      <rc t="2" v="9"/>
    </bk>
    <bk>
      <rc t="2" v="10"/>
    </bk>
    <bk>
      <rc t="2" v="11"/>
    </bk>
    <bk>
      <rc t="2" v="12"/>
    </bk>
    <bk>
      <rc t="2" v="13"/>
    </bk>
    <bk>
      <rc t="2" v="14"/>
    </bk>
    <bk>
      <rc t="2" v="15"/>
    </bk>
    <bk>
      <rc t="2" v="16"/>
    </bk>
  </valueMetadata>
</metadata>
</file>

<file path=xl/sharedStrings.xml><?xml version="1.0" encoding="utf-8"?>
<sst xmlns="http://schemas.openxmlformats.org/spreadsheetml/2006/main" count="845" uniqueCount="180">
  <si>
    <t>Company</t>
  </si>
  <si>
    <t>Official Name</t>
  </si>
  <si>
    <t>Beta</t>
  </si>
  <si>
    <t>P/E</t>
  </si>
  <si>
    <t>Share Price</t>
  </si>
  <si>
    <t>Market Cap</t>
  </si>
  <si>
    <t>Change (%)</t>
  </si>
  <si>
    <t>Year</t>
  </si>
  <si>
    <t>Shares Outstanding</t>
  </si>
  <si>
    <t>in millions</t>
  </si>
  <si>
    <t>Income Statement</t>
  </si>
  <si>
    <t>Particulars</t>
  </si>
  <si>
    <t>Net Interest Income</t>
  </si>
  <si>
    <t>Non-interest income</t>
  </si>
  <si>
    <t>Non-interest expense</t>
  </si>
  <si>
    <t>Provision for credit losses</t>
  </si>
  <si>
    <t xml:space="preserve">Net Income </t>
  </si>
  <si>
    <t>Balance Sheet</t>
  </si>
  <si>
    <t>Total Loans &amp; Leases</t>
  </si>
  <si>
    <t>Total deposits</t>
  </si>
  <si>
    <t>Total assets</t>
  </si>
  <si>
    <t>Risk-weighted assets</t>
  </si>
  <si>
    <t>CET1 Capital</t>
  </si>
  <si>
    <t>Total Equity</t>
  </si>
  <si>
    <t xml:space="preserve">Cash Flow </t>
  </si>
  <si>
    <t>Dividends Paid</t>
  </si>
  <si>
    <t>Total net revenue</t>
  </si>
  <si>
    <t>Operating Income</t>
  </si>
  <si>
    <t>Pre-tax income</t>
  </si>
  <si>
    <t>2020</t>
  </si>
  <si>
    <t>2021</t>
  </si>
  <si>
    <t>2022</t>
  </si>
  <si>
    <t>2023</t>
  </si>
  <si>
    <t>2024</t>
  </si>
  <si>
    <t>Input</t>
  </si>
  <si>
    <t>JPMC</t>
  </si>
  <si>
    <t>BOA</t>
  </si>
  <si>
    <t>Value</t>
  </si>
  <si>
    <t>Risk Free rate</t>
  </si>
  <si>
    <t>Equity risk premium</t>
  </si>
  <si>
    <t>Cost of Equity</t>
  </si>
  <si>
    <t>Terminal Growth</t>
  </si>
  <si>
    <t>Dividend Payout</t>
  </si>
  <si>
    <t>Loan growth</t>
  </si>
  <si>
    <t>Net Interest margin</t>
  </si>
  <si>
    <t>Non Interest income growth</t>
  </si>
  <si>
    <t>Operating efficiency ratio</t>
  </si>
  <si>
    <t>Tax rate</t>
  </si>
  <si>
    <t>Shares Outstanding  (in mn)</t>
  </si>
  <si>
    <t>Shares Outstanding (in mn)</t>
  </si>
  <si>
    <t>Investments</t>
  </si>
  <si>
    <t>DCF</t>
  </si>
  <si>
    <t>Loans</t>
  </si>
  <si>
    <t>Non-Interest income</t>
  </si>
  <si>
    <t>Net Revenue</t>
  </si>
  <si>
    <t>Operating Expense</t>
  </si>
  <si>
    <t>Provisions</t>
  </si>
  <si>
    <t>PBT</t>
  </si>
  <si>
    <t>Tax</t>
  </si>
  <si>
    <t>Net Income</t>
  </si>
  <si>
    <t>Dividend</t>
  </si>
  <si>
    <t>FCFE</t>
  </si>
  <si>
    <t>Non-Performing Assets</t>
  </si>
  <si>
    <t>NPA</t>
  </si>
  <si>
    <t>PCR</t>
  </si>
  <si>
    <t>NPA Ratio</t>
  </si>
  <si>
    <t>2025</t>
  </si>
  <si>
    <t>2026</t>
  </si>
  <si>
    <t>2027</t>
  </si>
  <si>
    <t>2028</t>
  </si>
  <si>
    <t>2029</t>
  </si>
  <si>
    <t>2030</t>
  </si>
  <si>
    <t>Metric</t>
  </si>
  <si>
    <t>Terminal Value</t>
  </si>
  <si>
    <t>PV of TV</t>
  </si>
  <si>
    <t>PV of FCFE</t>
  </si>
  <si>
    <t>Intrinsic Value</t>
  </si>
  <si>
    <t>Current market price</t>
  </si>
  <si>
    <t>Upside/Downside</t>
  </si>
  <si>
    <t>Total Equity Value</t>
  </si>
  <si>
    <t>P/B</t>
  </si>
  <si>
    <t>P/S</t>
  </si>
  <si>
    <t>Average</t>
  </si>
  <si>
    <t>EV/Revenue</t>
  </si>
  <si>
    <t>Revenue</t>
  </si>
  <si>
    <t>Book Value</t>
  </si>
  <si>
    <t>CMP</t>
  </si>
  <si>
    <t>Incremental ROCE</t>
  </si>
  <si>
    <t>Raw ROCE</t>
  </si>
  <si>
    <t>2025-30</t>
  </si>
  <si>
    <t>Earnings CAGR</t>
  </si>
  <si>
    <t>Shareholder's Equity</t>
  </si>
  <si>
    <t>Change in PBT</t>
  </si>
  <si>
    <t>Change in PBT F</t>
  </si>
  <si>
    <t>Cost of equity</t>
  </si>
  <si>
    <t>Share price</t>
  </si>
  <si>
    <t>Blackrock</t>
  </si>
  <si>
    <t>Goldman Sachs</t>
  </si>
  <si>
    <t>Morgan Stanley</t>
  </si>
  <si>
    <t>Wells Fargo</t>
  </si>
  <si>
    <t>Amex</t>
  </si>
  <si>
    <t>Capex</t>
  </si>
  <si>
    <t>GNPA</t>
  </si>
  <si>
    <t>NNPA</t>
  </si>
  <si>
    <t>Depreciation</t>
  </si>
  <si>
    <t>Total Assets</t>
  </si>
  <si>
    <t>Total current liabilities</t>
  </si>
  <si>
    <t>Total current assets</t>
  </si>
  <si>
    <t>Cash &amp; cash equivalents</t>
  </si>
  <si>
    <t>Accounts receivables</t>
  </si>
  <si>
    <t>Operating expenses</t>
  </si>
  <si>
    <t>Interest expense</t>
  </si>
  <si>
    <t>Income tax</t>
  </si>
  <si>
    <t>Net income</t>
  </si>
  <si>
    <t>Operating income (EBIT)</t>
  </si>
  <si>
    <t>Accounts payables</t>
  </si>
  <si>
    <t>PPE</t>
  </si>
  <si>
    <t>Total debt</t>
  </si>
  <si>
    <t>Shareholder's equity</t>
  </si>
  <si>
    <t>Interest income</t>
  </si>
  <si>
    <t>GS</t>
  </si>
  <si>
    <t>WF</t>
  </si>
  <si>
    <t>MS</t>
  </si>
  <si>
    <t>EBIT</t>
  </si>
  <si>
    <t>NOPAT</t>
  </si>
  <si>
    <t>Change in working capital</t>
  </si>
  <si>
    <t>FCFF</t>
  </si>
  <si>
    <t>Terminal value</t>
  </si>
  <si>
    <t>PV of FCFF</t>
  </si>
  <si>
    <t>Total equity value</t>
  </si>
  <si>
    <t>Net debt</t>
  </si>
  <si>
    <t>Total enterprise value</t>
  </si>
  <si>
    <t>Shares outstanding</t>
  </si>
  <si>
    <t>Intrinsic value</t>
  </si>
  <si>
    <t>Current price</t>
  </si>
  <si>
    <t>Revenue CAGR</t>
  </si>
  <si>
    <t>Operating margin (EBIT)</t>
  </si>
  <si>
    <t>Depreciation rate</t>
  </si>
  <si>
    <t>CapEx</t>
  </si>
  <si>
    <t>Working capital</t>
  </si>
  <si>
    <t>Forecast horizon (yrs)</t>
  </si>
  <si>
    <t>Risk-free rate</t>
  </si>
  <si>
    <t>Kd (pre-tax)</t>
  </si>
  <si>
    <t>Kd (after tax)</t>
  </si>
  <si>
    <t>Market cap</t>
  </si>
  <si>
    <t>Total capital</t>
  </si>
  <si>
    <t>Debt weight</t>
  </si>
  <si>
    <t>Equity weight</t>
  </si>
  <si>
    <t>WACC</t>
  </si>
  <si>
    <t>Terminal year</t>
  </si>
  <si>
    <t>PV discount rate (terminal year)</t>
  </si>
  <si>
    <t>Terminal growth rate</t>
  </si>
  <si>
    <t>WC=Blackrock</t>
  </si>
  <si>
    <t>WC-F</t>
  </si>
  <si>
    <t>Present value discount rate</t>
  </si>
  <si>
    <t>Goldman</t>
  </si>
  <si>
    <t>Wells fargo</t>
  </si>
  <si>
    <t>Shares</t>
  </si>
  <si>
    <t>Target Price</t>
  </si>
  <si>
    <t>2020-24</t>
  </si>
  <si>
    <t>Avg Capex</t>
  </si>
  <si>
    <t>Earnings growth</t>
  </si>
  <si>
    <t>Average CAGR</t>
  </si>
  <si>
    <t>Avg</t>
  </si>
  <si>
    <t>Average Capex</t>
  </si>
  <si>
    <t>Avg growth</t>
  </si>
  <si>
    <t>GDP</t>
  </si>
  <si>
    <t>Change</t>
  </si>
  <si>
    <t>Sensitivity</t>
  </si>
  <si>
    <t xml:space="preserve">Dividend Payout </t>
  </si>
  <si>
    <t>2024-30</t>
  </si>
  <si>
    <t>PBT Margin</t>
  </si>
  <si>
    <t>NPM</t>
  </si>
  <si>
    <t>Avg Revenue</t>
  </si>
  <si>
    <t>Capex Intensity</t>
  </si>
  <si>
    <t>Debt</t>
  </si>
  <si>
    <t xml:space="preserve">Equity </t>
  </si>
  <si>
    <t>EBITDA Margin</t>
  </si>
  <si>
    <t>Operating income</t>
  </si>
  <si>
    <t>Advances &amp; Loans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</si>
</sst>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409]* #,##0.00_);_([$$-409]* \(#,##0.00\);_([$$-409]* &quot;-&quot;??_);_(@_)"/>
    <numFmt numFmtId="165" formatCode="_([$$-409]* #,##0_);_([$$-409]* \(#,##0\);_([$$-409]* &quot;-&quot;_);_(@_)"/>
  </numFmts>
  <fonts count="4"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0"/>
        <bgColor indexed="64"/>
      </patternFill>
    </fill>
    <fill>
      <patternFill patternType="solid">
        <fgColor theme="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77">
    <xf numFmtId="0" fontId="0" fillId="0" borderId="0" xfId="0"/>
    <xf numFmtId="0" fontId="0" fillId="0" borderId="0" xfId="0" applyAlignment="1">
      <alignment vertical="center"/>
    </xf>
    <xf numFmtId="0" fontId="0" fillId="0" borderId="0" xfId="0" applyAlignment="1">
      <alignment vertical="center" wrapText="1"/>
    </xf>
    <xf numFmtId="43" fontId="0" fillId="0" borderId="0" xfId="1" applyFont="1" applyAlignment="1">
      <alignment vertical="center"/>
    </xf>
    <xf numFmtId="0" fontId="0" fillId="0" borderId="1" xfId="0" applyBorder="1" applyAlignment="1">
      <alignment vertical="center" wrapText="1"/>
    </xf>
    <xf numFmtId="0" fontId="0" fillId="0" borderId="1" xfId="0" applyBorder="1" applyAlignment="1">
      <alignment vertical="center"/>
    </xf>
    <xf numFmtId="4" fontId="0" fillId="0" borderId="1" xfId="0" applyNumberFormat="1" applyBorder="1" applyAlignment="1">
      <alignment vertical="center"/>
    </xf>
    <xf numFmtId="164" fontId="0" fillId="0" borderId="1" xfId="0" applyNumberFormat="1" applyBorder="1" applyAlignment="1">
      <alignment vertical="center"/>
    </xf>
    <xf numFmtId="165" fontId="0" fillId="0" borderId="1" xfId="0" applyNumberFormat="1" applyBorder="1" applyAlignment="1">
      <alignment vertical="center"/>
    </xf>
    <xf numFmtId="43" fontId="0" fillId="0" borderId="1" xfId="1" applyFont="1" applyBorder="1" applyAlignment="1">
      <alignment vertical="center"/>
    </xf>
    <xf numFmtId="3" fontId="0" fillId="0" borderId="1" xfId="0" applyNumberFormat="1" applyBorder="1" applyAlignment="1">
      <alignment vertical="center"/>
    </xf>
    <xf numFmtId="10" fontId="0" fillId="0" borderId="1" xfId="0" applyNumberFormat="1" applyBorder="1" applyAlignment="1">
      <alignment vertical="center"/>
    </xf>
    <xf numFmtId="1" fontId="0" fillId="0" borderId="1" xfId="0" applyNumberFormat="1" applyBorder="1" applyAlignment="1">
      <alignment vertical="center"/>
    </xf>
    <xf numFmtId="0" fontId="0" fillId="0" borderId="0" xfId="0"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43" fontId="0" fillId="0" borderId="0" xfId="1" applyFont="1" applyBorder="1" applyAlignment="1">
      <alignment horizontal="center" vertical="center"/>
    </xf>
    <xf numFmtId="43" fontId="0" fillId="0" borderId="1" xfId="1" applyFont="1" applyBorder="1" applyAlignment="1">
      <alignment horizontal="center" vertical="center"/>
    </xf>
    <xf numFmtId="0" fontId="2" fillId="0" borderId="1" xfId="0" applyFont="1" applyBorder="1" applyAlignment="1">
      <alignment vertical="center"/>
    </xf>
    <xf numFmtId="43" fontId="2" fillId="0" borderId="1" xfId="1" applyFont="1" applyBorder="1" applyAlignment="1">
      <alignment horizontal="center" vertical="center"/>
    </xf>
    <xf numFmtId="10" fontId="0" fillId="0" borderId="0" xfId="2" applyNumberFormat="1" applyFont="1" applyAlignment="1">
      <alignment vertical="center"/>
    </xf>
    <xf numFmtId="43" fontId="0" fillId="0" borderId="0" xfId="1" applyFont="1" applyBorder="1" applyAlignment="1">
      <alignment vertical="center"/>
    </xf>
    <xf numFmtId="0" fontId="0" fillId="0" borderId="0" xfId="0" applyAlignment="1">
      <alignment horizontal="right" vertical="center"/>
    </xf>
    <xf numFmtId="10" fontId="0" fillId="0" borderId="0" xfId="2" applyNumberFormat="1" applyFont="1" applyAlignment="1">
      <alignment horizontal="right" vertical="center"/>
    </xf>
    <xf numFmtId="4" fontId="0" fillId="0" borderId="0" xfId="0" applyNumberFormat="1" applyAlignment="1">
      <alignment horizontal="right" vertical="center"/>
    </xf>
    <xf numFmtId="0" fontId="0" fillId="0" borderId="2" xfId="0" applyBorder="1" applyAlignment="1">
      <alignment vertical="center"/>
    </xf>
    <xf numFmtId="43" fontId="0" fillId="0" borderId="2" xfId="1" applyFont="1" applyBorder="1" applyAlignment="1">
      <alignment horizontal="center" vertical="center"/>
    </xf>
    <xf numFmtId="43" fontId="0" fillId="0" borderId="0" xfId="0" applyNumberFormat="1" applyAlignment="1">
      <alignment vertical="center"/>
    </xf>
    <xf numFmtId="10" fontId="0" fillId="0" borderId="0" xfId="2" applyNumberFormat="1" applyFont="1" applyBorder="1" applyAlignment="1">
      <alignment vertical="center"/>
    </xf>
    <xf numFmtId="43" fontId="0" fillId="0" borderId="0" xfId="0" applyNumberFormat="1" applyAlignment="1">
      <alignment horizontal="right" vertical="center"/>
    </xf>
    <xf numFmtId="43" fontId="2" fillId="0" borderId="0" xfId="0" applyNumberFormat="1" applyFont="1" applyAlignment="1">
      <alignment horizontal="right" vertical="center"/>
    </xf>
    <xf numFmtId="10" fontId="0" fillId="0" borderId="0" xfId="2" applyNumberFormat="1" applyFont="1" applyBorder="1" applyAlignment="1">
      <alignment horizontal="right" vertical="center"/>
    </xf>
    <xf numFmtId="43" fontId="0" fillId="0" borderId="0" xfId="1" applyFont="1" applyAlignment="1">
      <alignment horizontal="right" vertical="center"/>
    </xf>
    <xf numFmtId="0" fontId="2" fillId="0" borderId="0" xfId="0" applyFont="1" applyAlignment="1">
      <alignment horizontal="right" vertical="center"/>
    </xf>
    <xf numFmtId="0" fontId="0" fillId="0" borderId="0" xfId="0" applyAlignment="1">
      <alignment horizontal="right" vertical="center" wrapText="1"/>
    </xf>
    <xf numFmtId="10" fontId="2" fillId="0" borderId="0" xfId="2" applyNumberFormat="1" applyFont="1" applyAlignment="1">
      <alignment horizontal="right" vertical="center"/>
    </xf>
    <xf numFmtId="49" fontId="0" fillId="0" borderId="0" xfId="0" applyNumberFormat="1" applyAlignment="1">
      <alignment vertical="center"/>
    </xf>
    <xf numFmtId="49" fontId="2" fillId="0" borderId="1" xfId="1" applyNumberFormat="1" applyFont="1" applyBorder="1" applyAlignment="1">
      <alignment horizontal="right" vertical="center"/>
    </xf>
    <xf numFmtId="43" fontId="0" fillId="0" borderId="1" xfId="1" applyFont="1" applyBorder="1" applyAlignment="1">
      <alignment horizontal="right" vertical="center"/>
    </xf>
    <xf numFmtId="43" fontId="1" fillId="0" borderId="1" xfId="1" applyFont="1" applyBorder="1" applyAlignment="1">
      <alignment horizontal="right" vertical="center"/>
    </xf>
    <xf numFmtId="0" fontId="2" fillId="0" borderId="1" xfId="0" applyFont="1" applyBorder="1" applyAlignment="1">
      <alignment horizontal="right" vertical="center"/>
    </xf>
    <xf numFmtId="10" fontId="0" fillId="0" borderId="1" xfId="0" applyNumberFormat="1" applyBorder="1" applyAlignment="1">
      <alignment horizontal="right" vertical="center"/>
    </xf>
    <xf numFmtId="43" fontId="0" fillId="0" borderId="1" xfId="0" applyNumberFormat="1" applyBorder="1" applyAlignment="1">
      <alignment horizontal="right" vertical="center"/>
    </xf>
    <xf numFmtId="10" fontId="0" fillId="0" borderId="1" xfId="2" applyNumberFormat="1" applyFont="1" applyBorder="1" applyAlignment="1">
      <alignment horizontal="right" vertical="center"/>
    </xf>
    <xf numFmtId="10" fontId="0" fillId="0" borderId="1" xfId="1" applyNumberFormat="1" applyFont="1" applyBorder="1" applyAlignment="1">
      <alignment horizontal="right" vertical="center"/>
    </xf>
    <xf numFmtId="43" fontId="2" fillId="0" borderId="0" xfId="1" applyFont="1" applyBorder="1" applyAlignment="1">
      <alignment horizontal="center" vertical="center"/>
    </xf>
    <xf numFmtId="43" fontId="0" fillId="0" borderId="4" xfId="1" applyFont="1" applyBorder="1" applyAlignment="1">
      <alignment horizontal="center" vertical="center"/>
    </xf>
    <xf numFmtId="43" fontId="2" fillId="0" borderId="4" xfId="1" applyFont="1" applyBorder="1" applyAlignment="1">
      <alignment horizontal="center" vertical="center"/>
    </xf>
    <xf numFmtId="43" fontId="0" fillId="0" borderId="3" xfId="1" applyFont="1" applyBorder="1" applyAlignment="1">
      <alignment horizontal="center" vertical="center"/>
    </xf>
    <xf numFmtId="43" fontId="1" fillId="0" borderId="1" xfId="1" applyFont="1" applyBorder="1" applyAlignment="1">
      <alignment horizontal="center" vertical="center"/>
    </xf>
    <xf numFmtId="0" fontId="2" fillId="0" borderId="2" xfId="0" applyFont="1" applyBorder="1" applyAlignment="1">
      <alignment vertical="center"/>
    </xf>
    <xf numFmtId="43" fontId="2" fillId="0" borderId="2" xfId="1" applyFont="1" applyBorder="1" applyAlignment="1">
      <alignment horizontal="center" vertical="center"/>
    </xf>
    <xf numFmtId="43" fontId="1" fillId="0" borderId="2" xfId="1" applyFont="1" applyBorder="1" applyAlignment="1">
      <alignment horizontal="center" vertical="center"/>
    </xf>
    <xf numFmtId="10" fontId="0" fillId="0" borderId="0" xfId="2" applyNumberFormat="1" applyFont="1" applyAlignment="1">
      <alignment horizontal="center" vertical="center"/>
    </xf>
    <xf numFmtId="49" fontId="0" fillId="0" borderId="2" xfId="0" applyNumberFormat="1" applyBorder="1" applyAlignment="1">
      <alignment vertical="center"/>
    </xf>
    <xf numFmtId="10" fontId="2" fillId="0" borderId="0" xfId="2" applyNumberFormat="1" applyFont="1" applyBorder="1" applyAlignment="1">
      <alignment horizontal="right" vertical="center"/>
    </xf>
    <xf numFmtId="43" fontId="0" fillId="0" borderId="0" xfId="1" applyFont="1" applyBorder="1" applyAlignment="1">
      <alignment horizontal="right" vertical="center"/>
    </xf>
    <xf numFmtId="43" fontId="0" fillId="0" borderId="0" xfId="2" applyNumberFormat="1" applyFont="1" applyAlignment="1">
      <alignment horizontal="right" vertical="center"/>
    </xf>
    <xf numFmtId="10" fontId="0" fillId="0" borderId="0" xfId="2" applyNumberFormat="1" applyFont="1" applyFill="1" applyBorder="1" applyAlignment="1">
      <alignment horizontal="right" vertical="center"/>
    </xf>
    <xf numFmtId="10" fontId="0" fillId="0" borderId="0" xfId="0" applyNumberFormat="1" applyAlignment="1">
      <alignment horizontal="right" vertical="center"/>
    </xf>
    <xf numFmtId="43" fontId="2" fillId="0" borderId="0" xfId="2" applyNumberFormat="1" applyFont="1" applyBorder="1" applyAlignment="1">
      <alignment horizontal="right" vertical="center"/>
    </xf>
    <xf numFmtId="10" fontId="0" fillId="0" borderId="1" xfId="2" applyNumberFormat="1" applyFont="1" applyBorder="1" applyAlignment="1">
      <alignment vertical="center"/>
    </xf>
    <xf numFmtId="43" fontId="2" fillId="0" borderId="0" xfId="1" applyFont="1" applyAlignment="1">
      <alignment horizontal="right" vertical="center"/>
    </xf>
    <xf numFmtId="43" fontId="2" fillId="0" borderId="1" xfId="1" applyFont="1" applyBorder="1" applyAlignment="1">
      <alignment horizontal="right" vertical="center"/>
    </xf>
    <xf numFmtId="0" fontId="0" fillId="2" borderId="0" xfId="0" applyFill="1" applyAlignment="1">
      <alignment vertical="center"/>
    </xf>
    <xf numFmtId="43" fontId="0" fillId="2" borderId="0" xfId="1" applyFont="1" applyFill="1" applyBorder="1" applyAlignment="1">
      <alignment horizontal="right" vertical="center"/>
    </xf>
    <xf numFmtId="0" fontId="0" fillId="3" borderId="0" xfId="0" applyFill="1" applyAlignment="1">
      <alignment vertical="center"/>
    </xf>
    <xf numFmtId="0" fontId="0" fillId="3" borderId="0" xfId="0" applyFill="1" applyAlignment="1">
      <alignment horizontal="right" vertical="center"/>
    </xf>
    <xf numFmtId="0" fontId="0" fillId="0" borderId="0" xfId="0" applyAlignment="1">
      <alignment horizontal="left" vertical="center"/>
    </xf>
    <xf numFmtId="0" fontId="0" fillId="0" borderId="0" xfId="0" applyAlignment="1">
      <alignment horizontal="left" vertical="center" wrapText="1"/>
    </xf>
    <xf numFmtId="0" fontId="2" fillId="0" borderId="0" xfId="0" applyFont="1" applyAlignment="1">
      <alignment horizontal="left" vertical="center"/>
    </xf>
    <xf numFmtId="10" fontId="1" fillId="0" borderId="0" xfId="2" applyNumberFormat="1" applyFont="1" applyAlignment="1">
      <alignment horizontal="right" vertical="center"/>
    </xf>
    <xf numFmtId="43" fontId="2" fillId="0" borderId="0" xfId="2" applyNumberFormat="1" applyFont="1" applyAlignment="1">
      <alignment horizontal="right" vertical="center"/>
    </xf>
    <xf numFmtId="10" fontId="2" fillId="0" borderId="0" xfId="0" applyNumberFormat="1" applyFont="1" applyAlignment="1">
      <alignment horizontal="right" vertical="center"/>
    </xf>
    <xf numFmtId="10" fontId="2" fillId="0" borderId="0" xfId="2" applyNumberFormat="1" applyFont="1" applyAlignment="1">
      <alignment vertical="center"/>
    </xf>
    <xf numFmtId="0" fontId="2" fillId="0" borderId="0" xfId="0" applyFont="1" applyAlignment="1">
      <alignment vertical="center" wrapText="1"/>
    </xf>
    <xf numFmtId="0" fontId="2" fillId="0" borderId="0" xfId="0" applyFont="1" applyAlignment="1">
      <alignment horizontal="right" vertical="center" wrapText="1"/>
    </xf>
  </cellXfs>
  <cellStyles count="3">
    <cellStyle name="Comma" xfId="1" builtinId="3"/>
    <cellStyle name="Normal" xfId="0" builtinId="0"/>
    <cellStyle name="Percent" xfId="2" builtinId="5"/>
  </cellStyles>
  <dxfs count="393">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alignment horizontal="general"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lef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numFmt numFmtId="35" formatCode="_ * #,##0.00_ ;_ * \-#,##0.00_ ;_ * &quot;-&quot;??_ ;_ @_ "/>
      <alignment horizontal="general" vertical="center" textRotation="0" wrapText="0" indent="0" justifyLastLine="0" shrinkToFit="0" readingOrder="0"/>
    </dxf>
    <dxf>
      <alignment horizontal="general" vertical="center" textRotation="0" wrapText="0" indent="0" justifyLastLine="0" shrinkToFit="0" readingOrder="0"/>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fill>
        <patternFill patternType="solid">
          <fgColor indexed="64"/>
          <bgColor theme="1"/>
        </patternFill>
      </fill>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5" formatCode="_ * #,##0.00_ ;_ * \-#,##0.00_ ;_ * &quot;-&quot;??_ ;_ @_ "/>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5" formatCode="_ * #,##0.00_ ;_ * \-#,##0.00_ ;_ * &quot;-&quot;??_ ;_ @_ "/>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35" formatCode="_ * #,##0.00_ ;_ * \-#,##0.00_ ;_ * &quot;-&quot;??_ ;_ @_ "/>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ill>
        <patternFill patternType="solid">
          <fgColor indexed="64"/>
          <bgColor theme="1"/>
        </patternFill>
      </fill>
      <alignment horizontal="right"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right"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right" vertical="center" textRotation="0" wrapText="0" indent="0" justifyLastLine="0" shrinkToFit="0" readingOrder="0"/>
    </dxf>
    <dxf>
      <alignment horizontal="general"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numFmt numFmtId="35" formatCode="_ * #,##0.00_ ;_ * \-#,##0.00_ ;_ * &quot;-&quot;??_ ;_ @_ "/>
      <alignment horizontal="right" vertical="center" textRotation="0" wrapText="0" indent="0" justifyLastLine="0" shrinkToFit="0" readingOrder="0"/>
    </dxf>
    <dxf>
      <alignment horizontal="general"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alignment horizontal="center" vertical="center" textRotation="0" wrapText="0" indent="0" justifyLastLine="0" shrinkToFit="0" readingOrder="0"/>
    </dxf>
    <dxf>
      <alignment horizontal="right" vertical="center" textRotation="0" wrapText="0" indent="0" justifyLastLine="0" shrinkToFit="0" readingOrder="0"/>
    </dxf>
    <dxf>
      <fill>
        <patternFill patternType="none">
          <fgColor indexed="64"/>
          <bgColor auto="1"/>
        </patternFill>
      </fill>
      <alignment horizontal="general"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4" formatCode="0.00%"/>
      <alignment horizontal="right"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ichStyles" Target="richData/richStyl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 Target="richData/rdsupportingpropertybag.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55">
  <rv s="0">
    <v>https://www.bing.com/financeapi/forcetrigger?t=a1waa2&amp;q=XNYS%3aJPM&amp;form=skydnc</v>
    <v>Learn more on Bing</v>
  </rv>
  <rv s="1">
    <v>en-IN</v>
    <v>a1waa2</v>
    <v>268435456</v>
    <v>1</v>
    <v>Powered by Refinitiv</v>
    <v>0</v>
    <v>JPMORGAN CHASE &amp; CO. (XNYS:JPM)</v>
    <v>2</v>
    <v>3</v>
    <v>Finance</v>
    <v>4</v>
    <v>322.25</v>
    <v>202.16</v>
    <v>1.0810999999999999</v>
    <v>-1.25</v>
    <v>-4.1619999999999999E-3</v>
    <v>USD</v>
    <v>JPMorgan Chase &amp; Co. is a financial holding company. The Company is engaged in investment banking, financial services for consumers and small businesses, commercial banking, financial transaction processing and asset management. The Company operates through three segments: Consumer &amp; Community Banking (CCB), Commercial &amp; Investment Bank (CIB), and Asset &amp; Wealth Management (AWM). Its CCB segment offers products and services to consumers and small businesses through bank branches, ATMs, digital and telephone banking. Its CIB segment consists of banking and payments and markets and securities services, and offers a suite of investment banking, lending, payments, market-making, financing, custody and securities products and services to a global base of corporate and institutional clients. AWM segment offers investment and wealth management solutions. It offers multi-asset investment management solutions, retirement products and services, brokerage, custody, estate planning, and others.</v>
    <v>318153</v>
    <v>New York Stock Exchange</v>
    <v>XNYS</v>
    <v>XNYS</v>
    <v>383 Madison Avenue, NEW YORK, NY, 10179-0001 US</v>
    <v>300.82</v>
    <v>Banking Services</v>
    <v>Stock</v>
    <v>45979.728177001562</v>
    <v>0</v>
    <v>297.02</v>
    <v>822506416480</v>
    <v>JPMORGAN CHASE &amp; CO.</v>
    <v>JPMORGAN CHASE &amp; CO.</v>
    <v>298.64999999999998</v>
    <v>14.8154</v>
    <v>300.37</v>
    <v>299.12</v>
    <v>2749754000</v>
    <v>JPM</v>
    <v>JPMORGAN CHASE &amp; CO. (XNYS:JPM)</v>
    <v>3268568</v>
    <v>8129433</v>
    <v>1968</v>
  </rv>
  <rv s="2">
    <v>1</v>
  </rv>
  <rv s="0">
    <v>https://www.bing.com/financeapi/forcetrigger?t=a1o4sm&amp;q=XNYS%3aBAC&amp;form=skydnc</v>
    <v>Learn more on Bing</v>
  </rv>
  <rv s="1">
    <v>en-IN</v>
    <v>a1o4sm</v>
    <v>268435456</v>
    <v>1</v>
    <v>Powered by Refinitiv</v>
    <v>0</v>
    <v>BANK OF AMERICA CORPORATION (XNYS:BAC)</v>
    <v>2</v>
    <v>3</v>
    <v>Finance</v>
    <v>4</v>
    <v>54.69</v>
    <v>33.064999999999998</v>
    <v>1.3076000000000001</v>
    <v>6.6500000000000004E-2</v>
    <v>1.2920000000000002E-3</v>
    <v>USD</v>
    <v>Bank of America Corporation is a bank holding company and a financial holding company. Its segments include Consumer Banking, Global Wealth &amp; Investment Management (GWIM), Global Banking and Global Markets. Consumer Banking segment offers a range of credit, banking and investment products and services to consumers and small businesses. The GWIM includes two businesses: Merrill Wealth Management, which provides tailored solutions to meet clients' needs through a full set of investment management, brokerage, banking and retirement products and Bank of America Private Bank, which provides comprehensive wealth management solutions. Global Banking segment provides a range of lending-related products and services, integrated working capital management and treasury solutions, and underwriting and advisory services. Global Markets segment offers sales and trading services and research services to institutional clients across fixed-income, credit, currency, commodity, and equity businesses.</v>
    <v>213000</v>
    <v>New York Stock Exchange</v>
    <v>XNYS</v>
    <v>XNYS</v>
    <v>Bank Of America Corporate Center, 100 N Tryon St, CHARLOTTE, NC, 28255 US</v>
    <v>51.97</v>
    <v>Banking Services</v>
    <v>Stock</v>
    <v>45979.728193043753</v>
    <v>3</v>
    <v>51.145000000000003</v>
    <v>376418110064</v>
    <v>BANK OF AMERICA CORPORATION</v>
    <v>BANK OF AMERICA CORPORATION</v>
    <v>51.3</v>
    <v>14.096500000000001</v>
    <v>51.48</v>
    <v>51.546500000000002</v>
    <v>7302496000</v>
    <v>BAC</v>
    <v>BANK OF AMERICA CORPORATION (XNYS:BAC)</v>
    <v>12915991</v>
    <v>37979472</v>
    <v>1998</v>
  </rv>
  <rv s="2">
    <v>4</v>
  </rv>
  <rv s="0">
    <v>https://www.bing.com/financeapi/forcetrigger?t=a1o2lh&amp;q=XNYS%3aAXP&amp;form=skydnc</v>
    <v>Learn more on Bing</v>
  </rv>
  <rv s="1">
    <v>en-IN</v>
    <v>a1o2lh</v>
    <v>268435456</v>
    <v>1</v>
    <v>Powered by Refinitiv</v>
    <v>0</v>
    <v>AMERICAN EXPRESS COMPANY (XNYS:AXP)</v>
    <v>2</v>
    <v>3</v>
    <v>Finance</v>
    <v>4</v>
    <v>377.23</v>
    <v>220.43</v>
    <v>1.1574</v>
    <v>-6.1719999999999997</v>
    <v>-1.8086000000000001E-2</v>
    <v>USD</v>
    <v>American Express Company is a globally integrated payments company with card-issuing, merchant-acquiring and card network businesses. It offers products and services to a range of customers, including consumers, small businesses, mid-sized companies and large corporations around the world. Its segments include U.S. Consumer Services (USCS), Commercial Services (CS), International Card Services (ICS) and Global Merchant and Network Services (GMNS). USCS offers travel and lifestyle services as well as banking and non-card financing products. CS offers payment and expense management, banking and non-card financing products. ICS provides services to international customers, including travel and lifestyle services, and manages certain international joint ventures and its loyalty coalition business. GMNS operates a payments network that processes and settles card transactions, acquires merchants and provides multichannel marketing programs and capabilities, services and data analytics.</v>
    <v>75100</v>
    <v>New York Stock Exchange</v>
    <v>XNYS</v>
    <v>XNYS</v>
    <v>200 Vesey Street, 50Th Floor, NEW YORK, NY, 10285 US</v>
    <v>339.31</v>
    <v>Banking Services</v>
    <v>Stock</v>
    <v>45979.728156585159</v>
    <v>6</v>
    <v>334.1</v>
    <v>230819016424</v>
    <v>AMERICAN EXPRESS COMPANY</v>
    <v>AMERICAN EXPRESS COMPANY</v>
    <v>337.46</v>
    <v>22.492999999999999</v>
    <v>341.25</v>
    <v>335.07799999999997</v>
    <v>688851600</v>
    <v>AXP</v>
    <v>AMERICAN EXPRESS COMPANY (XNYS:AXP)</v>
    <v>1907399</v>
    <v>2634161</v>
    <v>1965</v>
  </rv>
  <rv s="2">
    <v>7</v>
  </rv>
  <rv s="0">
    <v>https://www.bing.com/financeapi/forcetrigger?t=a1om4c&amp;q=XNYS%3aBLK&amp;form=skydnc</v>
    <v>Learn more on Bing</v>
  </rv>
  <rv s="1">
    <v>en-IN</v>
    <v>a1om4c</v>
    <v>268435456</v>
    <v>1</v>
    <v>Powered by Refinitiv</v>
    <v>0</v>
    <v>BLACKROCK, INC. (XNYS:BLK)</v>
    <v>2</v>
    <v>3</v>
    <v>Finance</v>
    <v>4</v>
    <v>1219.9399000000001</v>
    <v>773.74009999999998</v>
    <v>1.4866999999999999</v>
    <v>-7.72</v>
    <v>-7.541E-3</v>
    <v>USD</v>
    <v>BlackRock, Inc. is an investment management company. The Company provides a range of investment management and technology services to institutional and retail clients. Its diverse platform of alpha-seeking active, private markets, index and cash management investment strategies across asset classes enables the Company to tailor investment outcomes and asset allocation solutions for clients. Its product offerings include single- and multi-asset portfolios investing in equities, fixed income, alternatives, and money market instruments. Its products are offered directly and through intermediaries in a range of vehicles, including open-end and closed-end mutual funds, iShares exchange-traded funds, separate accounts, collective investment funds and other pooled investment vehicles. It also offers technology services, including the investment and risk management technology platform, Aladdin, Aladdin Wealth, eFront, and Cachematrix, as well as advisory services and solutions.</v>
    <v>24600</v>
    <v>New York Stock Exchange</v>
    <v>XNYS</v>
    <v>XNYS</v>
    <v>50 Hudson Yards, NEW YORK, NY, 10001 US</v>
    <v>1024.55</v>
    <v>Investment Banking &amp; Investment Services</v>
    <v>Stock</v>
    <v>45979.728192025002</v>
    <v>9</v>
    <v>1010.5</v>
    <v>157645726472</v>
    <v>BLACKROCK, INC.</v>
    <v>BLACKROCK, INC.</v>
    <v>1018.87</v>
    <v>26.4055</v>
    <v>1023.8</v>
    <v>1016.08</v>
    <v>155150900</v>
    <v>BLK</v>
    <v>BLACKROCK, INC. (XNYS:BLK)</v>
    <v>273892</v>
    <v>688880</v>
    <v>2024</v>
  </rv>
  <rv s="2">
    <v>10</v>
  </rv>
  <rv s="0">
    <v>https://www.bing.com/financeapi/forcetrigger?t=a1u7xm&amp;q=XNYS%3aGS&amp;form=skydnc</v>
    <v>Learn more on Bing</v>
  </rv>
  <rv s="1">
    <v>en-IN</v>
    <v>a1u7xm</v>
    <v>268435456</v>
    <v>1</v>
    <v>Powered by Refinitiv</v>
    <v>0</v>
    <v>THE GOLDMAN SACHS GROUP, INC. (XNYS:GS)</v>
    <v>2</v>
    <v>3</v>
    <v>Finance</v>
    <v>4</v>
    <v>841.28</v>
    <v>439.38</v>
    <v>1.3513999999999999</v>
    <v>1.2</v>
    <v>1.547E-3</v>
    <v>USD</v>
    <v>The Goldman Sachs Group, Inc. is a global financial institution that delivers a range of financial services to a large and diversified client base that includes corporations, financial institutions, governments and individuals. Its segments include Global Banking &amp; Markets, Asset &amp; Wealth Management and Platform Solutions. The Global Banking &amp; Markets segment offers a range of services, including financing, advisory services, risk distribution, and hedging for its institutional and corporate clients. It facilitates client transactions and makes markets in fixed income, equity, currency and commodity products. The Asset &amp; Wealth Management segment manages assets and offers investment products across all asset classes to a diverse set of clients. It also provides investing and wealth advisory solutions. The Platform Solutions segment includes consumer platforms, such as partnerships offering credit cards and point-of-sale financing, and transaction banking and other platform businesses.</v>
    <v>48300</v>
    <v>New York Stock Exchange</v>
    <v>XNYS</v>
    <v>XNYS</v>
    <v>200 West St, NEW YORK, NY, 10282 US</v>
    <v>783.62990000000002</v>
    <v>Investment Banking &amp; Investment Services</v>
    <v>Stock</v>
    <v>45979.728167025001</v>
    <v>12</v>
    <v>766.54459999999995</v>
    <v>232972461660</v>
    <v>THE GOLDMAN SACHS GROUP, INC.</v>
    <v>THE GOLDMAN SACHS GROUP, INC.</v>
    <v>770.59</v>
    <v>15.7791</v>
    <v>775.56</v>
    <v>776.76</v>
    <v>299928500</v>
    <v>GS</v>
    <v>THE GOLDMAN SACHS GROUP, INC. (XNYS:GS)</v>
    <v>761481</v>
    <v>2179754</v>
    <v>1998</v>
  </rv>
  <rv s="2">
    <v>13</v>
  </rv>
  <rv s="0">
    <v>https://www.bing.com/financeapi/forcetrigger?t=a1xyjc&amp;q=XNYS%3aMS&amp;form=skydnc</v>
    <v>Learn more on Bing</v>
  </rv>
  <rv s="1">
    <v>en-IN</v>
    <v>a1xyjc</v>
    <v>268435456</v>
    <v>1</v>
    <v>Powered by Refinitiv</v>
    <v>0</v>
    <v>MORGAN STANLEY (XNYS:MS)</v>
    <v>2</v>
    <v>3</v>
    <v>Finance</v>
    <v>4</v>
    <v>171.77</v>
    <v>94.330100000000002</v>
    <v>1.2204999999999999</v>
    <v>-0.28000000000000003</v>
    <v>-1.756E-3</v>
    <v>USD</v>
    <v>Morgan Stanley is a global financial services company. The Company is engaged in providing a range of investment banking, securities, wealth management and investment management services. Its segments include Institutional Securities, Wealth Management and Investment Management. Its Institutional Securities segment provides a variety of products and services to corporations, governments, financial institutions and ultra-high net worth clients. Its Wealth Management segment provides an array of financial services and solutions to individual investors and small to medium-sized businesses and institutions. Its Investment Management segment provides a range of investment strategies and products that span geographies, asset classes, and public and private markets to a diverse group of clients across institutional and intermediary channels. Its investment banking services consist of capital raising and financial advisory services, including the underwriting of debt and other products.</v>
    <v>82000</v>
    <v>New York Stock Exchange</v>
    <v>XNYS</v>
    <v>XNYS</v>
    <v>1585 Broadway, NEW YORK, NY, 10036 US</v>
    <v>160.3937</v>
    <v>Investment Banking &amp; Investment Services</v>
    <v>Stock</v>
    <v>45979.728204490624</v>
    <v>15</v>
    <v>157.78720000000001</v>
    <v>253239469999</v>
    <v>MORGAN STANLEY</v>
    <v>MORGAN STANLEY</v>
    <v>158.84</v>
    <v>16.334299999999999</v>
    <v>159.44999999999999</v>
    <v>159.16999999999999</v>
    <v>1591000000</v>
    <v>MS</v>
    <v>MORGAN STANLEY (XNYS:MS)</v>
    <v>1864964</v>
    <v>5860534</v>
    <v>1981</v>
  </rv>
  <rv s="2">
    <v>16</v>
  </rv>
  <rv s="0">
    <v>https://www.bing.com/financeapi/forcetrigger?t=a25tgh&amp;q=XNYS%3aWFC&amp;form=skydnc</v>
    <v>Learn more on Bing</v>
  </rv>
  <rv s="1">
    <v>en-IN</v>
    <v>a25tgh</v>
    <v>268435456</v>
    <v>1</v>
    <v>Powered by Refinitiv</v>
    <v>0</v>
    <v>WELLS FARGO &amp; COMPANY (XNYS:WFC)</v>
    <v>2</v>
    <v>3</v>
    <v>Finance</v>
    <v>4</v>
    <v>88.64</v>
    <v>58.42</v>
    <v>1.1135999999999999</v>
    <v>0.51</v>
    <v>6.1140000000000005E-3</v>
    <v>USD</v>
    <v>Wells Fargo &amp; Company is a financial services company. The Company provides a diversified set of banking, investment and mortgage products and services, as well as consumer and commercial finance, to individuals, businesses and institutions. The Company operates through four segments: Consumer Banking and Lending, Commercial Banking, Corporate and Investment Banking, and Wealth &amp; Investment Management. The Company provides consumer financial products and services, including checking and savings accounts, credit and debit cards, and auto, residential mortgage, and small business lending. In addition, the Company offers financial planning, private banking, investment management, and fiduciary services. It also provides financial solutions to businesses through products and services including traditional commercial loans and lines of credit, letters of credit, asset-based lending and leasing, trade financing, treasury management, and investment banking services.</v>
    <v>210821</v>
    <v>New York Stock Exchange</v>
    <v>XNYS</v>
    <v>XNYS</v>
    <v>420 Montgomery Street, SAN FRANCISCO, CA, 94104 US</v>
    <v>84.5</v>
    <v>Banking Services</v>
    <v>Stock</v>
    <v>45979.728164224216</v>
    <v>18</v>
    <v>82.93</v>
    <v>263463320120</v>
    <v>WELLS FARGO &amp; COMPANY</v>
    <v>WELLS FARGO &amp; COMPANY</v>
    <v>83.27</v>
    <v>13.806800000000001</v>
    <v>83.42</v>
    <v>83.93</v>
    <v>3139084000</v>
    <v>WFC</v>
    <v>WELLS FARGO &amp; COMPANY (XNYS:WFC)</v>
    <v>6097374</v>
    <v>16859114</v>
    <v>1929</v>
  </rv>
  <rv s="2">
    <v>19</v>
  </rv>
  <rv s="0">
    <v>https://www.bing.com/financeapi/forcetrigger?t=ahi3jc&amp;q=XNSE%3aHDFCBANK&amp;form=skydnc</v>
    <v>Learn more on Bing</v>
  </rv>
  <rv s="1">
    <v>en-IN</v>
    <v>ahi3jc</v>
    <v>268435456</v>
    <v>1</v>
    <v>Powered by Refinitiv</v>
    <v>0</v>
    <v>HDFC BANK LIMITED (XNSE:HDFCBANK)</v>
    <v>2</v>
    <v>5</v>
    <v>Finance</v>
    <v>6</v>
    <v>1020.5</v>
    <v>810.13</v>
    <v>0.88019999999999998</v>
    <v>-4.0999999999999996</v>
    <v>-4.1139999999999996E-3</v>
    <v>INR</v>
    <v>HDFC Bank Limited (the Bank) is a private bank. The Bank, together with its subsidiaries, is engaged in providing a range of banking and financial services, including retail banking, wholesale banking, treasury operations, insurance, asset management, stockbroking and other financial services businesses. Its segment includes treasury, retail banking, wholesale banking, and other banking operations. The treasury segment consists of net interest earnings from the Bank’s investment portfolio, money market borrowing and lending, and gains or losses on investment operations. The retail banking segment consists of digital banking and other retail banking. The wholesale banking segment provides loans, non-fund facilities and transaction services to corporates, emerging corporates, public sector units, government bodies, and others. The other banking operations segment includes parabanking activities such as credit cards, debit cards, third-party product distribution, and others.</v>
    <v>220339</v>
    <v>National Stock Exchange of India</v>
    <v>XNSE</v>
    <v>XNSE</v>
    <v>'Hdfc Bank House', Senapati Bapat Road, Lower Parel (West), Mumbai India, MUMBAI, MAHARASHTRA, 400013 IN</v>
    <v>999</v>
    <v>Banking Services</v>
    <v>Stock</v>
    <v>45979.49287037037</v>
    <v>21</v>
    <v>990</v>
    <v>15323610000000</v>
    <v>HDFC BANK LIMITED</v>
    <v>HDFC BANK LIMITED</v>
    <v>997.65</v>
    <v>21.09</v>
    <v>996.55</v>
    <v>992.45</v>
    <v>15376650000</v>
    <v>HDFCBANK</v>
    <v>HDFC BANK LIMITED (XNSE:HDFCBANK)</v>
    <v>20002640</v>
    <v>16715010</v>
    <v>1994</v>
  </rv>
  <rv s="2">
    <v>22</v>
  </rv>
  <rv s="0">
    <v>http://en.wikipedia.org/wiki/Public_domain</v>
    <v>Public domain</v>
  </rv>
  <rv s="0">
    <v>http://zh.wikipedia.org/wiki/ICICI银行</v>
    <v>Wikipedia</v>
  </rv>
  <rv s="3">
    <v>24</v>
    <v>25</v>
  </rv>
  <rv s="4">
    <v>11</v>
    <v>https://www.bing.com/th?id=AMMS_7a55564cbcf9b185c2bd50f7f3a85b23&amp;qlt=95</v>
    <v>26</v>
    <v>0</v>
    <v>https://www.bing.com/images/search?form=xlimg&amp;q=icici+bank</v>
    <v>Image of ICICI BANK LIMITED</v>
  </rv>
  <rv s="0">
    <v>https://www.bing.com/financeapi/forcetrigger?t=ahi877&amp;q=XNSE%3aICICIBANK&amp;form=skydnc</v>
    <v>Learn more on Bing</v>
  </rv>
  <rv s="5">
    <v>en-IN</v>
    <v>ahi877</v>
    <v>268435456</v>
    <v>1</v>
    <v>Powered by Refinitiv</v>
    <v>7</v>
    <v>ICICI BANK LIMITED (XNSE:ICICIBANK)</v>
    <v>9</v>
    <v>10</v>
    <v>Finance</v>
    <v>6</v>
    <v>1500</v>
    <v>1186</v>
    <v>0.99809999999999999</v>
    <v>-5.6</v>
    <v>-4.0610000000000004E-3</v>
    <v>INR</v>
    <v>ICICI Bank Limited is a diversified financial services company offering a range of banking and financial services to corporate and retail customers through a variety of delivery channels. The Company offers life and general insurance, asset management, securities broking and private equity products and services through specialized subsidiaries. Its segments include Retail Banking, Wholesale Banking, Treasury, Other Banking, Life Insurance, General Insurance, and Others. Its commercial banking operations for retail customers consist of retail lending, deposit taking, distribution of insurance and investment products and other fee-based products and services. It provides a range of commercial banking products and services, including loan products, fee and commission-based products and services, deposit products and foreign exchange and derivatives products to large corporations, middle market companies and small and medium enterprises. It offers agricultural and rural banking products.</v>
    <v>130957</v>
    <v>National Stock Exchange of India</v>
    <v>XNSE</v>
    <v>XNSE</v>
    <v>ICICI Bank Towers, Bandra-Kurla Complex, MUMBAI, MAHARASHTRA, 400051 IN</v>
    <v>1382.8</v>
    <v>27</v>
    <v>Banking Services</v>
    <v>Stock</v>
    <v>45979.49287037037</v>
    <v>28</v>
    <v>1369.1</v>
    <v>9851698000000</v>
    <v>ICICI BANK LIMITED</v>
    <v>ICICI BANK LIMITED</v>
    <v>1380.2</v>
    <v>18.36</v>
    <v>1379</v>
    <v>1373.4</v>
    <v>7144088000</v>
    <v>ICICIBANK</v>
    <v>ICICI BANK LIMITED (XNSE:ICICIBANK)</v>
    <v>9529560</v>
    <v>12045990</v>
    <v>1994</v>
  </rv>
  <rv s="2">
    <v>29</v>
  </rv>
  <rv s="0">
    <v>https://www.bing.com/financeapi/forcetrigger?t=ahju6h&amp;q=XNSE%3aSBIN&amp;form=skydnc</v>
    <v>Learn more on Bing</v>
  </rv>
  <rv s="6">
    <v>en-IN</v>
    <v>ahju6h</v>
    <v>268435456</v>
    <v>1</v>
    <v>Powered by Refinitiv</v>
    <v>12</v>
    <v>State Bank of India (XNSE:SBIN)</v>
    <v>2</v>
    <v>13</v>
    <v>Finance</v>
    <v>6</v>
    <v>976.7</v>
    <v>680</v>
    <v>1.2688999999999999</v>
    <v>-0.9</v>
    <v>-9.2460000000000003E-4</v>
    <v>INR</v>
    <v>State Bank of India is an India-based banking and financial services provider. The Company is engaged in providing a wide range of products and services to individuals, commercial enterprises, corporates, public bodies and institutional customers. Its segments include Treasury, Corporate/Wholesale Banking, Retail Banking, Insurance Business and Other Banking Business. The Treasury segment includes investment portfolios and trading in foreign exchange contracts and derivative contracts. The Corporate/Wholesale Banking segment comprises the lending activities of the corporate accounts group, the commercial client’s group and the stressed assets resolution group. These include providing loans and transaction services to corporate and institutional clients and further include non-treasury operations of foreign offices/entities. The Retail Banking Segment is engaged in personal banking activities including lending activities to corporate customers having banking relations with its branches.</v>
    <v>236226</v>
    <v>National Stock Exchange of India</v>
    <v>XNSE</v>
    <v>XNSE</v>
    <v>Corporate Centre,14th Floor, State Bank Bhavan, Madame Cama Marg, MUMBAI, MAHARASHTRA, 400021 IN</v>
    <v>976.7</v>
    <v>Banking Services</v>
    <v>Stock</v>
    <v>45979.492893518516</v>
    <v>31</v>
    <v>968.85</v>
    <v>8984622000000</v>
    <v>State Bank of India</v>
    <v>State Bank of India</v>
    <v>975.6</v>
    <v>10.86</v>
    <v>973.35</v>
    <v>972.45</v>
    <v>9230617000</v>
    <v>SBIN</v>
    <v>State Bank of India (XNSE:SBIN)</v>
    <v>6594686</v>
    <v>11773660</v>
  </rv>
  <rv s="2">
    <v>32</v>
  </rv>
  <rv s="0">
    <v>https://www.bing.com/financeapi/forcetrigger?t=ahh2gh&amp;q=XNSE%3aAXISBANK&amp;form=skydnc</v>
    <v>Learn more on Bing</v>
  </rv>
  <rv s="1">
    <v>en-IN</v>
    <v>ahh2gh</v>
    <v>268435456</v>
    <v>1</v>
    <v>Powered by Refinitiv</v>
    <v>0</v>
    <v>Axis Bank Limited (XNSE:AXISBANK)</v>
    <v>2</v>
    <v>5</v>
    <v>Finance</v>
    <v>6</v>
    <v>1276.0999999999999</v>
    <v>933.5</v>
    <v>1.0899000000000001</v>
    <v>15.8</v>
    <v>1.2643999999999999E-2</v>
    <v>INR</v>
    <v>Axis Bank Limited (the Bank) is a private sector bank. The Bank’s segments include Treasury, Retail Banking, Corporate/Wholesale Banking and Other Banking Business. Treasury operations include investments in sovereign and corporate debt, equity and mutual funds, trading operations, derivative trading and foreign exchange operations on the proprietary account and for customers. Retail Banking constitutes lending activities, along with liability products, card services, Internet banking, mobile banking, automated teller machine (ATM) services, depository, financial advisory services and non-resident Indian (NRI) services. Corporate/Wholesale Banking includes corporate relationships, advisory services, placements and syndication, project appraisals, capital market related services and cash management services. The other Banking Business includes para banking activities like third party product distribution and other banking transactions not covered under any of the above three segments.</v>
    <v>104453</v>
    <v>National Stock Exchange of India</v>
    <v>XNSE</v>
    <v>XNSE</v>
    <v>Axis House, C-2 Wadia International Centre, Pandurang Budhkar Marg, Worli, MUMBAI, MAHARASHTRA, 400025 IN</v>
    <v>1273.5</v>
    <v>Banking Services</v>
    <v>Stock</v>
    <v>45979.492858796293</v>
    <v>34</v>
    <v>1247.5999999999999</v>
    <v>3878153000000</v>
    <v>Axis Bank Limited</v>
    <v>Axis Bank Limited</v>
    <v>1250</v>
    <v>14.89</v>
    <v>1249.5999999999999</v>
    <v>1265.4000000000001</v>
    <v>3103516000</v>
    <v>AXISBANK</v>
    <v>Axis Bank Limited (XNSE:AXISBANK)</v>
    <v>10175969</v>
    <v>4578300</v>
    <v>1993</v>
  </rv>
  <rv s="2">
    <v>35</v>
  </rv>
  <rv s="0">
    <v>https://www.bing.com/financeapi/forcetrigger?t=a1uvm7&amp;q=XNYS%3aHSBC&amp;form=skydnc</v>
    <v>Learn more on Bing</v>
  </rv>
  <rv s="1">
    <v>en-IN</v>
    <v>a1uvm7</v>
    <v>268435456</v>
    <v>1</v>
    <v>Powered by Refinitiv</v>
    <v>0</v>
    <v>HSBC HOLDINGS PLC (XNYS:HSBC)</v>
    <v>2</v>
    <v>3</v>
    <v>Finance</v>
    <v>4</v>
    <v>74.165000000000006</v>
    <v>45.59</v>
    <v>0.49519999999999997</v>
    <v>-1.57</v>
    <v>-2.2044000000000001E-2</v>
    <v>USD</v>
    <v>HSBC Holdings plc (HSBC) is a banking and financial services company. Its business segments include Hong Kong, UK, Corporate and Institutional Banking (CIB), and International Wealth and Premier Banking (IWPB). Its Hong Kong business comprises retail banking and wealth and commercial banking of HSBC Hong Kong and Hang Seng Bank. Its UK business comprises UK retail banking and wealth (including first direct and M&amp;S Bank) and UK commercial banking, including HSBC Innovation Bank. The CIB segment is formed from the integration of its commercial banking business (outside the UK and Hong Kong) with its global banking and markets business. The IWPB segment comprises premier banking outside of Hong Kong and the UK, its global private bank, and its asset management, insurance and investment distribution businesses. Its customers worldwide through a network covering 58 countries and territories. Its customers range from individual savers and investors to companies, governments and others.</v>
    <v>212409</v>
    <v>New York Stock Exchange</v>
    <v>XNYS</v>
    <v>XNYS</v>
    <v>8 Canada Square, LONDON, UNITED KINGDOM-NA, E14 5HQ GB</v>
    <v>69.88</v>
    <v>Banking Services</v>
    <v>Stock</v>
    <v>45979.728167510941</v>
    <v>37</v>
    <v>68.94</v>
    <v>247286200000</v>
    <v>HSBC HOLDINGS PLC</v>
    <v>HSBC HOLDINGS PLC</v>
    <v>69.36</v>
    <v>14.6891</v>
    <v>71.22</v>
    <v>69.650000000000006</v>
    <v>3435048000</v>
    <v>HSBC</v>
    <v>HSBC HOLDINGS PLC (XNYS:HSBC)</v>
    <v>1896354</v>
    <v>1820526</v>
    <v>1959</v>
  </rv>
  <rv s="2">
    <v>38</v>
  </rv>
  <rv s="0">
    <v>https://www.bing.com/financeapi/forcetrigger?t=af5mf2&amp;q=XFRA%3aBNP&amp;form=skydnc</v>
    <v>Learn more on Bing</v>
  </rv>
  <rv s="1">
    <v>en-IN</v>
    <v>af5mf2</v>
    <v>268435456</v>
    <v>1</v>
    <v>Powered by Refinitiv</v>
    <v>0</v>
    <v>BNP Paribas SA (XFRA:BNP)</v>
    <v>2</v>
    <v>14</v>
    <v>Finance</v>
    <v>15</v>
    <v>84.45</v>
    <v>24.535</v>
    <v>1.2618</v>
    <v>-1.3</v>
    <v>-1.9174E-2</v>
    <v>EUR</v>
    <v>BNP Paribas SA is a France-based international banking institution. The Company organizes its businesses into three main fields of activity: Corporate and Institutional Banking (CIB), Commercial, Personal Banking and Services (CPBS) and Investment and Protection Services (IPS). CIB includes Global Banking, Global Markets, and Securities Services. CPBS covers commercial and personal banking in France, Belgium, Italy, Luxembourg, and in Europe-mediterranean, it also offers specialized businesses, with Arval and Leasing Solutions, BNP Paribas Personal Finance and new digital businesses and personal investors. IPS provides services such as wealth management, asset management, real estate and principal investments.</v>
    <v>177952</v>
    <v>Deutsche Boerse AG</v>
    <v>XFRA</v>
    <v>XFRA</v>
    <v>16 Boulevard Des Italiens, Paris 9, PARIS, ILE-DE-FRANCE, 75009 FR</v>
    <v>67</v>
    <v>Banking Services</v>
    <v>Stock</v>
    <v>45979.716666666667</v>
    <v>40</v>
    <v>66.5</v>
    <v>76276400000</v>
    <v>BNP Paribas SA</v>
    <v>BNP Paribas SA</v>
    <v>67</v>
    <v>6.9706000000000001</v>
    <v>67.8</v>
    <v>66.5</v>
    <v>1116785000</v>
    <v>BNP</v>
    <v>BNP Paribas SA (XFRA:BNP)</v>
    <v>3420</v>
    <v>2648260</v>
    <v>1966</v>
  </rv>
  <rv s="2">
    <v>41</v>
  </rv>
  <rv s="0">
    <v>https://www.bing.com/financeapi/forcetrigger?t=a1p3ww&amp;q=XNYS%3aC&amp;form=skydnc</v>
    <v>Learn more on Bing</v>
  </rv>
  <rv s="1">
    <v>en-IN</v>
    <v>a1p3ww</v>
    <v>268435456</v>
    <v>1</v>
    <v>Powered by Refinitiv</v>
    <v>0</v>
    <v>CITIGROUP INC. (XNYS:C)</v>
    <v>2</v>
    <v>3</v>
    <v>Finance</v>
    <v>4</v>
    <v>105.59</v>
    <v>55.51</v>
    <v>1.2004999999999999</v>
    <v>-0.08</v>
    <v>-8.1470000000000002E-4</v>
    <v>USD</v>
    <v>Citigroup Inc. is a global diversified financial services holding company. The Company’s segments include Services, Markets, Banking, Wealth and U.S. Personal Banking (USPB). The Services segment includes Treasury and Trade Solutions (TTS) and securities services. TTS provides an integrated suite of tailored cash management, trade and working capital solutions to multinational corporations, financial institutions and public sector organizations. The Markets segment provides corporate, institutional and public sector clients around the world with a full range of sales and trading services across equities, foreign exchange, rates, spread products and commodities. The Banking segment includes investment banking, which supports client capital-raising needs to help strengthen and grow their businesses. The Wealth segment includes Private Bank, Wealth at Work and Citigold and provides financial services to a range of client segments. USPB segment includes branded cards and retail services.</v>
    <v>227000</v>
    <v>New York Stock Exchange</v>
    <v>XNYS</v>
    <v>XNYS</v>
    <v>388 Greenwich Street, 17th Floor, NEW YORK, NY, 10013 US</v>
    <v>98.596599999999995</v>
    <v>Investment Banking &amp; Investment Services</v>
    <v>Stock</v>
    <v>45979.728176642966</v>
    <v>43</v>
    <v>96.38</v>
    <v>175548223000</v>
    <v>CITIGROUP INC.</v>
    <v>CITIGROUP INC.</v>
    <v>97.5</v>
    <v>13.7919</v>
    <v>98.19</v>
    <v>98.11</v>
    <v>1789300000</v>
    <v>C</v>
    <v>CITIGROUP INC. (XNYS:C)</v>
    <v>5216270</v>
    <v>12812913</v>
    <v>1988</v>
  </rv>
  <rv s="2">
    <v>44</v>
  </rv>
  <rv s="0">
    <v>https://www.bing.com/financeapi/forcetrigger?t=azjsz2&amp;q=XNYS%3aMUFG&amp;form=skydnc</v>
    <v>Learn more on Bing</v>
  </rv>
  <rv s="1">
    <v>en-IN</v>
    <v>azjsz2</v>
    <v>268435456</v>
    <v>1</v>
    <v>Powered by Refinitiv</v>
    <v>0</v>
    <v>Mitsubishi UFJ Financial Group, Inc. (XNYS:MUFG)</v>
    <v>2</v>
    <v>3</v>
    <v>Finance</v>
    <v>4</v>
    <v>16.234999999999999</v>
    <v>10.46</v>
    <v>0.3755</v>
    <v>-0.34499999999999997</v>
    <v>-2.2374000000000002E-2</v>
    <v>USD</v>
    <v>Mitsubishi UFJ Financial Group Inc is a Japan-based company engaged in financial business. It operates through eight business segments. Retail &amp; Digital Business Group provides financial services to individual customers and corporations. Commercial Banking &amp; Wealth Management Business Group provides financial services to corporations and wealth management clients. Japanese Corporate &amp; Investment Banking Business Group provides financial services to large Japanese corporations. Global Commercial Banking Business Group provides financial services to individuals, mid-sized enterprises, and other enterprises. Asset Management &amp; Investor Services Business Group provides asset management, asset administration, and pension services. Global Corporate &amp; Investment Banking Business Group provides financial services to large non-Japanese corporations. Global Markets Business Group provides foreign exchange, funding, and other services. It also operates The Other segment.</v>
    <v>156253</v>
    <v>New York Stock Exchange</v>
    <v>XNYS</v>
    <v>XNYS</v>
    <v>1-4-5, Marunouchi, CHIYODA-KU, TOKYO-TO, 100-8330 JP</v>
    <v>15.154999999999999</v>
    <v>Banking Services</v>
    <v>Stock</v>
    <v>45979.728080185159</v>
    <v>46</v>
    <v>15.018599999999999</v>
    <v>188626000000</v>
    <v>Mitsubishi UFJ Financial Group, Inc.</v>
    <v>Mitsubishi UFJ Financial Group, Inc.</v>
    <v>15.15</v>
    <v>13.624000000000001</v>
    <v>15.42</v>
    <v>15.074999999999999</v>
    <v>12067710000</v>
    <v>MUFG</v>
    <v>Mitsubishi UFJ Financial Group, Inc. (XNYS:MUFG)</v>
    <v>2943934</v>
    <v>3260869</v>
    <v>2001</v>
  </rv>
  <rv s="2">
    <v>47</v>
  </rv>
  <rv s="0">
    <v>https://www.bing.com/financeapi/forcetrigger?t=amg2tc&amp;q=BMEX%3aSAN&amp;form=skydnc</v>
    <v>Learn more on Bing</v>
  </rv>
  <rv s="7">
    <v>en-IN</v>
    <v>amg2tc</v>
    <v>268435456</v>
    <v>1</v>
    <v>Powered by Refinitiv</v>
    <v>16</v>
    <v>Banco Santander SA (BMEX:SAN)</v>
    <v>2</v>
    <v>17</v>
    <v>Finance</v>
    <v>18</v>
    <v>9.5990000000000002</v>
    <v>4.2560000000000002</v>
    <v>1.5043</v>
    <v>-0.32700000000000001</v>
    <v>1.4475999999999999E-2</v>
    <v>-3.5934000000000001E-2</v>
    <v>0.127</v>
    <v>EUR</v>
    <v>Banco Santander, S.A. is a Spain-based company engaged as a retail and commercial bank. The Banks segments include Continental Europe, the United Kingdom, Latin America and the United States. The Continental Europe segment covers all businesses in the Continental Europe. The United Kingdom segment includes the businesses developed by various units and branches in the country. The Latin America segment embraces all its financial activities conducted through its banks and subsidiaries in the region. The United States segment includes the Intermediate Holding Company (IHC) and its subsidiaries Santander Bank, Banco Santander Puerto Rico, Santander Consumer USA, Banco Santander International, Santander Investment Securities, and the Santander branch in New York. The Company's commercial model satisfies the needs of all types of customers: individuals with various income levels.</v>
    <v>201304</v>
    <v>Bolsas y Mercados Espanoles</v>
    <v>BMEX</v>
    <v>BMEX</v>
    <v>CGS Av. Cantabria s/n, BOADILLA DEL MONTE, MADRID, 28660 ES</v>
    <v>8.9410000000000007</v>
    <v>Banking Services</v>
    <v>Stock</v>
    <v>45979.708854166667</v>
    <v>49</v>
    <v>8.7240000000000002</v>
    <v>135456500000</v>
    <v>Banco Santander SA</v>
    <v>Banco Santander SA</v>
    <v>8.9</v>
    <v>9.7316000000000003</v>
    <v>9.1</v>
    <v>8.7729999999999997</v>
    <v>8.9</v>
    <v>14885330000</v>
    <v>SAN</v>
    <v>Banco Santander SA (BMEX:SAN)</v>
    <v>32777068</v>
    <v>22650910</v>
    <v>1875</v>
  </rv>
  <rv s="2">
    <v>50</v>
  </rv>
  <rv s="0">
    <v>https://www.bing.com/financeapi/forcetrigger?t=a1qqyc&amp;q=XNYS%3aDB&amp;form=skydnc</v>
    <v>Learn more on Bing</v>
  </rv>
  <rv s="1">
    <v>en-IN</v>
    <v>a1qqyc</v>
    <v>268435456</v>
    <v>1</v>
    <v>Powered by Refinitiv</v>
    <v>0</v>
    <v>Deutsche Bank AG (XNYS:DB)</v>
    <v>2</v>
    <v>19</v>
    <v>Finance</v>
    <v>4</v>
    <v>38.78</v>
    <v>16.020099999999999</v>
    <v>1.1205000000000001</v>
    <v>-1.08</v>
    <v>-3.0752000000000002E-2</v>
    <v>USD</v>
    <v>Deutsche Bank Aktiengesellschaft is a bank and holding company for its subsidiaries. The Company offers a range of services such as investment, financial and related products and services to private individuals, corporate entities, and institutional clients. It operates through four business divisions: Corporate Bank, Investment Bank, Private Bank and Asset Management. The Corporate Bank division serves corporate clients and financial institutions, offering cash management, trade finance, lending, foreign exchange, trust and agency services, correspondent banking, and securities services. The Investment Bank division includes Fixed Income &amp; Currencies (FIC) Sales &amp; Trading, Origination &amp; Advisory, and Deutsche Bank Research. The Private Bank division focuses on personal and private clients, wealthy individuals, entrepreneurs and families. The Asset Management division operates under the brand DWS, and it serves a diverse client base of retail and institutional investors worldwide.</v>
    <v>90330</v>
    <v>New York Stock Exchange</v>
    <v>XNYS</v>
    <v>XNYS</v>
    <v>Taunusanlage 12, FRANKFURT AM MAIN, HESSEN, 60325 DE</v>
    <v>34.25</v>
    <v>Banking Services</v>
    <v>Stock</v>
    <v>45979.728173460157</v>
    <v>52</v>
    <v>33.825000000000003</v>
    <v>60035410000</v>
    <v>Deutsche Bank AG</v>
    <v>Deutsche Bank AG</v>
    <v>34.1</v>
    <v>12.088100000000001</v>
    <v>35.119999999999997</v>
    <v>34.04</v>
    <v>1948253000</v>
    <v>DB</v>
    <v>Deutsche Bank AG (XNYS:DB)</v>
    <v>2114429</v>
    <v>2458951</v>
    <v>1952</v>
  </rv>
  <rv s="2">
    <v>53</v>
  </rv>
</rvData>
</file>

<file path=xl/richData/rdrichvaluestructure.xml><?xml version="1.0" encoding="utf-8"?>
<rvStructures xmlns="http://schemas.microsoft.com/office/spreadsheetml/2017/richdata" count="8">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4">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_Flags</v>
      <v t="s">UniqueName</v>
      <v t="s">_DisplayString</v>
      <v t="s">LearnMoreOnLink</v>
      <v t="s">ExchangeID</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20">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3">
      <v>10</v>
      <v>2</v>
      <v>2</v>
      <v>10</v>
      <v>3</v>
      <v>10</v>
      <v>10</v>
      <v>10</v>
      <v>4</v>
      <v>4</v>
      <v>5</v>
      <v>11</v>
      <v>10</v>
      <v>10</v>
      <v>10</v>
      <v>4</v>
      <v>7</v>
      <v>8</v>
      <v>9</v>
      <v>4</v>
    </spb>
    <spb s="5">
      <v>Delayed 5 minutes</v>
      <v>from previous close</v>
      <v>from previous close</v>
      <v>GMT</v>
    </spb>
    <spb s="0">
      <v>1</v>
      <v>Name</v>
      <v>LearnMoreOnLink</v>
    </spb>
    <spb s="6">
      <v>0</v>
      <v>0</v>
    </spb>
    <spb s="7">
      <v>8</v>
      <v>1</v>
      <v>1</v>
      <v>1</v>
      <v>1</v>
    </spb>
    <spb s="8">
      <v>10</v>
      <v>2</v>
      <v>2</v>
      <v>10</v>
      <v>3</v>
      <v>10</v>
      <v>12</v>
      <v>10</v>
      <v>10</v>
      <v>4</v>
      <v>4</v>
      <v>5</v>
      <v>11</v>
      <v>10</v>
      <v>10</v>
      <v>10</v>
      <v>4</v>
      <v>7</v>
      <v>8</v>
      <v>9</v>
      <v>4</v>
    </spb>
    <spb s="9">
      <v>Powered by Refinitiv</v>
    </spb>
    <spb s="0">
      <v>2</v>
      <v>Name</v>
      <v>LearnMoreOnLink</v>
    </spb>
    <spb s="10">
      <v>10</v>
      <v>2</v>
      <v>2</v>
      <v>10</v>
      <v>3</v>
      <v>10</v>
      <v>10</v>
      <v>10</v>
      <v>4</v>
      <v>4</v>
      <v>5</v>
      <v>11</v>
      <v>10</v>
      <v>10</v>
      <v>10</v>
      <v>4</v>
      <v>7</v>
      <v>9</v>
      <v>4</v>
    </spb>
    <spb s="3">
      <v>13</v>
      <v>2</v>
      <v>2</v>
      <v>13</v>
      <v>3</v>
      <v>13</v>
      <v>13</v>
      <v>13</v>
      <v>4</v>
      <v>4</v>
      <v>5</v>
      <v>14</v>
      <v>13</v>
      <v>13</v>
      <v>13</v>
      <v>4</v>
      <v>7</v>
      <v>8</v>
      <v>9</v>
      <v>4</v>
    </spb>
    <spb s="5">
      <v>Delayed 15 minutes</v>
      <v>from previous close</v>
      <v>from previous close</v>
      <v>GMT</v>
    </spb>
    <spb s="0">
      <v>3</v>
      <v>Name</v>
      <v>LearnMoreOnLink</v>
    </spb>
    <spb s="11">
      <v>13</v>
      <v>2</v>
      <v>2</v>
      <v>13</v>
      <v>3</v>
      <v>13</v>
      <v>13</v>
      <v>13</v>
      <v>4</v>
      <v>4</v>
      <v>5</v>
      <v>14</v>
      <v>13</v>
      <v>13</v>
      <v>13</v>
      <v>4</v>
      <v>7</v>
      <v>8</v>
      <v>9</v>
      <v>4</v>
      <v>13</v>
      <v>13</v>
      <v>5</v>
    </spb>
    <spb s="12">
      <v>at close</v>
      <v>from previous close</v>
      <v>from previous close</v>
      <v>GMT</v>
      <v>Delayed 15 minutes</v>
      <v>from close</v>
      <v>from close</v>
    </spb>
    <spb s="3">
      <v>1</v>
      <v>2</v>
      <v>2</v>
      <v>1</v>
      <v>3</v>
      <v>1</v>
      <v>1</v>
      <v>1</v>
      <v>4</v>
      <v>4</v>
      <v>5</v>
      <v>14</v>
      <v>1</v>
      <v>1</v>
      <v>1</v>
      <v>4</v>
      <v>7</v>
      <v>8</v>
      <v>9</v>
      <v>4</v>
    </spb>
  </spbData>
</supportingPropertyBags>
</file>

<file path=xl/richData/rdsupportingpropertybagstructure.xml><?xml version="1.0" encoding="utf-8"?>
<spbStructures xmlns="http://schemas.microsoft.com/office/spreadsheetml/2017/richdata2" count="13">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Price" t="s"/>
    <k n="Change" t="s"/>
    <k n="Change (%)" t="s"/>
    <k n="Last trade time" t="s"/>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Low" t="i"/>
    <k n="P/E"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yyyy/mm/dd\ h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dxfid="1">
      <rpv i="0" xml:space="preserve">_ [$₹-en-IN] * #,##0.00_ ;_ [$₹-en-IN] * -#,##0.00_ ;_ [$₹-en-IN] * "-"??_ ;_ @_ </rpv>
    </rSty>
    <rSty dxfid="1">
      <rpv i="0" xml:space="preserve">_ [$₹-en-IN] * #,##0_ ;_ [$₹-en-IN] * -#,##0_ ;_ [$₹-en-IN] * "-"_ ;_ @_ </rpv>
    </rSty>
    <rSty>
      <rpv i="2">1</rpv>
    </rSty>
    <rSty dxfid="1">
      <rpv i="0">_([$€-x-euro2] * #,##0.00_);_([$€-x-euro2] * (#,##0.00);_([$€-x-euro2] * "-"??_);_(@_)</rpv>
    </rSty>
    <rSty dxfid="1">
      <rpv i="0">_([$€-x-euro2] * #,##0_);_([$€-x-euro2] * (#,##0);_([$€-x-euro2] * "-"_);_(@_)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C3323B-462D-4CC1-8199-FEED89EF7889}" name="Table1" displayName="Table1" ref="A3:F11" totalsRowShown="0" headerRowDxfId="392" dataDxfId="391" tableBorderDxfId="390" dataCellStyle="Comma">
  <autoFilter ref="A3:F11" xr:uid="{E8C3323B-462D-4CC1-8199-FEED89EF7889}">
    <filterColumn colId="0" hiddenButton="1"/>
    <filterColumn colId="1" hiddenButton="1"/>
    <filterColumn colId="2" hiddenButton="1"/>
    <filterColumn colId="3" hiddenButton="1"/>
    <filterColumn colId="4" hiddenButton="1"/>
    <filterColumn colId="5" hiddenButton="1"/>
  </autoFilter>
  <tableColumns count="6">
    <tableColumn id="1" xr3:uid="{5753BE1C-29DB-4A2F-BEC3-48B8164C3978}" name="Particulars" dataDxfId="389"/>
    <tableColumn id="2" xr3:uid="{1051D1C9-0878-40F6-94FC-59E37F1AB505}" name="2020" dataDxfId="388" dataCellStyle="Comma"/>
    <tableColumn id="3" xr3:uid="{FA2AFE6B-C089-4E4A-A518-F69F321DD0EB}" name="2021" dataDxfId="387" dataCellStyle="Comma"/>
    <tableColumn id="4" xr3:uid="{C5CA4D96-78E5-4DD4-BE3C-57C940DB4D58}" name="2022" dataDxfId="386" dataCellStyle="Comma"/>
    <tableColumn id="5" xr3:uid="{BC1D5BC5-7690-4BA6-94C5-2BF56D9CDC0E}" name="2023" dataDxfId="385" dataCellStyle="Comma"/>
    <tableColumn id="6" xr3:uid="{755BB325-C00F-4BF3-9542-E34EA4EE5B7A}" name="2024" dataDxfId="384" dataCellStyle="Comma"/>
  </tableColumns>
  <tableStyleInfo name="TableStyleDark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7CA8B3-091C-4434-8097-44048E209B2A}" name="Table2" displayName="Table2" ref="A14:F23" totalsRowShown="0" headerRowDxfId="383" dataDxfId="382" tableBorderDxfId="381" dataCellStyle="Comma">
  <autoFilter ref="A14:F23" xr:uid="{5F7CA8B3-091C-4434-8097-44048E209B2A}">
    <filterColumn colId="0" hiddenButton="1"/>
    <filterColumn colId="1" hiddenButton="1"/>
    <filterColumn colId="2" hiddenButton="1"/>
    <filterColumn colId="3" hiddenButton="1"/>
    <filterColumn colId="4" hiddenButton="1"/>
    <filterColumn colId="5" hiddenButton="1"/>
  </autoFilter>
  <tableColumns count="6">
    <tableColumn id="1" xr3:uid="{883028A1-8C3D-4537-A0A7-1D76B1B80591}" name="Particulars" dataDxfId="380"/>
    <tableColumn id="2" xr3:uid="{F901AB48-1126-44BC-9891-978050884694}" name="2020" dataDxfId="379" dataCellStyle="Comma"/>
    <tableColumn id="3" xr3:uid="{2FBA7429-78F8-42F6-87D1-72D963E24EAB}" name="2021" dataDxfId="378" dataCellStyle="Comma"/>
    <tableColumn id="4" xr3:uid="{049A0328-1248-489B-9513-30659E867228}" name="2022" dataDxfId="377" dataCellStyle="Comma"/>
    <tableColumn id="5" xr3:uid="{C73CB62F-5891-4B90-B0BB-F7E222F22ED0}" name="2023" dataDxfId="376" dataCellStyle="Comma"/>
    <tableColumn id="6" xr3:uid="{A1712159-2E0A-43A6-A2E6-B7E6C0ADA229}" name="2024" dataDxfId="375" dataCellStyle="Comma"/>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89690A-C4F9-43B7-BC80-8280794DB2C9}" name="Table3" displayName="Table3" ref="A27:F29" totalsRowShown="0" headerRowDxfId="374" dataDxfId="373" tableBorderDxfId="372" dataCellStyle="Comma">
  <autoFilter ref="A27:F29" xr:uid="{D989690A-C4F9-43B7-BC80-8280794DB2C9}">
    <filterColumn colId="0" hiddenButton="1"/>
    <filterColumn colId="1" hiddenButton="1"/>
    <filterColumn colId="2" hiddenButton="1"/>
    <filterColumn colId="3" hiddenButton="1"/>
    <filterColumn colId="4" hiddenButton="1"/>
    <filterColumn colId="5" hiddenButton="1"/>
  </autoFilter>
  <tableColumns count="6">
    <tableColumn id="1" xr3:uid="{F425614C-7812-4691-B3E5-B0AFF96D3FE5}" name="Particulars" dataDxfId="371"/>
    <tableColumn id="2" xr3:uid="{BBD562FE-A9A4-4352-B455-B950109F4FBF}" name="2020" dataDxfId="370" dataCellStyle="Comma"/>
    <tableColumn id="3" xr3:uid="{2874021D-E5B5-41B0-BB60-A370A6459B00}" name="2021" dataDxfId="369" dataCellStyle="Comma"/>
    <tableColumn id="4" xr3:uid="{6234F19D-B54E-4B5F-9A8A-48C048133C7A}" name="2022" dataDxfId="368" dataCellStyle="Comma"/>
    <tableColumn id="5" xr3:uid="{F1F309D8-E0A7-4158-9CAD-DCB6EA01F2ED}" name="2023" dataDxfId="367" dataCellStyle="Comma"/>
    <tableColumn id="6" xr3:uid="{14538C5D-A348-4EA9-BC31-BF5D7A213FEE}" name="2024" dataDxfId="366" dataCellStyle="Comma"/>
  </tableColumns>
  <tableStyleInfo name="TableStyleMedium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83CE495-7158-489A-9DD7-FC16B7D0FBBC}" name="Table18" displayName="Table18" ref="H3:M11" totalsRowShown="0" headerRowDxfId="365" dataDxfId="364" tableBorderDxfId="363" dataCellStyle="Comma">
  <autoFilter ref="H3:M11" xr:uid="{B83CE495-7158-489A-9DD7-FC16B7D0FBBC}">
    <filterColumn colId="0" hiddenButton="1"/>
    <filterColumn colId="1" hiddenButton="1"/>
    <filterColumn colId="2" hiddenButton="1"/>
    <filterColumn colId="3" hiddenButton="1"/>
    <filterColumn colId="4" hiddenButton="1"/>
    <filterColumn colId="5" hiddenButton="1"/>
  </autoFilter>
  <tableColumns count="6">
    <tableColumn id="1" xr3:uid="{01970EE6-289D-4AD6-84E9-D36EC4516AFF}" name="Particulars" dataDxfId="362"/>
    <tableColumn id="2" xr3:uid="{7C5CEC0E-FE18-47E1-B7B9-07CAA199C35E}" name="2020" dataDxfId="361" dataCellStyle="Comma"/>
    <tableColumn id="3" xr3:uid="{B884E731-188E-4BF2-8212-7FF7CB526D3A}" name="2021" dataDxfId="360" dataCellStyle="Comma"/>
    <tableColumn id="4" xr3:uid="{E2AE3C71-F96E-447F-8797-8AB62AD9316C}" name="2022" dataDxfId="359" dataCellStyle="Comma"/>
    <tableColumn id="5" xr3:uid="{CA3527F3-5D24-4056-BCD5-21217577EDF4}" name="2023" dataDxfId="358" dataCellStyle="Comma"/>
    <tableColumn id="6" xr3:uid="{1ECF56D5-61EA-4606-BCFF-7BF9765E342D}" name="2024" dataDxfId="357" dataCellStyle="Comma"/>
  </tableColumns>
  <tableStyleInfo name="TableStyleDark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BF638B1-3CC1-4A59-805A-EE7EA50D7129}" name="Table29" displayName="Table29" ref="H14:M23" totalsRowShown="0" headerRowDxfId="356" dataDxfId="355" tableBorderDxfId="354" dataCellStyle="Comma">
  <autoFilter ref="H14:M23" xr:uid="{EBF638B1-3CC1-4A59-805A-EE7EA50D7129}">
    <filterColumn colId="0" hiddenButton="1"/>
    <filterColumn colId="1" hiddenButton="1"/>
    <filterColumn colId="2" hiddenButton="1"/>
    <filterColumn colId="3" hiddenButton="1"/>
    <filterColumn colId="4" hiddenButton="1"/>
    <filterColumn colId="5" hiddenButton="1"/>
  </autoFilter>
  <tableColumns count="6">
    <tableColumn id="1" xr3:uid="{02544F61-B5D5-4B12-A4EA-5E081513FE16}" name="Particulars" dataDxfId="353"/>
    <tableColumn id="2" xr3:uid="{C91355F3-625A-4C91-9347-41177245E5EF}" name="2020" dataDxfId="352" dataCellStyle="Comma"/>
    <tableColumn id="3" xr3:uid="{56033596-713D-41F3-B482-01E3C790EDD5}" name="2021" dataDxfId="351" dataCellStyle="Comma"/>
    <tableColumn id="4" xr3:uid="{7C6AEAFA-7750-482F-93B4-CB964391CC8B}" name="2022" dataDxfId="350" dataCellStyle="Comma"/>
    <tableColumn id="5" xr3:uid="{772D07C8-2B0B-4200-BCB1-E1BEF4505EBA}" name="2023" dataDxfId="349" dataCellStyle="Comma"/>
    <tableColumn id="6" xr3:uid="{DA032511-60F0-47AA-BA15-BC58E29852EE}" name="2024" dataDxfId="348" dataCellStyle="Comma"/>
  </tableColumns>
  <tableStyleInfo name="TableStyleMedium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0D10FCA-70D8-4892-886E-6B3B5606D17A}" name="Table310" displayName="Table310" ref="H27:M29" totalsRowShown="0" headerRowDxfId="347" dataDxfId="346" tableBorderDxfId="345" dataCellStyle="Comma">
  <autoFilter ref="H27:M29" xr:uid="{D0D10FCA-70D8-4892-886E-6B3B5606D17A}">
    <filterColumn colId="0" hiddenButton="1"/>
    <filterColumn colId="1" hiddenButton="1"/>
    <filterColumn colId="2" hiddenButton="1"/>
    <filterColumn colId="3" hiddenButton="1"/>
    <filterColumn colId="4" hiddenButton="1"/>
    <filterColumn colId="5" hiddenButton="1"/>
  </autoFilter>
  <tableColumns count="6">
    <tableColumn id="1" xr3:uid="{504166D4-3F7A-4AF4-864E-CDD748A9DCEE}" name="Particulars" dataDxfId="344"/>
    <tableColumn id="2" xr3:uid="{99346794-53C8-42D7-B726-C34A06D72528}" name="2020" dataDxfId="343" dataCellStyle="Comma"/>
    <tableColumn id="3" xr3:uid="{DE86CF55-F9AD-4CBA-B3D6-60675AD6ED53}" name="2021" dataDxfId="342" dataCellStyle="Comma"/>
    <tableColumn id="4" xr3:uid="{C2C662D8-ABBF-40A1-9F24-BE0BC1222987}" name="2022" dataDxfId="341" dataCellStyle="Comma"/>
    <tableColumn id="5" xr3:uid="{A933C97E-3A30-44D4-ACE8-95F41F1CEFD6}" name="2023" dataDxfId="340" dataCellStyle="Comma"/>
    <tableColumn id="6" xr3:uid="{3BC7FC82-246D-44C7-B0FE-41E9E51A3053}" name="2024" dataDxfId="339" dataCellStyle="Comma"/>
  </tableColumns>
  <tableStyleInfo name="TableStyleMedium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C2E5F4E-1EF8-49AD-AF83-7E699DD1202F}" name="Table120" displayName="Table120" ref="O3:T11" totalsRowShown="0" headerRowDxfId="338" dataDxfId="337" tableBorderDxfId="336" dataCellStyle="Comma">
  <autoFilter ref="O3:T11" xr:uid="{4C2E5F4E-1EF8-49AD-AF83-7E699DD1202F}">
    <filterColumn colId="0" hiddenButton="1"/>
    <filterColumn colId="1" hiddenButton="1"/>
    <filterColumn colId="2" hiddenButton="1"/>
    <filterColumn colId="3" hiddenButton="1"/>
    <filterColumn colId="4" hiddenButton="1"/>
    <filterColumn colId="5" hiddenButton="1"/>
  </autoFilter>
  <tableColumns count="6">
    <tableColumn id="1" xr3:uid="{A0807633-C5A9-4470-8891-263B60772865}" name="Particulars" dataDxfId="335"/>
    <tableColumn id="2" xr3:uid="{C4F8AE31-0B1B-4000-BBD3-E372C57DFAF6}" name="2020" dataDxfId="334" dataCellStyle="Comma"/>
    <tableColumn id="3" xr3:uid="{E6180E30-E92F-48FE-9F74-F98CD7A956C6}" name="2021" dataDxfId="333" dataCellStyle="Comma"/>
    <tableColumn id="4" xr3:uid="{6B4F2A90-A5C1-4CB2-A3EE-6E6721AC3B8A}" name="2022" dataDxfId="332" dataCellStyle="Comma"/>
    <tableColumn id="5" xr3:uid="{1E858C8B-6DDF-4C22-AED5-D94DBB2E412F}" name="2023" dataDxfId="331" dataCellStyle="Comma"/>
    <tableColumn id="6" xr3:uid="{2F39637A-0110-44BA-8F31-E807EA2E736A}" name="2024" dataDxfId="330" dataCellStyle="Comma"/>
  </tableColumns>
  <tableStyleInfo name="TableStyleDark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B0C6F09-18C9-407C-BC37-ADB0E75C90BF}" name="Table221" displayName="Table221" ref="O14:T24" totalsRowShown="0" headerRowDxfId="329" dataDxfId="328" tableBorderDxfId="327" dataCellStyle="Comma">
  <autoFilter ref="O14:T24" xr:uid="{BB0C6F09-18C9-407C-BC37-ADB0E75C90BF}">
    <filterColumn colId="0" hiddenButton="1"/>
    <filterColumn colId="1" hiddenButton="1"/>
    <filterColumn colId="2" hiddenButton="1"/>
    <filterColumn colId="3" hiddenButton="1"/>
    <filterColumn colId="4" hiddenButton="1"/>
    <filterColumn colId="5" hiddenButton="1"/>
  </autoFilter>
  <tableColumns count="6">
    <tableColumn id="1" xr3:uid="{54B91E31-E549-4351-86E6-E7191BAA3047}" name="Particulars" dataDxfId="326"/>
    <tableColumn id="2" xr3:uid="{CF637360-22F4-4F95-8962-07D69D238EDB}" name="2020" dataDxfId="325" dataCellStyle="Comma"/>
    <tableColumn id="3" xr3:uid="{4459753A-EA1E-42EA-87B3-77FCB5CFF396}" name="2021" dataDxfId="324" dataCellStyle="Comma"/>
    <tableColumn id="4" xr3:uid="{F62243DB-A171-41AB-BB87-2E219DBA474C}" name="2022" dataDxfId="323" dataCellStyle="Comma"/>
    <tableColumn id="5" xr3:uid="{B1D99C15-4ACE-42A0-A29C-8540D7EFFFC5}" name="2023" dataDxfId="322" dataCellStyle="Comma"/>
    <tableColumn id="6" xr3:uid="{D2D2F6E7-F217-4182-9763-940287FA1CC2}" name="2024" dataDxfId="321" dataCellStyle="Comma"/>
  </tableColumns>
  <tableStyleInfo name="TableStyleMedium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ACF6D98-26B3-41F9-B486-D4E52F2CEC54}" name="Table322" displayName="Table322" ref="O27:T29" totalsRowShown="0" headerRowDxfId="320" dataDxfId="319" tableBorderDxfId="318" dataCellStyle="Comma">
  <autoFilter ref="O27:T29" xr:uid="{FACF6D98-26B3-41F9-B486-D4E52F2CEC54}">
    <filterColumn colId="0" hiddenButton="1"/>
    <filterColumn colId="1" hiddenButton="1"/>
    <filterColumn colId="2" hiddenButton="1"/>
    <filterColumn colId="3" hiddenButton="1"/>
    <filterColumn colId="4" hiddenButton="1"/>
    <filterColumn colId="5" hiddenButton="1"/>
  </autoFilter>
  <tableColumns count="6">
    <tableColumn id="1" xr3:uid="{505C00F2-8879-456A-9889-22746898B9E9}" name="Particulars" dataDxfId="317"/>
    <tableColumn id="2" xr3:uid="{6972DBBF-1195-47E2-9C67-3F043C916983}" name="2020" dataDxfId="316" dataCellStyle="Comma"/>
    <tableColumn id="3" xr3:uid="{1D5D4A4A-591D-4850-A280-1C328171AEED}" name="2021" dataDxfId="315" dataCellStyle="Comma"/>
    <tableColumn id="4" xr3:uid="{A25DD661-7DD7-43E7-BB89-2EDE0B7B62A8}" name="2022" dataDxfId="314" dataCellStyle="Comma"/>
    <tableColumn id="5" xr3:uid="{468F37D1-19E2-449F-9693-A8DCED969414}" name="2023" dataDxfId="313" dataCellStyle="Comma"/>
    <tableColumn id="6" xr3:uid="{45B913A7-F4BA-4EBC-9997-AC205778C25E}" name="2024" dataDxfId="312" dataCellStyle="Comma"/>
  </tableColumns>
  <tableStyleInfo name="TableStyleMedium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B019E7B-AA1F-4219-A465-C084EC97EE24}" name="Table1823" displayName="Table1823" ref="V3:AA11" totalsRowShown="0" headerRowDxfId="311" dataDxfId="310" tableBorderDxfId="309" dataCellStyle="Comma">
  <autoFilter ref="V3:AA11" xr:uid="{FB019E7B-AA1F-4219-A465-C084EC97EE24}">
    <filterColumn colId="0" hiddenButton="1"/>
    <filterColumn colId="1" hiddenButton="1"/>
    <filterColumn colId="2" hiddenButton="1"/>
    <filterColumn colId="3" hiddenButton="1"/>
    <filterColumn colId="4" hiddenButton="1"/>
    <filterColumn colId="5" hiddenButton="1"/>
  </autoFilter>
  <tableColumns count="6">
    <tableColumn id="1" xr3:uid="{3A81ADE1-1609-416F-8D84-7CF98A38F594}" name="Particulars" dataDxfId="308"/>
    <tableColumn id="2" xr3:uid="{F934F1E1-05E5-4DD1-B66B-D7F29D7EFCD5}" name="2020" dataDxfId="307" dataCellStyle="Comma"/>
    <tableColumn id="3" xr3:uid="{1F6759F9-3E4E-4882-B14E-0A71E9ED7087}" name="2021" dataDxfId="306" dataCellStyle="Comma"/>
    <tableColumn id="4" xr3:uid="{FC942834-1D74-4151-8076-7786A2DDE08A}" name="2022" dataDxfId="305" dataCellStyle="Comma"/>
    <tableColumn id="5" xr3:uid="{A98E8354-47E9-460B-9454-97EC7A0C076F}" name="2023" dataDxfId="304" dataCellStyle="Comma"/>
    <tableColumn id="6" xr3:uid="{3FC99DCA-1328-4721-8D7E-68E98F2A70FF}" name="2024" dataDxfId="303" dataCellStyle="Comma"/>
  </tableColumns>
  <tableStyleInfo name="TableStyleDark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452BE51-3CBB-46CF-A232-3BD6BE4C082D}" name="Table2924" displayName="Table2924" ref="V14:AA24" totalsRowShown="0" headerRowDxfId="302" dataDxfId="301" tableBorderDxfId="300" dataCellStyle="Comma">
  <autoFilter ref="V14:AA24" xr:uid="{E452BE51-3CBB-46CF-A232-3BD6BE4C082D}">
    <filterColumn colId="0" hiddenButton="1"/>
    <filterColumn colId="1" hiddenButton="1"/>
    <filterColumn colId="2" hiddenButton="1"/>
    <filterColumn colId="3" hiddenButton="1"/>
    <filterColumn colId="4" hiddenButton="1"/>
    <filterColumn colId="5" hiddenButton="1"/>
  </autoFilter>
  <tableColumns count="6">
    <tableColumn id="1" xr3:uid="{E7DABDCC-6FF3-4E0D-9A23-C6CD267F5A0E}" name="Particulars" dataDxfId="299"/>
    <tableColumn id="2" xr3:uid="{44D44AB1-DB1E-4C3B-B95F-436AB33744EB}" name="2020" dataDxfId="298" dataCellStyle="Comma"/>
    <tableColumn id="3" xr3:uid="{076595E1-86FD-4BAB-AC9E-AAC74E185FC9}" name="2021" dataDxfId="297" dataCellStyle="Comma"/>
    <tableColumn id="4" xr3:uid="{18D4C953-2829-4BF5-899D-F751C448D76D}" name="2022" dataDxfId="296" dataCellStyle="Comma"/>
    <tableColumn id="5" xr3:uid="{B16439F0-08D2-4E43-ADE4-8A52EEB96370}" name="2023" dataDxfId="295" dataCellStyle="Comma"/>
    <tableColumn id="6" xr3:uid="{5C9EF466-3A5A-4D8D-AD27-A704BAB8C155}" name="2024" dataDxfId="294" dataCellStyle="Comma"/>
  </tableColumns>
  <tableStyleInfo name="TableStyleMedium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48B0FC6-5DD2-4A45-8944-7A504DA52D45}" name="Table31025" displayName="Table31025" ref="V27:AA29" totalsRowShown="0" headerRowDxfId="293" dataDxfId="292" tableBorderDxfId="291" dataCellStyle="Comma">
  <autoFilter ref="V27:AA29" xr:uid="{F48B0FC6-5DD2-4A45-8944-7A504DA52D45}">
    <filterColumn colId="0" hiddenButton="1"/>
    <filterColumn colId="1" hiddenButton="1"/>
    <filterColumn colId="2" hiddenButton="1"/>
    <filterColumn colId="3" hiddenButton="1"/>
    <filterColumn colId="4" hiddenButton="1"/>
    <filterColumn colId="5" hiddenButton="1"/>
  </autoFilter>
  <tableColumns count="6">
    <tableColumn id="1" xr3:uid="{92FD6843-9797-4F07-BFFC-44B6174EAFFF}" name="Particulars" dataDxfId="290"/>
    <tableColumn id="2" xr3:uid="{813BCEB4-F441-4BD7-B183-2384703AE90F}" name="2020" dataDxfId="289" dataCellStyle="Comma"/>
    <tableColumn id="3" xr3:uid="{B91EB46F-7D69-4D61-A26C-6E3F4AC4F842}" name="2021" dataDxfId="288" dataCellStyle="Comma"/>
    <tableColumn id="4" xr3:uid="{F9E91758-CEE3-43BF-B950-8CD84165C87D}" name="2022" dataDxfId="287" dataCellStyle="Comma"/>
    <tableColumn id="5" xr3:uid="{56AC2FA9-A9DF-4A0F-89CF-0F27260E343B}" name="2023" dataDxfId="286" dataCellStyle="Comma"/>
    <tableColumn id="6" xr3:uid="{AA0CF8C3-6187-433C-A5E2-7A52DFE71092}" name="2024" dataDxfId="285" dataCellStyle="Comma"/>
  </tableColumns>
  <tableStyleInfo name="TableStyleMedium3"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BD09CAE-57F8-44FE-A51A-7D9F0B89CC16}" name="Table1829" displayName="Table1829" ref="AJ3:AO11" totalsRowShown="0" headerRowDxfId="284" dataDxfId="283" tableBorderDxfId="282" dataCellStyle="Comma">
  <autoFilter ref="AJ3:AO11" xr:uid="{1BD09CAE-57F8-44FE-A51A-7D9F0B89CC16}">
    <filterColumn colId="0" hiddenButton="1"/>
    <filterColumn colId="1" hiddenButton="1"/>
    <filterColumn colId="2" hiddenButton="1"/>
    <filterColumn colId="3" hiddenButton="1"/>
    <filterColumn colId="4" hiddenButton="1"/>
    <filterColumn colId="5" hiddenButton="1"/>
  </autoFilter>
  <tableColumns count="6">
    <tableColumn id="1" xr3:uid="{4C07C324-A06A-45CF-8861-E2B8028CFB86}" name="Particulars" dataDxfId="281"/>
    <tableColumn id="2" xr3:uid="{8806CB58-D6C6-490A-A896-FE286C98294C}" name="2020" dataDxfId="280" dataCellStyle="Comma"/>
    <tableColumn id="3" xr3:uid="{C4066D57-6B1E-4823-8C62-653C476BD3E2}" name="2021" dataDxfId="279" dataCellStyle="Comma"/>
    <tableColumn id="4" xr3:uid="{964D2CEF-0B09-4595-97F9-35678A9974EE}" name="2022" dataDxfId="278" dataCellStyle="Comma"/>
    <tableColumn id="5" xr3:uid="{17B64AD9-7E85-4933-B503-88C27DFCB4D9}" name="2023" dataDxfId="277" dataCellStyle="Comma"/>
    <tableColumn id="6" xr3:uid="{CB44F373-79B9-4E76-957D-5FF43D7ADDDE}" name="2024" dataDxfId="276" dataCellStyle="Comma"/>
  </tableColumns>
  <tableStyleInfo name="TableStyleDark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6B1AD16-D4A7-4766-942C-8BB4635BE245}" name="Table2930" displayName="Table2930" ref="AJ14:AO23" totalsRowShown="0" headerRowDxfId="275" dataDxfId="274" tableBorderDxfId="273" dataCellStyle="Comma">
  <autoFilter ref="AJ14:AO23" xr:uid="{36B1AD16-D4A7-4766-942C-8BB4635BE245}">
    <filterColumn colId="0" hiddenButton="1"/>
    <filterColumn colId="1" hiddenButton="1"/>
    <filterColumn colId="2" hiddenButton="1"/>
    <filterColumn colId="3" hiddenButton="1"/>
    <filterColumn colId="4" hiddenButton="1"/>
    <filterColumn colId="5" hiddenButton="1"/>
  </autoFilter>
  <tableColumns count="6">
    <tableColumn id="1" xr3:uid="{F1DA0F53-C0ED-4C8D-8959-9A5024A3346B}" name="Particulars" dataDxfId="272"/>
    <tableColumn id="2" xr3:uid="{6788A3D2-7B7D-45D9-8CEE-7D11B16502DF}" name="2020" dataDxfId="271" dataCellStyle="Comma"/>
    <tableColumn id="3" xr3:uid="{B424F5ED-7625-476A-B785-1C12D350DEA0}" name="2021" dataDxfId="270" dataCellStyle="Comma"/>
    <tableColumn id="4" xr3:uid="{ACD18476-F60E-4A65-B3F2-E464D14030DD}" name="2022" dataDxfId="269" dataCellStyle="Comma"/>
    <tableColumn id="5" xr3:uid="{97637DF4-EF9A-493A-8B95-0E18B41650A4}" name="2023" dataDxfId="268" dataCellStyle="Comma"/>
    <tableColumn id="6" xr3:uid="{BAFE3F4A-A544-49E4-B884-D02F602D6D0E}" name="2024" dataDxfId="267" dataCellStyle="Comma"/>
  </tableColumns>
  <tableStyleInfo name="TableStyleMedium6"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E2AE1A8F-77AC-46EA-B808-C7D465CFB979}" name="Table31031" displayName="Table31031" ref="AJ27:AO29" totalsRowShown="0" headerRowDxfId="266" dataDxfId="265" tableBorderDxfId="264" dataCellStyle="Comma">
  <autoFilter ref="AJ27:AO29" xr:uid="{E2AE1A8F-77AC-46EA-B808-C7D465CFB979}">
    <filterColumn colId="0" hiddenButton="1"/>
    <filterColumn colId="1" hiddenButton="1"/>
    <filterColumn colId="2" hiddenButton="1"/>
    <filterColumn colId="3" hiddenButton="1"/>
    <filterColumn colId="4" hiddenButton="1"/>
    <filterColumn colId="5" hiddenButton="1"/>
  </autoFilter>
  <tableColumns count="6">
    <tableColumn id="1" xr3:uid="{21DF1599-0480-464D-861E-41A5F16AC91B}" name="Particulars" dataDxfId="263"/>
    <tableColumn id="2" xr3:uid="{33AB284F-A454-4C78-B1CA-0F4E5E0C518E}" name="2020" dataDxfId="262" dataCellStyle="Comma"/>
    <tableColumn id="3" xr3:uid="{8BB7CD47-4BD8-416F-8405-4480915351E4}" name="2021" dataDxfId="261" dataCellStyle="Comma"/>
    <tableColumn id="4" xr3:uid="{F142DC96-D2F5-4A9F-B04B-645001046DC3}" name="2022" dataDxfId="260" dataCellStyle="Comma"/>
    <tableColumn id="5" xr3:uid="{240B3B22-5532-4055-9A99-9BDD202FD753}" name="2023" dataDxfId="259" dataCellStyle="Comma"/>
    <tableColumn id="6" xr3:uid="{FDD7A72E-306D-4260-AA40-CA6B8A238D83}" name="2024" dataDxfId="258" dataCellStyle="Comma"/>
  </tableColumns>
  <tableStyleInfo name="TableStyleMedium3"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EDAC2789-ADF8-4CC5-8535-CB8A8A29F068}" name="Table182932" displayName="Table182932" ref="AQ3:AV11" totalsRowShown="0" headerRowDxfId="257" dataDxfId="256" tableBorderDxfId="255" dataCellStyle="Comma">
  <autoFilter ref="AQ3:AV11" xr:uid="{EDAC2789-ADF8-4CC5-8535-CB8A8A29F068}">
    <filterColumn colId="0" hiddenButton="1"/>
    <filterColumn colId="1" hiddenButton="1"/>
    <filterColumn colId="2" hiddenButton="1"/>
    <filterColumn colId="3" hiddenButton="1"/>
    <filterColumn colId="4" hiddenButton="1"/>
    <filterColumn colId="5" hiddenButton="1"/>
  </autoFilter>
  <tableColumns count="6">
    <tableColumn id="1" xr3:uid="{0D77D2BE-1BFE-43A8-86B2-0280E43929BB}" name="Particulars" dataDxfId="254"/>
    <tableColumn id="2" xr3:uid="{E1F3D744-4C44-45FD-9F7F-39F14F7B0109}" name="2020" dataDxfId="253" dataCellStyle="Comma"/>
    <tableColumn id="3" xr3:uid="{2E02D222-B248-4A7A-9DA8-5F292E32763D}" name="2021" dataDxfId="252" dataCellStyle="Comma"/>
    <tableColumn id="4" xr3:uid="{A63053D4-84BE-467B-B116-D47678364699}" name="2022" dataDxfId="251" dataCellStyle="Comma"/>
    <tableColumn id="5" xr3:uid="{EFD8C0F0-FD71-4EA6-94DC-ADA342A67604}" name="2023" dataDxfId="250" dataCellStyle="Comma"/>
    <tableColumn id="6" xr3:uid="{5FDD1796-30FB-412B-AC23-D6C4C0A05F17}" name="2024" dataDxfId="249" dataCellStyle="Comma"/>
  </tableColumns>
  <tableStyleInfo name="TableStyleDark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CA6B9F1-44D1-4E01-B376-D0E5674608EE}" name="Table293033" displayName="Table293033" ref="AQ14:AV23" totalsRowShown="0" headerRowDxfId="248" dataDxfId="247" tableBorderDxfId="246" dataCellStyle="Comma">
  <autoFilter ref="AQ14:AV23" xr:uid="{BCA6B9F1-44D1-4E01-B376-D0E5674608EE}">
    <filterColumn colId="0" hiddenButton="1"/>
    <filterColumn colId="1" hiddenButton="1"/>
    <filterColumn colId="2" hiddenButton="1"/>
    <filterColumn colId="3" hiddenButton="1"/>
    <filterColumn colId="4" hiddenButton="1"/>
    <filterColumn colId="5" hiddenButton="1"/>
  </autoFilter>
  <tableColumns count="6">
    <tableColumn id="1" xr3:uid="{9F4B840E-8D21-4B4E-9FA3-048D73CD4F84}" name="Particulars" dataDxfId="245"/>
    <tableColumn id="2" xr3:uid="{00F0EF64-4E9D-4CFA-AF4E-D381A4FA2A6A}" name="2020" dataDxfId="244" dataCellStyle="Comma"/>
    <tableColumn id="3" xr3:uid="{BC5939CB-E08C-4CE2-86F8-B05DBB6B39CA}" name="2021" dataDxfId="243" dataCellStyle="Comma"/>
    <tableColumn id="4" xr3:uid="{3F014B77-7F8E-46DE-9722-59B781A132A5}" name="2022" dataDxfId="242" dataCellStyle="Comma"/>
    <tableColumn id="5" xr3:uid="{A7A44274-ACA5-4EF1-B3E6-A27DD9F94CB6}" name="2023" dataDxfId="241" dataCellStyle="Comma"/>
    <tableColumn id="6" xr3:uid="{14A3DC66-2E69-46BF-B351-B913325F3F60}" name="2024" dataDxfId="240" dataCellStyle="Comma"/>
  </tableColumns>
  <tableStyleInfo name="TableStyleMedium6"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63C30650-232D-4CC9-8E9B-B2F8AB3BACC2}" name="Table3103134" displayName="Table3103134" ref="AQ27:AV29" totalsRowShown="0" headerRowDxfId="239" dataDxfId="238" tableBorderDxfId="237" dataCellStyle="Comma">
  <autoFilter ref="AQ27:AV29" xr:uid="{63C30650-232D-4CC9-8E9B-B2F8AB3BACC2}">
    <filterColumn colId="0" hiddenButton="1"/>
    <filterColumn colId="1" hiddenButton="1"/>
    <filterColumn colId="2" hiddenButton="1"/>
    <filterColumn colId="3" hiddenButton="1"/>
    <filterColumn colId="4" hiddenButton="1"/>
    <filterColumn colId="5" hiddenButton="1"/>
  </autoFilter>
  <tableColumns count="6">
    <tableColumn id="1" xr3:uid="{99C6887C-BD3C-480E-8390-D4E863CF651E}" name="Particulars" dataDxfId="236"/>
    <tableColumn id="2" xr3:uid="{AEE1C023-936F-4382-A412-0A5324C84699}" name="2020" dataDxfId="235" dataCellStyle="Comma"/>
    <tableColumn id="3" xr3:uid="{300E39D3-852A-40D9-B7D0-25F5302F8314}" name="2021" dataDxfId="234" dataCellStyle="Comma"/>
    <tableColumn id="4" xr3:uid="{93A37082-39C7-45E1-B674-B6F8DEE18897}" name="2022" dataDxfId="233" dataCellStyle="Comma"/>
    <tableColumn id="5" xr3:uid="{073C6CD9-8DBE-47FF-A8F3-EC5DBD736730}" name="2023" dataDxfId="232" dataCellStyle="Comma"/>
    <tableColumn id="6" xr3:uid="{5A05FF39-AA10-42C7-BDD1-A5EBE98D383A}" name="2024" dataDxfId="231" dataCellStyle="Comma"/>
  </tableColumns>
  <tableStyleInfo name="TableStyleMedium3"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E66E04B-4968-4ADC-B7B3-D3CEDA7BFDB1}" name="Table126" displayName="Table126" ref="AC3:AH11" totalsRowShown="0" headerRowDxfId="230" dataDxfId="229" tableBorderDxfId="228" dataCellStyle="Comma">
  <autoFilter ref="AC3:AH11" xr:uid="{4E66E04B-4968-4ADC-B7B3-D3CEDA7BFDB1}">
    <filterColumn colId="0" hiddenButton="1"/>
    <filterColumn colId="1" hiddenButton="1"/>
    <filterColumn colId="2" hiddenButton="1"/>
    <filterColumn colId="3" hiddenButton="1"/>
    <filterColumn colId="4" hiddenButton="1"/>
    <filterColumn colId="5" hiddenButton="1"/>
  </autoFilter>
  <tableColumns count="6">
    <tableColumn id="1" xr3:uid="{08919756-C8BA-4A1A-9DE6-5FC0C7EA1CA8}" name="Particulars" dataDxfId="227"/>
    <tableColumn id="2" xr3:uid="{FFFBDC5C-7AF2-4B31-89F1-A4F0A7261979}" name="2020" dataDxfId="226" dataCellStyle="Comma"/>
    <tableColumn id="3" xr3:uid="{723EEC6E-D24A-43F8-9180-0BE24A25B79B}" name="2021" dataDxfId="225" dataCellStyle="Comma"/>
    <tableColumn id="4" xr3:uid="{AD11ABB9-0B3B-44A8-BCF9-A893A1BB5E34}" name="2022" dataDxfId="224" dataCellStyle="Comma"/>
    <tableColumn id="5" xr3:uid="{AC8BD423-EF5D-4D84-B241-A1D37AEA5B86}" name="2023" dataDxfId="223" dataCellStyle="Comma"/>
    <tableColumn id="6" xr3:uid="{E451C0C7-B5BA-4E2C-AFD5-932BCBBC9C33}" name="2024" dataDxfId="222" dataCellStyle="Comma"/>
  </tableColumns>
  <tableStyleInfo name="TableStyleDark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B1EF113D-DEC3-49D0-A2BA-3C9D5F259AB1}" name="Table227" displayName="Table227" ref="AC14:AH22" totalsRowShown="0" headerRowDxfId="221" dataDxfId="220" tableBorderDxfId="219" dataCellStyle="Comma">
  <autoFilter ref="AC14:AH22" xr:uid="{B1EF113D-DEC3-49D0-A2BA-3C9D5F259AB1}">
    <filterColumn colId="0" hiddenButton="1"/>
    <filterColumn colId="1" hiddenButton="1"/>
    <filterColumn colId="2" hiddenButton="1"/>
    <filterColumn colId="3" hiddenButton="1"/>
    <filterColumn colId="4" hiddenButton="1"/>
    <filterColumn colId="5" hiddenButton="1"/>
  </autoFilter>
  <tableColumns count="6">
    <tableColumn id="1" xr3:uid="{320E168E-96A1-4F8A-93D4-5E81AB2082D7}" name="Particulars" dataDxfId="218"/>
    <tableColumn id="2" xr3:uid="{8376FC44-0660-445C-9D8C-C3AA838AD9C0}" name="2020" dataDxfId="217" dataCellStyle="Comma"/>
    <tableColumn id="3" xr3:uid="{889EEBD6-EE1D-47F1-B85C-0BD4C39DE2BD}" name="2021" dataDxfId="216" dataCellStyle="Comma"/>
    <tableColumn id="4" xr3:uid="{2CDC7D6E-4685-4AA1-B31B-BAB4697239FE}" name="2022" dataDxfId="215" dataCellStyle="Comma"/>
    <tableColumn id="5" xr3:uid="{F0EE9906-7FB6-4F4A-8093-896F56AD8AF3}" name="2023" dataDxfId="214" dataCellStyle="Comma"/>
    <tableColumn id="6" xr3:uid="{E069B2AE-3377-4588-8818-1FFCA83602A8}" name="2024" dataDxfId="213" dataCellStyle="Comma"/>
  </tableColumns>
  <tableStyleInfo name="TableStyleMedium6"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B1908D0B-FF1D-49A7-A27F-1363ECD5B56A}" name="Table328" displayName="Table328" ref="AC27:AH29" totalsRowShown="0" headerRowDxfId="212" dataDxfId="211" tableBorderDxfId="210" dataCellStyle="Comma">
  <autoFilter ref="AC27:AH29" xr:uid="{B1908D0B-FF1D-49A7-A27F-1363ECD5B56A}">
    <filterColumn colId="0" hiddenButton="1"/>
    <filterColumn colId="1" hiddenButton="1"/>
    <filterColumn colId="2" hiddenButton="1"/>
    <filterColumn colId="3" hiddenButton="1"/>
    <filterColumn colId="4" hiddenButton="1"/>
    <filterColumn colId="5" hiddenButton="1"/>
  </autoFilter>
  <tableColumns count="6">
    <tableColumn id="1" xr3:uid="{2FF11262-4ED1-4091-940B-70B20A60DEBB}" name="Particulars" dataDxfId="209"/>
    <tableColumn id="2" xr3:uid="{A10B384B-2B80-486B-BE31-3E47B4F2EA2C}" name="2020" dataDxfId="208" dataCellStyle="Comma"/>
    <tableColumn id="3" xr3:uid="{D2FDCB09-9EDE-4B70-A2D8-1FE7AA531C7B}" name="2021" dataDxfId="207" dataCellStyle="Comma"/>
    <tableColumn id="4" xr3:uid="{C5F28015-ACD8-45A3-A783-4F098F91959B}" name="2022" dataDxfId="206" dataCellStyle="Comma"/>
    <tableColumn id="5" xr3:uid="{8960D613-94F7-4063-84E2-F41C14979985}" name="2023" dataDxfId="205" dataCellStyle="Comma"/>
    <tableColumn id="6" xr3:uid="{CC4332AE-97E4-441D-A034-897D1E2993B6}" name="2024" dataDxfId="204" dataCellStyle="Comma"/>
  </tableColumns>
  <tableStyleInfo name="TableStyleMedium3"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2FC27C3-64DB-4851-851B-8454A6DA3E0C}" name="Table4" displayName="Table4" ref="O38:U42" totalsRowShown="0" headerRowDxfId="76" dataDxfId="77">
  <autoFilter ref="O38:U42" xr:uid="{82FC27C3-64DB-4851-851B-8454A6DA3E0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ACB8410-AB5C-4D27-9F09-1DA8A7A63194}" name="Particulars" dataDxfId="84"/>
    <tableColumn id="2" xr3:uid="{AFC4EBFB-0163-43D7-9162-0056C9D75592}" name="2025" dataDxfId="83"/>
    <tableColumn id="3" xr3:uid="{7075E2A4-03AA-48C0-A4B0-9CDC35DEF3AE}" name="2026" dataDxfId="82"/>
    <tableColumn id="4" xr3:uid="{AB1787D3-2708-498A-B5FC-EF94E0D48958}" name="2027" dataDxfId="81"/>
    <tableColumn id="5" xr3:uid="{E840CF49-23C1-486F-B07D-E290BB4DE4CC}" name="2028" dataDxfId="80"/>
    <tableColumn id="6" xr3:uid="{8F6F5350-6848-496C-95CC-00E7DB14C973}" name="2029" dataDxfId="79"/>
    <tableColumn id="7" xr3:uid="{2C445F2D-E323-46F8-AEB4-3D2D589F8640}" name="2030" dataDxfId="78"/>
  </tableColumns>
  <tableStyleInfo name="TableStyleMedium13"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EF83D14-3EB5-406D-8881-1C92FED224F2}" name="Table5" displayName="Table5" ref="O32:T36" totalsRowShown="0" headerRowDxfId="68" dataDxfId="69">
  <autoFilter ref="O32:T36" xr:uid="{CEF83D14-3EB5-406D-8881-1C92FED224F2}">
    <filterColumn colId="0" hiddenButton="1"/>
    <filterColumn colId="1" hiddenButton="1"/>
    <filterColumn colId="2" hiddenButton="1"/>
    <filterColumn colId="3" hiddenButton="1"/>
    <filterColumn colId="4" hiddenButton="1"/>
    <filterColumn colId="5" hiddenButton="1"/>
  </autoFilter>
  <tableColumns count="6">
    <tableColumn id="1" xr3:uid="{9689BCB1-FF14-4CA9-B9BF-E28643421997}" name="Particulars" dataDxfId="75"/>
    <tableColumn id="2" xr3:uid="{6F2DB232-3908-4144-948B-6C82248C5F73}" name="2020" dataDxfId="74"/>
    <tableColumn id="3" xr3:uid="{CBEC6CFF-222A-457F-B53C-3093D426FBC3}" name="2021" dataDxfId="73"/>
    <tableColumn id="4" xr3:uid="{CCA7366F-B31D-4825-B851-AA98FA6B54CC}" name="2022" dataDxfId="72"/>
    <tableColumn id="5" xr3:uid="{E68C011F-DE8B-4973-BE5B-85E90699C7C9}" name="2023" dataDxfId="71"/>
    <tableColumn id="6" xr3:uid="{F132042D-2088-466B-AC97-52B4EBF5DB4E}" name="2024" dataDxfId="70"/>
  </tableColumns>
  <tableStyleInfo name="TableStyleMedium13"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2D1A74D-0843-4BAE-B26C-285D8E21D3D2}" name="Table6" displayName="Table6" ref="V43:AB46" totalsRowShown="0" headerRowDxfId="62" dataDxfId="61">
  <autoFilter ref="V43:AB46" xr:uid="{C2D1A74D-0843-4BAE-B26C-285D8E21D3D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77ADE99-9CA8-43FD-BACD-60BF54456DBC}" name="Particulars" dataDxfId="59"/>
    <tableColumn id="2" xr3:uid="{22B7A3F5-53B8-4D7C-9670-D5D291488A12}" name="2025" dataDxfId="60"/>
    <tableColumn id="3" xr3:uid="{D36ABAA3-8FD8-41E0-B149-BD7A7DE86982}" name="2026" dataDxfId="67"/>
    <tableColumn id="4" xr3:uid="{7D1F90DA-420C-4E04-A662-5F058BC99A97}" name="2027" dataDxfId="66"/>
    <tableColumn id="5" xr3:uid="{089BAE24-1DEF-4EED-8592-82954DD5135F}" name="2028" dataDxfId="65"/>
    <tableColumn id="6" xr3:uid="{1652B38F-E4F4-4CC5-B1CB-F96D0F8E52D9}" name="2029" dataDxfId="64"/>
    <tableColumn id="7" xr3:uid="{12FBF014-AA0F-404F-956E-668ABBDEEF8F}" name="2030" dataDxfId="63"/>
  </tableColumns>
  <tableStyleInfo name="TableStyleMedium13"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FDEE5F3-E387-4475-B0E8-FF040BADFC8E}" name="Table14" displayName="Table14" ref="V32:AA35" totalsRowShown="0" headerRowDxfId="57" dataDxfId="58">
  <autoFilter ref="V32:AA35" xr:uid="{4FDEE5F3-E387-4475-B0E8-FF040BADFC8E}">
    <filterColumn colId="0" hiddenButton="1"/>
    <filterColumn colId="1" hiddenButton="1"/>
    <filterColumn colId="2" hiddenButton="1"/>
    <filterColumn colId="3" hiddenButton="1"/>
    <filterColumn colId="4" hiddenButton="1"/>
    <filterColumn colId="5" hiddenButton="1"/>
  </autoFilter>
  <tableColumns count="6">
    <tableColumn id="1" xr3:uid="{AA3A2F76-2FBD-49FA-B325-7DE116FB8F21}" name="Particulars" dataDxfId="56"/>
    <tableColumn id="2" xr3:uid="{8ABEA08B-2E2E-4C74-8DCC-D78C4BE032D7}" name="2020" dataDxfId="55"/>
    <tableColumn id="3" xr3:uid="{F5A81025-9889-4BCE-A17D-C66535D31B56}" name="2021" dataDxfId="54"/>
    <tableColumn id="4" xr3:uid="{09D3C58C-392B-4A88-BE36-6D5A4132941D}" name="2022" dataDxfId="53"/>
    <tableColumn id="5" xr3:uid="{C3DD107D-D8F7-463C-80A4-8A478DA376CE}" name="2023" dataDxfId="52"/>
    <tableColumn id="6" xr3:uid="{698D5177-42F0-4E2A-A33C-83652CF48FA2}" name="2024" dataDxfId="51"/>
  </tableColumns>
  <tableStyleInfo name="TableStyleMedium13"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C0973F0F-E186-4B89-A620-C55977F5F120}" name="Table538" displayName="Table538" ref="AC32:AH36" totalsRowShown="0" headerRowDxfId="50" dataDxfId="49">
  <autoFilter ref="AC32:AH36" xr:uid="{C0973F0F-E186-4B89-A620-C55977F5F120}">
    <filterColumn colId="0" hiddenButton="1"/>
    <filterColumn colId="1" hiddenButton="1"/>
    <filterColumn colId="2" hiddenButton="1"/>
    <filterColumn colId="3" hiddenButton="1"/>
    <filterColumn colId="4" hiddenButton="1"/>
    <filterColumn colId="5" hiddenButton="1"/>
  </autoFilter>
  <tableColumns count="6">
    <tableColumn id="1" xr3:uid="{CFBBDAF8-5A27-4C96-A43A-7156320F6E14}" name="Particulars" dataDxfId="46"/>
    <tableColumn id="2" xr3:uid="{59213346-593F-4CCA-B627-49F9352FCB19}" name="2020" dataDxfId="45"/>
    <tableColumn id="3" xr3:uid="{6B72656C-B807-4D93-B27E-B1E61FCDDD57}" name="2021" dataDxfId="44"/>
    <tableColumn id="4" xr3:uid="{3C0A82BF-8B67-46E9-BF4C-1EE599BFF37A}" name="2022" dataDxfId="43"/>
    <tableColumn id="5" xr3:uid="{8BFBAA4D-9685-4CB6-9EF9-449DD2836A28}" name="2023" dataDxfId="42"/>
    <tableColumn id="6" xr3:uid="{D52851C3-2903-410E-A85A-8550710821C2}" name="2024" dataDxfId="41"/>
  </tableColumns>
  <tableStyleInfo name="TableStyleMedium13"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43449EBD-6797-4F9B-808D-AA086771E25A}" name="Table440" displayName="Table440" ref="AC38:AI42" totalsRowShown="0" headerRowDxfId="48" dataDxfId="47">
  <autoFilter ref="AC38:AI42" xr:uid="{43449EBD-6797-4F9B-808D-AA086771E2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50A35656-91E3-4467-93B0-112614F3162A}" name="Particulars" dataDxfId="40"/>
    <tableColumn id="2" xr3:uid="{122BB1AA-17FE-4D80-A4E1-EC145E666CB0}" name="2025" dataDxfId="39"/>
    <tableColumn id="3" xr3:uid="{59DA7DC1-451A-405A-BC1B-89EB9BC6F73D}" name="2026" dataDxfId="38"/>
    <tableColumn id="4" xr3:uid="{40FB47E3-A86A-4CB8-A830-6968991DEC45}" name="2027" dataDxfId="37"/>
    <tableColumn id="5" xr3:uid="{B7A381BD-2D0C-4A80-BE00-1B297264129A}" name="2028" dataDxfId="36"/>
    <tableColumn id="6" xr3:uid="{6163C46C-8FB9-4E0B-8A41-0761EF5A205B}" name="2029" dataDxfId="35"/>
    <tableColumn id="7" xr3:uid="{E387C7F6-E4A5-4695-AC30-247A17F00890}" name="2030" dataDxfId="34"/>
  </tableColumns>
  <tableStyleInfo name="TableStyleMedium13"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F7B56BA-0862-4F9C-99C8-B5A77D2EFB04}" name="Table53842" displayName="Table53842" ref="AJ32:AO36" totalsRowShown="0" headerRowDxfId="33" dataDxfId="32">
  <autoFilter ref="AJ32:AO36" xr:uid="{DF7B56BA-0862-4F9C-99C8-B5A77D2EFB04}">
    <filterColumn colId="0" hiddenButton="1"/>
    <filterColumn colId="1" hiddenButton="1"/>
    <filterColumn colId="2" hiddenButton="1"/>
    <filterColumn colId="3" hiddenButton="1"/>
    <filterColumn colId="4" hiddenButton="1"/>
    <filterColumn colId="5" hiddenButton="1"/>
  </autoFilter>
  <tableColumns count="6">
    <tableColumn id="1" xr3:uid="{CDF7F279-740F-4D7B-B151-BCE8237D3641}" name="Particulars" dataDxfId="31"/>
    <tableColumn id="2" xr3:uid="{F0859CB6-645F-4490-A2A8-3963BC0B5DBB}" name="2020" dataDxfId="30"/>
    <tableColumn id="3" xr3:uid="{388D61CA-8489-41B6-9962-92FFCAA764D2}" name="2021" dataDxfId="29"/>
    <tableColumn id="4" xr3:uid="{A5A42BEC-B211-471C-A07A-76CE1E728047}" name="2022" dataDxfId="28"/>
    <tableColumn id="5" xr3:uid="{7FFF7C84-30C4-4C71-BC0C-99DC2C50F334}" name="2023" dataDxfId="27"/>
    <tableColumn id="6" xr3:uid="{891D01D1-72B7-43D2-9FA2-7C1121D37D8F}" name="2024" dataDxfId="26"/>
  </tableColumns>
  <tableStyleInfo name="TableStyleMedium13"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E5123D4E-1A96-406B-9BAF-1233E4D4E535}" name="Table44046" displayName="Table44046" ref="AJ42:AP46" totalsRowShown="0" headerRowDxfId="25" dataDxfId="24">
  <autoFilter ref="AJ42:AP46" xr:uid="{E5123D4E-1A96-406B-9BAF-1233E4D4E53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35675D3-7F01-4E97-8153-F1BB9BBFE0D7}" name="Particulars" dataDxfId="23"/>
    <tableColumn id="2" xr3:uid="{A47436B0-97F5-48DD-B9D7-6FAF03CDCB0C}" name="2025" dataDxfId="22"/>
    <tableColumn id="3" xr3:uid="{2BE33C78-9267-45B7-944B-EDEF0536A7B9}" name="2026" dataDxfId="21"/>
    <tableColumn id="4" xr3:uid="{81AC9036-2DE2-49B7-9A21-ECD145D859DC}" name="2027" dataDxfId="20"/>
    <tableColumn id="5" xr3:uid="{4DD74B80-40A2-43F2-9F4C-3D6D682675AB}" name="2028" dataDxfId="19"/>
    <tableColumn id="6" xr3:uid="{51B9736A-0889-4BF5-B54F-A76EDEA5280A}" name="2029" dataDxfId="18"/>
    <tableColumn id="7" xr3:uid="{23BFAD83-60FF-4A7B-ABC2-DB90E3A50370}" name="2030" dataDxfId="17"/>
  </tableColumns>
  <tableStyleInfo name="TableStyleMedium13"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4700C0A6-93B0-4736-8FEB-5B8AFFD09F2E}" name="Table555" displayName="Table555" ref="AQ32:AV36" totalsRowShown="0" headerRowDxfId="16" dataDxfId="15">
  <autoFilter ref="AQ32:AV36" xr:uid="{4700C0A6-93B0-4736-8FEB-5B8AFFD09F2E}">
    <filterColumn colId="0" hiddenButton="1"/>
    <filterColumn colId="1" hiddenButton="1"/>
    <filterColumn colId="2" hiddenButton="1"/>
    <filterColumn colId="3" hiddenButton="1"/>
    <filterColumn colId="4" hiddenButton="1"/>
    <filterColumn colId="5" hiddenButton="1"/>
  </autoFilter>
  <tableColumns count="6">
    <tableColumn id="1" xr3:uid="{0558FBFA-0770-46D0-9137-CBB9D1A395DD}" name="Particulars" dataDxfId="14"/>
    <tableColumn id="2" xr3:uid="{C100A53E-25F4-4E97-9999-1F5D13D81B77}" name="2020" dataDxfId="13"/>
    <tableColumn id="3" xr3:uid="{FB1D2D91-B8D9-434D-BC8C-FAC4359F34E6}" name="2021" dataDxfId="12"/>
    <tableColumn id="4" xr3:uid="{A130A6DB-70FE-46E3-9F40-6532705EDB2C}" name="2022" dataDxfId="11"/>
    <tableColumn id="5" xr3:uid="{487BBCC2-C739-4296-8766-BCD5D4EDA998}" name="2023" dataDxfId="10"/>
    <tableColumn id="6" xr3:uid="{8ED8DF86-5AB0-429C-B217-9F0D2050C048}" name="2024" dataDxfId="9"/>
  </tableColumns>
  <tableStyleInfo name="TableStyleMedium13"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23E800A3-D31A-4653-A093-8935DFE4137F}" name="Table457" displayName="Table457" ref="AQ38:AW42" totalsRowShown="0" headerRowDxfId="8" dataDxfId="7">
  <autoFilter ref="AQ38:AW42" xr:uid="{23E800A3-D31A-4653-A093-8935DFE4137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A7C54EB-2D83-4046-A1DA-136CABF25435}" name="Particulars" dataDxfId="6"/>
    <tableColumn id="2" xr3:uid="{90266042-0BD2-46CE-955E-4982B09B891D}" name="2025" dataDxfId="5"/>
    <tableColumn id="3" xr3:uid="{48A44A2B-AA34-4B16-898E-2A808BFD0616}" name="2026" dataDxfId="4"/>
    <tableColumn id="4" xr3:uid="{CAF5DE4F-CF78-463D-9E10-B5CED9B0DC77}" name="2027" dataDxfId="3"/>
    <tableColumn id="5" xr3:uid="{6B5E1B19-2079-4636-871C-477F23824F43}" name="2028" dataDxfId="2"/>
    <tableColumn id="6" xr3:uid="{3FFCD06A-2A39-4A52-9720-ACF2E3B4FA14}" name="2029" dataDxfId="1"/>
    <tableColumn id="7" xr3:uid="{5DE74CF3-7935-49C5-9BC0-1C036B3912CF}" name="2030" dataDxfId="0"/>
  </tableColumns>
  <tableStyleInfo name="TableStyleMedium13"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7CAF81C-6FC0-4A2B-8A94-C38CDE9E21DA}" name="Table10" displayName="Table10" ref="A1:G21" totalsRowShown="0">
  <autoFilter ref="A1:G21" xr:uid="{A7CAF81C-6FC0-4A2B-8A94-C38CDE9E21D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C26C0F0-754E-4A41-A623-CE0FF9ED19E1}" name="Input" dataDxfId="203"/>
    <tableColumn id="2" xr3:uid="{EF52CAA0-7061-4D5E-9B4A-5CD40B65A7E2}" name="JPMC" dataDxfId="202" dataCellStyle="Percent"/>
    <tableColumn id="3" xr3:uid="{A9CD0F9A-6D9E-4490-B7DE-72850869BBBC}" name="BOA" dataDxfId="201" dataCellStyle="Percent"/>
    <tableColumn id="4" xr3:uid="{EDF9DF60-FADB-4C3B-9BF7-42257478699A}" name="Amex" dataDxfId="200"/>
    <tableColumn id="6" xr3:uid="{18B054A5-3C65-4E53-9073-2B85F1A11970}" name="GS" dataDxfId="199"/>
    <tableColumn id="7" xr3:uid="{92539F0C-7061-4169-A588-F45F318C2995}" name="MS" dataDxfId="198"/>
    <tableColumn id="9" xr3:uid="{52770E08-DEED-4A9E-B683-D27D66CCA286}" name="WF" dataDxfId="197"/>
  </tableColumns>
  <tableStyleInfo name="TableStyleMedium13"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BEE43B1D-FFA6-46C2-9316-B541CBDF35AB}" name="Table50" displayName="Table50" ref="I1:J26" totalsRowShown="0">
  <autoFilter ref="I1:J26" xr:uid="{BEE43B1D-FFA6-46C2-9316-B541CBDF35AB}">
    <filterColumn colId="0" hiddenButton="1"/>
    <filterColumn colId="1" hiddenButton="1"/>
  </autoFilter>
  <tableColumns count="2">
    <tableColumn id="1" xr3:uid="{17621EDC-DF20-4B75-A695-62E275B3A73C}" name="Input" dataDxfId="196"/>
    <tableColumn id="2" xr3:uid="{367C9917-27AC-4533-9BBC-33FEBD144BFE}" name="Blackrock" dataDxfId="195"/>
  </tableColumns>
  <tableStyleInfo name="TableStyleMedium13"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24A4610-7F81-452B-BB97-E2C70CDEC591}" name="Table11" displayName="Table11" ref="A2:G13" totalsRowShown="0" headerRowDxfId="194" dataDxfId="193" tableBorderDxfId="192">
  <autoFilter ref="A2:G13" xr:uid="{F24A4610-7F81-452B-BB97-E2C70CDEC59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545CC9A-51F3-43BB-8AF5-46FAF04B904B}" name="Particulars" dataDxfId="191"/>
    <tableColumn id="2" xr3:uid="{52FE0C48-86EF-44D1-B97E-3B9B76B28E84}" name="2025" dataDxfId="190"/>
    <tableColumn id="3" xr3:uid="{6601493E-F7D2-4C97-A371-4569967648B6}" name="2026" dataDxfId="189"/>
    <tableColumn id="4" xr3:uid="{685CDEC8-33EC-48C1-B3F8-86F7FB3D6326}" name="2027" dataDxfId="188"/>
    <tableColumn id="5" xr3:uid="{C8A4CAD9-30E0-4DB9-A805-D6167CE924AD}" name="2028" dataDxfId="187"/>
    <tableColumn id="6" xr3:uid="{273F52E8-727A-444A-B5BD-EC22EAB66B49}" name="2029" dataDxfId="186"/>
    <tableColumn id="7" xr3:uid="{ABAD28FF-5238-4E3F-96BD-E7732E341A86}" name="2030" dataDxfId="185"/>
  </tableColumns>
  <tableStyleInfo name="TableStyleMedium13"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0645010-393C-40A6-81D7-5F974EA7D312}" name="Table12" displayName="Table12" ref="A17:B25" totalsRowShown="0">
  <autoFilter ref="A17:B25" xr:uid="{40645010-393C-40A6-81D7-5F974EA7D312}">
    <filterColumn colId="0" hiddenButton="1"/>
    <filterColumn colId="1" hiddenButton="1"/>
  </autoFilter>
  <tableColumns count="2">
    <tableColumn id="1" xr3:uid="{37CB31A8-8E2C-4972-B87C-5D5829E04D69}" name="Metric" dataDxfId="184"/>
    <tableColumn id="2" xr3:uid="{9BA9AB51-D687-431D-9689-AEFB334C6440}" name="Value" dataDxfId="183"/>
  </tableColumns>
  <tableStyleInfo name="TableStyleMedium10"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2287634-4275-4B38-A25F-9DD22B9FB507}" name="Table13" displayName="Table13" ref="I2:O13" totalsRowShown="0" headerRowDxfId="182" dataDxfId="181" tableBorderDxfId="180">
  <autoFilter ref="I2:O13" xr:uid="{32287634-4275-4B38-A25F-9DD22B9FB507}">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7157786-C4A3-453B-A161-CF5945E78C2E}" name="Particulars" dataDxfId="179"/>
    <tableColumn id="2" xr3:uid="{36771ED4-A759-4725-B622-5054CA2E6195}" name="2025" dataDxfId="178"/>
    <tableColumn id="3" xr3:uid="{8210191A-E93A-4B69-B601-4F505F16DB2D}" name="2026" dataDxfId="177"/>
    <tableColumn id="4" xr3:uid="{FFFC8123-D122-49C6-8408-47844C2EA29E}" name="2027" dataDxfId="176"/>
    <tableColumn id="5" xr3:uid="{4EC0E70B-FA1D-4747-A7D1-FF465923D1C1}" name="2028" dataDxfId="175"/>
    <tableColumn id="6" xr3:uid="{18214979-4D37-46E7-9676-688970C82EFA}" name="2029" dataDxfId="174"/>
    <tableColumn id="7" xr3:uid="{C6A95060-17CF-4483-9F3F-0EB1CBFAA836}" name="2030" dataDxfId="173"/>
  </tableColumns>
  <tableStyleInfo name="TableStyleMedium13"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B169D4A6-AC21-478D-A2D8-DAB70904F227}" name="Table1216" displayName="Table1216" ref="I17:J25" totalsRowShown="0">
  <autoFilter ref="I17:J25" xr:uid="{B169D4A6-AC21-478D-A2D8-DAB70904F227}">
    <filterColumn colId="0" hiddenButton="1"/>
    <filterColumn colId="1" hiddenButton="1"/>
  </autoFilter>
  <tableColumns count="2">
    <tableColumn id="1" xr3:uid="{44430537-23D3-4117-B829-9B4707EF9503}" name="Metric" dataDxfId="172"/>
    <tableColumn id="2" xr3:uid="{FB7AE0DB-42D7-450D-A708-BDFE0D8C33E1}" name="Value" dataDxfId="171"/>
  </tableColumns>
  <tableStyleInfo name="TableStyleMedium10"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2E75BC7-A0C3-41ED-9E83-2F472D2DB3A0}" name="Table1118" displayName="Table1118" ref="Q2:W13" totalsRowShown="0" headerRowDxfId="170" dataDxfId="169" tableBorderDxfId="168">
  <autoFilter ref="Q2:W13" xr:uid="{D2E75BC7-A0C3-41ED-9E83-2F472D2DB3A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407AE038-44E7-4AC6-B450-9E58144DCFC2}" name="Particulars" dataDxfId="167"/>
    <tableColumn id="2" xr3:uid="{73E1A46F-F008-4531-9676-AD40E50D3945}" name="2025" dataDxfId="166"/>
    <tableColumn id="3" xr3:uid="{4D8ECAF5-2BA2-4844-857F-A4C53A87837B}" name="2026" dataDxfId="165"/>
    <tableColumn id="4" xr3:uid="{3FA5F968-3E1D-4AC9-A319-A3D4EF8CB31F}" name="2027" dataDxfId="164"/>
    <tableColumn id="5" xr3:uid="{09885EB5-0891-4F23-9AC3-F98B58849996}" name="2028" dataDxfId="163"/>
    <tableColumn id="6" xr3:uid="{5118BBD3-91AF-4B9C-A46A-9E1CA6D22087}" name="2029" dataDxfId="162"/>
    <tableColumn id="7" xr3:uid="{CF398521-852C-48A2-A0A0-473FD0813A7D}" name="2030" dataDxfId="161"/>
  </tableColumns>
  <tableStyleInfo name="TableStyleMedium13"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60849DA-E4C9-4544-BAA5-F3CC0F94D90E}" name="Table1219" displayName="Table1219" ref="Q17:R25" totalsRowShown="0">
  <autoFilter ref="Q17:R25" xr:uid="{060849DA-E4C9-4544-BAA5-F3CC0F94D90E}">
    <filterColumn colId="0" hiddenButton="1"/>
    <filterColumn colId="1" hiddenButton="1"/>
  </autoFilter>
  <tableColumns count="2">
    <tableColumn id="1" xr3:uid="{925DB1CB-BF1C-46CF-A004-98304F2B6395}" name="Metric" dataDxfId="160"/>
    <tableColumn id="2" xr3:uid="{072474C9-415E-4BAF-9697-6660523CD7AC}" name="Value" dataDxfId="159"/>
  </tableColumns>
  <tableStyleInfo name="TableStyleMedium10"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B66AFE6-57EF-4D15-9724-A85450909F72}" name="Table1335" displayName="Table1335" ref="Y2:AE13" totalsRowShown="0" headerRowDxfId="158" dataDxfId="157" tableBorderDxfId="156">
  <autoFilter ref="Y2:AE13" xr:uid="{8B66AFE6-57EF-4D15-9724-A85450909F7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5A0CBA2-546C-4C16-AE66-B7DDA45BF296}" name="Particulars" dataDxfId="155"/>
    <tableColumn id="2" xr3:uid="{B60429E6-E400-4BC7-948D-31AD1D5F1E43}" name="2025" dataDxfId="154"/>
    <tableColumn id="3" xr3:uid="{1988C474-81A5-413A-8BC9-B237892C3461}" name="2026" dataDxfId="153"/>
    <tableColumn id="4" xr3:uid="{BC7DE12A-A21A-420F-867A-066868FE36C0}" name="2027" dataDxfId="152"/>
    <tableColumn id="5" xr3:uid="{AD55AF22-E0AB-431C-BB04-B47122087BD2}" name="2028" dataDxfId="151"/>
    <tableColumn id="6" xr3:uid="{52142742-0C02-4392-B22E-157254D4C2BA}" name="2029" dataDxfId="150"/>
    <tableColumn id="7" xr3:uid="{9F779E52-1F7A-45F5-BD83-2F51B3996AD9}" name="2030" dataDxfId="149"/>
  </tableColumns>
  <tableStyleInfo name="TableStyleMedium13"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A1275193-F6AD-435A-9A7B-917F889C51CE}" name="Table121636" displayName="Table121636" ref="Y17:Z25" totalsRowShown="0">
  <autoFilter ref="Y17:Z25" xr:uid="{A1275193-F6AD-435A-9A7B-917F889C51CE}">
    <filterColumn colId="0" hiddenButton="1"/>
    <filterColumn colId="1" hiddenButton="1"/>
  </autoFilter>
  <tableColumns count="2">
    <tableColumn id="1" xr3:uid="{B42DC909-34ED-494A-A865-65F764920397}" name="Metric" dataDxfId="148"/>
    <tableColumn id="2" xr3:uid="{23B17D96-7AB4-490C-9B38-E1479E1E98FE}" name="Value" dataDxfId="147"/>
  </tableColumns>
  <tableStyleInfo name="TableStyleMedium10"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D2B2177F-33D7-434C-980C-5F150896F409}" name="Table1343" displayName="Table1343" ref="AO2:AU13" totalsRowShown="0" headerRowDxfId="146" dataDxfId="145" tableBorderDxfId="144">
  <autoFilter ref="AO2:AU13" xr:uid="{D2B2177F-33D7-434C-980C-5F150896F4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48A0FAF-B0E9-4F4D-B287-9BFBCE1C9869}" name="Particulars" dataDxfId="143"/>
    <tableColumn id="2" xr3:uid="{2E7C6FC7-C01C-4546-B277-19415AFCB152}" name="2025" dataDxfId="142"/>
    <tableColumn id="3" xr3:uid="{DB4B2BB2-BABF-4771-A460-D8D76C75D061}" name="2026" dataDxfId="141"/>
    <tableColumn id="4" xr3:uid="{76D20537-CB9E-4859-9E5C-744C67014172}" name="2027" dataDxfId="140"/>
    <tableColumn id="5" xr3:uid="{A5F0DADE-1679-400D-8ABF-D5F19771C588}" name="2028" dataDxfId="139"/>
    <tableColumn id="6" xr3:uid="{AAA9F410-D9FC-4062-8903-D7DAD2787777}" name="2029" dataDxfId="138"/>
    <tableColumn id="7" xr3:uid="{D100DFEF-1188-48ED-9671-423B68F7C0B0}" name="2030" dataDxfId="137"/>
  </tableColumns>
  <tableStyleInfo name="TableStyleMedium13"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BDF570D-C83C-4CBF-8E56-D795BE9D9B4C}" name="Table121644" displayName="Table121644" ref="AO17:AP25" totalsRowShown="0">
  <autoFilter ref="AO17:AP25" xr:uid="{5BDF570D-C83C-4CBF-8E56-D795BE9D9B4C}">
    <filterColumn colId="0" hiddenButton="1"/>
    <filterColumn colId="1" hiddenButton="1"/>
  </autoFilter>
  <tableColumns count="2">
    <tableColumn id="1" xr3:uid="{6C0EA256-1490-4C0C-A39F-A89748B65381}" name="Metric" dataDxfId="136"/>
    <tableColumn id="2" xr3:uid="{9BB028F3-E171-4176-85B1-E1B03C0C932C}" name="Value" dataDxfId="135"/>
  </tableColumns>
  <tableStyleInfo name="TableStyleMedium10"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4F0B8A8-9FBF-47A6-BF83-8128EFF26F51}" name="Table134347" displayName="Table134347" ref="AW2:BC13" totalsRowShown="0" headerRowDxfId="134" dataDxfId="133" tableBorderDxfId="132">
  <autoFilter ref="AW2:BC13" xr:uid="{E4F0B8A8-9FBF-47A6-BF83-8128EFF26F5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CCF2B4A-9229-4113-99FC-648F9AC1A2E2}" name="Particulars" dataDxfId="131"/>
    <tableColumn id="2" xr3:uid="{FCC18AB2-E003-48EB-9829-9B16A3A46D56}" name="2025" dataDxfId="130"/>
    <tableColumn id="3" xr3:uid="{9AF46C5A-22D5-465E-80DE-431D8B9CC59D}" name="2026" dataDxfId="129"/>
    <tableColumn id="4" xr3:uid="{9338A95C-C436-4629-839E-41FAA9F81ADD}" name="2027" dataDxfId="128"/>
    <tableColumn id="5" xr3:uid="{A2C79705-B66F-4F3B-9382-A71FCE176EB7}" name="2028" dataDxfId="127"/>
    <tableColumn id="6" xr3:uid="{3EA8DA65-6B1C-4AA6-9BE4-D33596569C36}" name="2029" dataDxfId="126"/>
    <tableColumn id="7" xr3:uid="{6D85C119-69E0-44DD-AFC5-0FE48991AB6C}" name="2030" dataDxfId="125"/>
  </tableColumns>
  <tableStyleInfo name="TableStyleMedium13"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7526E060-922D-4644-96FD-9E8E4547AD5A}" name="Table12164448" displayName="Table12164448" ref="AW17:AX25" totalsRowShown="0">
  <autoFilter ref="AW17:AX25" xr:uid="{7526E060-922D-4644-96FD-9E8E4547AD5A}">
    <filterColumn colId="0" hiddenButton="1"/>
    <filterColumn colId="1" hiddenButton="1"/>
  </autoFilter>
  <tableColumns count="2">
    <tableColumn id="1" xr3:uid="{5CA9C91D-5678-4332-B3CB-8009E3E57BAC}" name="Metric" dataDxfId="124"/>
    <tableColumn id="2" xr3:uid="{6308C231-7E89-4AD1-9424-81FB0054380D}" name="Value" dataDxfId="123"/>
  </tableColumns>
  <tableStyleInfo name="TableStyleMedium10"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35EBF6C0-7C69-49AD-9DD3-D0C086B23782}" name="Table48" displayName="Table48" ref="AG2:AM10" totalsRowShown="0" headerRowDxfId="122" tableBorderDxfId="121">
  <autoFilter ref="AG2:AM10" xr:uid="{35EBF6C0-7C69-49AD-9DD3-D0C086B2378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DD2C7109-F1E2-43D8-BBE2-EF82FE4A0E94}" name="Particulars"/>
    <tableColumn id="2" xr3:uid="{8789F252-D185-4ECD-A7EA-2F310494B229}" name="2025"/>
    <tableColumn id="3" xr3:uid="{02388B62-AD69-4556-9C6B-D35859513F76}" name="2026"/>
    <tableColumn id="4" xr3:uid="{B853CF6D-6299-4741-9E8C-3881A1C73F6D}" name="2027"/>
    <tableColumn id="5" xr3:uid="{A45BC7B5-E803-443A-907A-2E85929737AA}" name="2028"/>
    <tableColumn id="6" xr3:uid="{B3560D41-7595-404E-9BB5-8D335AE6184F}" name="2029"/>
    <tableColumn id="7" xr3:uid="{0C0C04CE-2D8E-4220-BB21-34336674CF49}" name="2030"/>
  </tableColumns>
  <tableStyleInfo name="TableStyleMedium13"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AB2BAB72-D95E-4662-B17B-4E320488AE0D}" name="Table49" displayName="Table49" ref="AG17:AH27" totalsRowShown="0">
  <autoFilter ref="AG17:AH27" xr:uid="{AB2BAB72-D95E-4662-B17B-4E320488AE0D}">
    <filterColumn colId="0" hiddenButton="1"/>
    <filterColumn colId="1" hiddenButton="1"/>
  </autoFilter>
  <tableColumns count="2">
    <tableColumn id="1" xr3:uid="{CD9F4C82-C434-4230-8021-4514F9BD6241}" name="Metric" dataDxfId="120"/>
    <tableColumn id="2" xr3:uid="{6A002EAC-632D-4249-9F52-FDB6C302B376}" name="Value"/>
  </tableColumns>
  <tableStyleInfo name="TableStyleMedium10"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1F6B2EE-8408-4101-BD4B-F2C40645AA68}" name="Table16" displayName="Table16" ref="H7:L14" totalsRowShown="0" headerRowDxfId="119" dataDxfId="118" tableBorderDxfId="117" dataCellStyle="Comma">
  <autoFilter ref="H7:L14" xr:uid="{11F6B2EE-8408-4101-BD4B-F2C40645AA68}">
    <filterColumn colId="0" hiddenButton="1"/>
    <filterColumn colId="1" hiddenButton="1"/>
    <filterColumn colId="2" hiddenButton="1"/>
    <filterColumn colId="3" hiddenButton="1"/>
    <filterColumn colId="4" hiddenButton="1"/>
  </autoFilter>
  <tableColumns count="5">
    <tableColumn id="1" xr3:uid="{26DDCF09-0AD3-440D-9719-7852C56C237A}" name="Company" dataDxfId="116"/>
    <tableColumn id="2" xr3:uid="{CBEB34A7-B685-46AD-907E-CE1904B2D1FC}" name="EV/Revenue" dataDxfId="115" dataCellStyle="Comma">
      <calculatedColumnFormula>(B21*$B$18)/F21</calculatedColumnFormula>
    </tableColumn>
    <tableColumn id="3" xr3:uid="{3E020F44-C547-4D2F-93E2-BCAAA2BF8E29}" name="P/E" dataDxfId="114" dataCellStyle="Comma"/>
    <tableColumn id="4" xr3:uid="{E46AB98E-BD04-4AB0-B1EE-E136616D7EA7}" name="P/B" dataDxfId="113" dataCellStyle="Comma"/>
    <tableColumn id="5" xr3:uid="{E293683C-5D36-4DE3-85EC-6AF26691A941}" name="P/S" dataDxfId="112" dataCellStyle="Comma">
      <calculatedColumnFormula>(B21*$E$18)/F21</calculatedColumnFormula>
    </tableColumn>
  </tableColumns>
  <tableStyleInfo name="TableStyleMedium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D551F3F-58E0-47D1-B92D-FC03231540BA}" name="Table51" displayName="Table51" ref="H17:J24" totalsRowShown="0" tableBorderDxfId="111">
  <autoFilter ref="H17:J24" xr:uid="{4D551F3F-58E0-47D1-B92D-FC03231540BA}">
    <filterColumn colId="0" hiddenButton="1"/>
    <filterColumn colId="1" hiddenButton="1"/>
    <filterColumn colId="2" hiddenButton="1"/>
  </autoFilter>
  <tableColumns count="3">
    <tableColumn id="1" xr3:uid="{4081CBAD-FA16-44F9-BF6C-49A55C7FB14F}" name="Company" dataDxfId="110">
      <calculatedColumnFormula>H8</calculatedColumnFormula>
    </tableColumn>
    <tableColumn id="2" xr3:uid="{AA40213A-E153-48D4-A901-44474E922CAF}" name="Target Price" dataDxfId="109" dataCellStyle="Comma">
      <calculatedColumnFormula>AVERAGE(I8:L8)</calculatedColumnFormula>
    </tableColumn>
    <tableColumn id="3" xr3:uid="{065764DD-9C6D-4B90-B8ED-6B45C0F7293E}" name="Upside/Downside" dataDxfId="108" dataCellStyle="Percent">
      <calculatedColumnFormula>(I18-E21)/E21</calculatedColumnFormula>
    </tableColumn>
  </tableColumns>
  <tableStyleInfo name="TableStyleMedium16"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E481C5BF-6305-47FA-948F-0EFAD6DFC911}" name="Table52" displayName="Table52" ref="A20:F27" totalsRowShown="0" headerRowDxfId="107" dataDxfId="106" tableBorderDxfId="105">
  <autoFilter ref="A20:F27" xr:uid="{E481C5BF-6305-47FA-948F-0EFAD6DFC911}">
    <filterColumn colId="0" hiddenButton="1"/>
    <filterColumn colId="1" hiddenButton="1"/>
    <filterColumn colId="2" hiddenButton="1"/>
    <filterColumn colId="3" hiddenButton="1"/>
    <filterColumn colId="4" hiddenButton="1"/>
    <filterColumn colId="5" hiddenButton="1"/>
  </autoFilter>
  <tableColumns count="6">
    <tableColumn id="1" xr3:uid="{0418D4B0-9ECF-4936-9A7C-9CB4B96EDEEC}" name="Particulars" dataDxfId="104">
      <calculatedColumnFormula>H8</calculatedColumnFormula>
    </tableColumn>
    <tableColumn id="2" xr3:uid="{15C70FEE-238D-4E2B-9838-80334B547AD2}" name="Revenue" dataDxfId="103"/>
    <tableColumn id="3" xr3:uid="{2B99FF25-3324-4CE3-9F32-26EEE3DA17B7}" name="Net Income" dataDxfId="102"/>
    <tableColumn id="4" xr3:uid="{2A03207D-8A7A-43A3-9BF4-32A6BA1E5C9D}" name="Book Value" dataDxfId="101"/>
    <tableColumn id="5" xr3:uid="{C4B77517-AB27-409F-B95E-D982CA4A1F5F}" name="CMP" dataDxfId="100" dataCellStyle="Comma"/>
    <tableColumn id="6" xr3:uid="{6ABAD379-341D-4F6F-9827-00186CE35CBF}" name="Shares" dataDxfId="99"/>
  </tableColumns>
  <tableStyleInfo name="TableStyleMedium20"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AB808C09-8BB5-433A-B367-7BBDC43A1ED3}" name="Table53" displayName="Table53" ref="A1:E18" totalsRowShown="0" headerRowDxfId="98" dataDxfId="97" tableBorderDxfId="96" dataCellStyle="Comma">
  <autoFilter ref="A1:E18" xr:uid="{AB808C09-8BB5-433A-B367-7BBDC43A1ED3}">
    <filterColumn colId="0" hiddenButton="1"/>
    <filterColumn colId="1" hiddenButton="1"/>
    <filterColumn colId="2" hiddenButton="1"/>
    <filterColumn colId="3" hiddenButton="1"/>
    <filterColumn colId="4" hiddenButton="1"/>
  </autoFilter>
  <tableColumns count="5">
    <tableColumn id="1" xr3:uid="{BCC86B10-F2EA-4793-82D8-B58CFFE729B3}" name="Company" dataDxfId="95"/>
    <tableColumn id="2" xr3:uid="{0164A680-F782-4960-91F5-012F8AC7BBDE}" name="EV/Revenue" dataDxfId="94" dataCellStyle="Comma"/>
    <tableColumn id="3" xr3:uid="{59226E63-E19C-4BF3-9BA0-6DE7B24F7336}" name="P/E" dataDxfId="93" dataCellStyle="Comma"/>
    <tableColumn id="4" xr3:uid="{5C708919-AEFC-4387-BD55-193F610AACD4}" name="P/B" dataDxfId="92" dataCellStyle="Comma"/>
    <tableColumn id="5" xr3:uid="{70A254F8-83C8-4172-87B3-72B5990A3FC9}" name="P/S" dataDxfId="91" dataCellStyle="Comma"/>
  </tableColumns>
  <tableStyleInfo name="TableStyleMedium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29" Type="http://schemas.openxmlformats.org/officeDocument/2006/relationships/table" Target="../tables/table29.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table" Target="../tables/table32.xml"/></Relationships>
</file>

<file path=xl/worksheets/_rels/sheet4.xml.rels><?xml version="1.0" encoding="UTF-8" standalone="yes"?>
<Relationships xmlns="http://schemas.openxmlformats.org/package/2006/relationships"><Relationship Id="rId8" Type="http://schemas.openxmlformats.org/officeDocument/2006/relationships/table" Target="../tables/table41.xml"/><Relationship Id="rId13" Type="http://schemas.openxmlformats.org/officeDocument/2006/relationships/table" Target="../tables/table46.xml"/><Relationship Id="rId3" Type="http://schemas.openxmlformats.org/officeDocument/2006/relationships/table" Target="../tables/table36.xml"/><Relationship Id="rId7" Type="http://schemas.openxmlformats.org/officeDocument/2006/relationships/table" Target="../tables/table40.xml"/><Relationship Id="rId12" Type="http://schemas.openxmlformats.org/officeDocument/2006/relationships/table" Target="../tables/table45.xml"/><Relationship Id="rId2" Type="http://schemas.openxmlformats.org/officeDocument/2006/relationships/table" Target="../tables/table35.xml"/><Relationship Id="rId1" Type="http://schemas.openxmlformats.org/officeDocument/2006/relationships/table" Target="../tables/table34.xml"/><Relationship Id="rId6" Type="http://schemas.openxmlformats.org/officeDocument/2006/relationships/table" Target="../tables/table39.xml"/><Relationship Id="rId11" Type="http://schemas.openxmlformats.org/officeDocument/2006/relationships/table" Target="../tables/table44.xml"/><Relationship Id="rId5" Type="http://schemas.openxmlformats.org/officeDocument/2006/relationships/table" Target="../tables/table38.xml"/><Relationship Id="rId10" Type="http://schemas.openxmlformats.org/officeDocument/2006/relationships/table" Target="../tables/table43.xml"/><Relationship Id="rId4" Type="http://schemas.openxmlformats.org/officeDocument/2006/relationships/table" Target="../tables/table37.xml"/><Relationship Id="rId9" Type="http://schemas.openxmlformats.org/officeDocument/2006/relationships/table" Target="../tables/table42.xml"/><Relationship Id="rId14" Type="http://schemas.openxmlformats.org/officeDocument/2006/relationships/table" Target="../tables/table47.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table" Target="../tables/table49.xml"/><Relationship Id="rId1" Type="http://schemas.openxmlformats.org/officeDocument/2006/relationships/table" Target="../tables/table48.xml"/><Relationship Id="rId4" Type="http://schemas.openxmlformats.org/officeDocument/2006/relationships/table" Target="../tables/table5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topLeftCell="C1" workbookViewId="0">
      <selection activeCell="M9" sqref="M9"/>
    </sheetView>
  </sheetViews>
  <sheetFormatPr defaultRowHeight="14.4" x14ac:dyDescent="0.3"/>
  <cols>
    <col min="1" max="1" width="16.6640625" style="1" bestFit="1" customWidth="1"/>
    <col min="2" max="2" width="28" style="1" customWidth="1"/>
    <col min="3" max="3" width="29.6640625" style="1" bestFit="1" customWidth="1"/>
    <col min="4" max="4" width="26.77734375" style="1" bestFit="1" customWidth="1"/>
    <col min="5" max="5" width="17.44140625" style="1" bestFit="1" customWidth="1"/>
    <col min="6" max="6" width="30.5546875" style="1" bestFit="1" customWidth="1"/>
    <col min="7" max="7" width="18.6640625" style="1" bestFit="1" customWidth="1"/>
    <col min="8" max="8" width="23.6640625" style="1" bestFit="1" customWidth="1"/>
    <col min="9" max="16384" width="8.88671875" style="1"/>
  </cols>
  <sheetData>
    <row r="1" spans="1:8" s="2" customFormat="1" ht="28.8" x14ac:dyDescent="0.3">
      <c r="A1" s="4" t="s">
        <v>0</v>
      </c>
      <c r="B1" s="4" t="e" vm="1">
        <v>#VALUE!</v>
      </c>
      <c r="C1" s="4" t="e" vm="2">
        <v>#VALUE!</v>
      </c>
      <c r="D1" s="4" t="e" vm="3">
        <v>#VALUE!</v>
      </c>
      <c r="E1" s="4" t="e" vm="4">
        <v>#VALUE!</v>
      </c>
      <c r="F1" s="4" t="e" vm="5">
        <v>#VALUE!</v>
      </c>
      <c r="G1" s="4" t="e" vm="6">
        <v>#VALUE!</v>
      </c>
      <c r="H1" s="4" t="e" vm="7">
        <v>#VALUE!</v>
      </c>
    </row>
    <row r="2" spans="1:8" x14ac:dyDescent="0.3">
      <c r="A2" s="5" t="s">
        <v>1</v>
      </c>
      <c r="B2" s="5" t="str" cm="1">
        <f t="array" aca="1" ref="B2" ca="1">_FV(B1,"Official name",TRUE)</f>
        <v>JPMORGAN CHASE &amp; CO.</v>
      </c>
      <c r="C2" s="5" t="str" cm="1">
        <f t="array" aca="1" ref="C2" ca="1">_FV(C1,"Official name",TRUE)</f>
        <v>BANK OF AMERICA CORPORATION</v>
      </c>
      <c r="D2" s="5" t="str" cm="1">
        <f t="array" aca="1" ref="D2" ca="1">_FV(D1,"Official name",TRUE)</f>
        <v>AMERICAN EXPRESS COMPANY</v>
      </c>
      <c r="E2" s="5" t="str" cm="1">
        <f t="array" aca="1" ref="E2" ca="1">_FV(E1,"Official name",TRUE)</f>
        <v>BLACKROCK, INC.</v>
      </c>
      <c r="F2" s="5" t="str" cm="1">
        <f t="array" aca="1" ref="F2" ca="1">_FV(F1,"Official name",TRUE)</f>
        <v>THE GOLDMAN SACHS GROUP, INC.</v>
      </c>
      <c r="G2" s="5" t="str" cm="1">
        <f t="array" aca="1" ref="G2" ca="1">_FV(G1,"Official name",TRUE)</f>
        <v>MORGAN STANLEY</v>
      </c>
      <c r="H2" s="5" t="str" cm="1">
        <f t="array" aca="1" ref="H2" ca="1">_FV(H1,"Official name",TRUE)</f>
        <v>WELLS FARGO &amp; COMPANY</v>
      </c>
    </row>
    <row r="3" spans="1:8" x14ac:dyDescent="0.3">
      <c r="A3" s="5" t="s">
        <v>2</v>
      </c>
      <c r="B3" s="6" cm="1">
        <f t="array" aca="1" ref="B3" ca="1">_FV(B1,"Beta")</f>
        <v>1.0810999999999999</v>
      </c>
      <c r="C3" s="6" cm="1">
        <f t="array" aca="1" ref="C3" ca="1">_FV(C1,"Beta")</f>
        <v>1.3076000000000001</v>
      </c>
      <c r="D3" s="6" cm="1">
        <f t="array" aca="1" ref="D3" ca="1">_FV(D1,"Beta")</f>
        <v>1.1574</v>
      </c>
      <c r="E3" s="6" cm="1">
        <f t="array" aca="1" ref="E3" ca="1">_FV(E1,"Beta")</f>
        <v>1.4866999999999999</v>
      </c>
      <c r="F3" s="6" cm="1">
        <f t="array" aca="1" ref="F3" ca="1">_FV(F1,"Beta")</f>
        <v>1.3513999999999999</v>
      </c>
      <c r="G3" s="6" cm="1">
        <f t="array" aca="1" ref="G3" ca="1">_FV(G1,"Beta")</f>
        <v>1.2204999999999999</v>
      </c>
      <c r="H3" s="6" cm="1">
        <f t="array" aca="1" ref="H3" ca="1">_FV(H1,"Beta")</f>
        <v>1.1135999999999999</v>
      </c>
    </row>
    <row r="4" spans="1:8" x14ac:dyDescent="0.3">
      <c r="A4" s="5" t="s">
        <v>3</v>
      </c>
      <c r="B4" s="6" cm="1">
        <f t="array" aca="1" ref="B4" ca="1">_FV(B1,"P/E",TRUE)</f>
        <v>14.8154</v>
      </c>
      <c r="C4" s="6" cm="1">
        <f t="array" aca="1" ref="C4" ca="1">_FV(C1,"P/E",TRUE)</f>
        <v>14.096500000000001</v>
      </c>
      <c r="D4" s="6" cm="1">
        <f t="array" aca="1" ref="D4" ca="1">_FV(D1,"P/E",TRUE)</f>
        <v>22.492999999999999</v>
      </c>
      <c r="E4" s="6" cm="1">
        <f t="array" aca="1" ref="E4" ca="1">_FV(E1,"P/E",TRUE)</f>
        <v>26.4055</v>
      </c>
      <c r="F4" s="6" cm="1">
        <f t="array" aca="1" ref="F4" ca="1">_FV(F1,"P/E",TRUE)</f>
        <v>15.7791</v>
      </c>
      <c r="G4" s="6" cm="1">
        <f t="array" aca="1" ref="G4" ca="1">_FV(G1,"P/E",TRUE)</f>
        <v>16.334299999999999</v>
      </c>
      <c r="H4" s="6" cm="1">
        <f t="array" aca="1" ref="H4" ca="1">_FV(H1,"P/E",TRUE)</f>
        <v>13.806800000000001</v>
      </c>
    </row>
    <row r="5" spans="1:8" x14ac:dyDescent="0.3">
      <c r="A5" s="5" t="s">
        <v>4</v>
      </c>
      <c r="B5" s="7" cm="1">
        <f t="array" aca="1" ref="B5" ca="1">_FV(B1,"Price")</f>
        <v>299.12</v>
      </c>
      <c r="C5" s="7" cm="1">
        <f t="array" aca="1" ref="C5" ca="1">_FV(C1,"Price")</f>
        <v>51.546500000000002</v>
      </c>
      <c r="D5" s="7" cm="1">
        <f t="array" aca="1" ref="D5" ca="1">_FV(D1,"Price")</f>
        <v>335.07799999999997</v>
      </c>
      <c r="E5" s="7" cm="1">
        <f t="array" aca="1" ref="E5" ca="1">_FV(E1,"Price")</f>
        <v>1016.08</v>
      </c>
      <c r="F5" s="7" cm="1">
        <f t="array" aca="1" ref="F5" ca="1">_FV(F1,"Price")</f>
        <v>776.76</v>
      </c>
      <c r="G5" s="7" cm="1">
        <f t="array" aca="1" ref="G5" ca="1">_FV(G1,"Price")</f>
        <v>159.16999999999999</v>
      </c>
      <c r="H5" s="7" cm="1">
        <f t="array" aca="1" ref="H5" ca="1">_FV(H1,"Price")</f>
        <v>83.93</v>
      </c>
    </row>
    <row r="6" spans="1:8" x14ac:dyDescent="0.3">
      <c r="A6" s="5" t="s">
        <v>5</v>
      </c>
      <c r="B6" s="8" cm="1">
        <f t="array" aca="1" ref="B6" ca="1">_FV(B1,"Market cap",TRUE)</f>
        <v>822506416480</v>
      </c>
      <c r="C6" s="8" cm="1">
        <f t="array" aca="1" ref="C6" ca="1">_FV(C1,"Market cap",TRUE)</f>
        <v>376418110064</v>
      </c>
      <c r="D6" s="8" cm="1">
        <f t="array" aca="1" ref="D6" ca="1">_FV(D1,"Market cap",TRUE)</f>
        <v>230819016424</v>
      </c>
      <c r="E6" s="8" cm="1">
        <f t="array" aca="1" ref="E6" ca="1">_FV(E1,"Market cap",TRUE)</f>
        <v>157645726472</v>
      </c>
      <c r="F6" s="8" cm="1">
        <f t="array" aca="1" ref="F6" ca="1">_FV(F1,"Market cap",TRUE)</f>
        <v>232972461660</v>
      </c>
      <c r="G6" s="8" cm="1">
        <f t="array" aca="1" ref="G6" ca="1">_FV(G1,"Market cap",TRUE)</f>
        <v>253239469999</v>
      </c>
      <c r="H6" s="8" cm="1">
        <f t="array" aca="1" ref="H6" ca="1">_FV(H1,"Market cap",TRUE)</f>
        <v>263463320120</v>
      </c>
    </row>
    <row r="7" spans="1:8" x14ac:dyDescent="0.3">
      <c r="A7" s="5" t="s">
        <v>9</v>
      </c>
      <c r="B7" s="9">
        <f ca="1">B6/1000000</f>
        <v>822506.41648000001</v>
      </c>
      <c r="C7" s="9">
        <f ca="1">C6/1000000</f>
        <v>376418.11006400001</v>
      </c>
      <c r="D7" s="9">
        <f t="shared" ref="D7:H7" ca="1" si="0">D6/1000000</f>
        <v>230819.016424</v>
      </c>
      <c r="E7" s="9">
        <f t="shared" ca="1" si="0"/>
        <v>157645.72647200001</v>
      </c>
      <c r="F7" s="9">
        <f t="shared" ca="1" si="0"/>
        <v>232972.46166</v>
      </c>
      <c r="G7" s="9">
        <f t="shared" ca="1" si="0"/>
        <v>253239.46999899999</v>
      </c>
      <c r="H7" s="9">
        <f t="shared" ca="1" si="0"/>
        <v>263463.32011999999</v>
      </c>
    </row>
    <row r="8" spans="1:8" x14ac:dyDescent="0.3">
      <c r="A8" s="5" t="s">
        <v>8</v>
      </c>
      <c r="B8" s="10" cm="1">
        <f t="array" aca="1" ref="B8" ca="1">_FV(B1,"Shares outstanding",TRUE)</f>
        <v>2749754000</v>
      </c>
      <c r="C8" s="10" cm="1">
        <f t="array" aca="1" ref="C8" ca="1">_FV(C1,"Shares outstanding",TRUE)</f>
        <v>7302496000</v>
      </c>
      <c r="D8" s="10" cm="1">
        <f t="array" aca="1" ref="D8" ca="1">_FV(D1,"Shares outstanding",TRUE)</f>
        <v>688851600</v>
      </c>
      <c r="E8" s="10" cm="1">
        <f t="array" aca="1" ref="E8" ca="1">_FV(E1,"Shares outstanding",TRUE)</f>
        <v>155150900</v>
      </c>
      <c r="F8" s="10" cm="1">
        <f t="array" aca="1" ref="F8" ca="1">_FV(F1,"Shares outstanding",TRUE)</f>
        <v>299928500</v>
      </c>
      <c r="G8" s="10" cm="1">
        <f t="array" aca="1" ref="G8" ca="1">_FV(G1,"Shares outstanding",TRUE)</f>
        <v>1591000000</v>
      </c>
      <c r="H8" s="10" cm="1">
        <f t="array" aca="1" ref="H8" ca="1">_FV(H1,"Shares outstanding",TRUE)</f>
        <v>3139084000</v>
      </c>
    </row>
    <row r="9" spans="1:8" x14ac:dyDescent="0.3">
      <c r="A9" s="5" t="s">
        <v>9</v>
      </c>
      <c r="B9" s="9">
        <f ca="1">B8/1000000</f>
        <v>2749.7539999999999</v>
      </c>
      <c r="C9" s="9">
        <f ca="1">C8/1000000</f>
        <v>7302.4960000000001</v>
      </c>
      <c r="D9" s="9">
        <f t="shared" ref="D9:H9" ca="1" si="1">D8/1000000</f>
        <v>688.85159999999996</v>
      </c>
      <c r="E9" s="9">
        <f t="shared" ca="1" si="1"/>
        <v>155.15090000000001</v>
      </c>
      <c r="F9" s="9">
        <f t="shared" ca="1" si="1"/>
        <v>299.92849999999999</v>
      </c>
      <c r="G9" s="9">
        <f t="shared" ca="1" si="1"/>
        <v>1591</v>
      </c>
      <c r="H9" s="9">
        <f t="shared" ca="1" si="1"/>
        <v>3139.0839999999998</v>
      </c>
    </row>
    <row r="10" spans="1:8" x14ac:dyDescent="0.3">
      <c r="A10" s="5" t="s">
        <v>6</v>
      </c>
      <c r="B10" s="11" cm="1">
        <f t="array" aca="1" ref="B10" ca="1">_FV(B1,"Change (%)",TRUE)</f>
        <v>-4.1619999999999999E-3</v>
      </c>
      <c r="C10" s="11" cm="1">
        <f t="array" aca="1" ref="C10" ca="1">_FV(C1,"Change (%)",TRUE)</f>
        <v>1.2920000000000002E-3</v>
      </c>
      <c r="D10" s="11" cm="1">
        <f t="array" aca="1" ref="D10" ca="1">_FV(D1,"Change (%)",TRUE)</f>
        <v>-1.8086000000000001E-2</v>
      </c>
      <c r="E10" s="11" cm="1">
        <f t="array" aca="1" ref="E10" ca="1">_FV(E1,"Change (%)",TRUE)</f>
        <v>-7.541E-3</v>
      </c>
      <c r="F10" s="11" cm="1">
        <f t="array" aca="1" ref="F10" ca="1">_FV(F1,"Change (%)",TRUE)</f>
        <v>1.547E-3</v>
      </c>
      <c r="G10" s="11" cm="1">
        <f t="array" aca="1" ref="G10" ca="1">_FV(G1,"Change (%)",TRUE)</f>
        <v>-1.756E-3</v>
      </c>
      <c r="H10" s="11" cm="1">
        <f t="array" aca="1" ref="H10" ca="1">_FV(H1,"Change (%)",TRUE)</f>
        <v>6.1140000000000005E-3</v>
      </c>
    </row>
    <row r="11" spans="1:8" x14ac:dyDescent="0.3">
      <c r="A11" s="5" t="s">
        <v>7</v>
      </c>
      <c r="B11" s="12" cm="1">
        <f t="array" aca="1" ref="B11" ca="1">_FV(B1,"Year incorporated",TRUE)</f>
        <v>1968</v>
      </c>
      <c r="C11" s="12" cm="1">
        <f t="array" aca="1" ref="C11" ca="1">_FV(C1,"Year incorporated",TRUE)</f>
        <v>1998</v>
      </c>
      <c r="D11" s="12" cm="1">
        <f t="array" aca="1" ref="D11" ca="1">_FV(D1,"Year incorporated",TRUE)</f>
        <v>1965</v>
      </c>
      <c r="E11" s="12" cm="1">
        <f t="array" aca="1" ref="E11" ca="1">_FV(E1,"Year incorporated",TRUE)</f>
        <v>2024</v>
      </c>
      <c r="F11" s="12" cm="1">
        <f t="array" aca="1" ref="F11" ca="1">_FV(F1,"Year incorporated",TRUE)</f>
        <v>1998</v>
      </c>
      <c r="G11" s="12" cm="1">
        <f t="array" aca="1" ref="G11" ca="1">_FV(G1,"Year incorporated",TRUE)</f>
        <v>1981</v>
      </c>
      <c r="H11" s="12" cm="1">
        <f t="array" aca="1" ref="H11" ca="1">_FV(H1,"Year incorporated",TRUE)</f>
        <v>1929</v>
      </c>
    </row>
  </sheetData>
  <conditionalFormatting sqref="B10:H10">
    <cfRule type="cellIs" dxfId="90" priority="1" operator="lessThan">
      <formula>0</formula>
    </cfRule>
    <cfRule type="cellIs" dxfId="89" priority="2" operator="greater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85B8C-FBF4-47C2-A7AE-BBEF0973B7BE}">
  <dimension ref="A2:BC47"/>
  <sheetViews>
    <sheetView workbookViewId="0">
      <selection activeCell="AQ38" sqref="AQ38:AW42"/>
    </sheetView>
  </sheetViews>
  <sheetFormatPr defaultRowHeight="14.4" x14ac:dyDescent="0.3"/>
  <cols>
    <col min="1" max="1" width="23.33203125" style="1" bestFit="1" customWidth="1"/>
    <col min="2" max="2" width="12.33203125" style="13" bestFit="1" customWidth="1"/>
    <col min="3" max="6" width="12.5546875" style="13" bestFit="1" customWidth="1"/>
    <col min="7" max="7" width="8.88671875" style="1"/>
    <col min="8" max="8" width="22.88671875" style="1" bestFit="1" customWidth="1"/>
    <col min="9" max="13" width="12.5546875" style="13" bestFit="1" customWidth="1"/>
    <col min="14" max="14" width="8.88671875" style="1"/>
    <col min="15" max="15" width="23.33203125" style="1" bestFit="1" customWidth="1"/>
    <col min="16" max="16" width="12.33203125" style="1" bestFit="1" customWidth="1"/>
    <col min="17" max="20" width="12.5546875" style="1" bestFit="1" customWidth="1"/>
    <col min="21" max="21" width="10.88671875" style="1" bestFit="1" customWidth="1"/>
    <col min="22" max="22" width="22.88671875" style="1" bestFit="1" customWidth="1"/>
    <col min="23" max="27" width="12.5546875" style="1" bestFit="1" customWidth="1"/>
    <col min="28" max="28" width="9.88671875" style="1" bestFit="1" customWidth="1"/>
    <col min="29" max="29" width="23.33203125" style="1" bestFit="1" customWidth="1"/>
    <col min="30" max="30" width="12.33203125" style="1" bestFit="1" customWidth="1"/>
    <col min="31" max="34" width="12.5546875" style="1" bestFit="1" customWidth="1"/>
    <col min="35" max="35" width="10.88671875" style="1" bestFit="1" customWidth="1"/>
    <col min="36" max="36" width="23.33203125" style="1" bestFit="1" customWidth="1"/>
    <col min="37" max="37" width="12.33203125" style="1" bestFit="1" customWidth="1"/>
    <col min="38" max="40" width="12.5546875" style="1" bestFit="1" customWidth="1"/>
    <col min="41" max="41" width="12.5546875" style="36" bestFit="1" customWidth="1"/>
    <col min="42" max="42" width="10.88671875" style="36" bestFit="1" customWidth="1"/>
    <col min="43" max="43" width="23.33203125" style="36" bestFit="1" customWidth="1"/>
    <col min="44" max="44" width="12.33203125" style="36" bestFit="1" customWidth="1"/>
    <col min="45" max="48" width="12.5546875" style="36" bestFit="1" customWidth="1"/>
    <col min="49" max="49" width="10.88671875" style="36" bestFit="1" customWidth="1"/>
    <col min="50" max="50" width="12.6640625" style="22" bestFit="1" customWidth="1"/>
    <col min="51" max="51" width="15.109375" style="22" bestFit="1" customWidth="1"/>
    <col min="52" max="52" width="12.88671875" style="22" bestFit="1" customWidth="1"/>
    <col min="53" max="53" width="12.33203125" style="22" bestFit="1" customWidth="1"/>
    <col min="54" max="54" width="16" style="22" bestFit="1" customWidth="1"/>
    <col min="55" max="55" width="10.88671875" style="1" bestFit="1" customWidth="1"/>
    <col min="56" max="16384" width="8.88671875" style="1"/>
  </cols>
  <sheetData>
    <row r="2" spans="1:55" x14ac:dyDescent="0.3">
      <c r="A2" s="14" t="s">
        <v>10</v>
      </c>
      <c r="F2" s="15" t="s">
        <v>35</v>
      </c>
      <c r="H2" s="14" t="s">
        <v>10</v>
      </c>
      <c r="M2" s="15" t="s">
        <v>36</v>
      </c>
      <c r="O2" s="14" t="s">
        <v>10</v>
      </c>
      <c r="P2" s="13"/>
      <c r="Q2" s="13"/>
      <c r="R2" s="13"/>
      <c r="S2" s="13"/>
      <c r="T2" s="15" t="s">
        <v>100</v>
      </c>
      <c r="V2" s="14" t="s">
        <v>10</v>
      </c>
      <c r="W2" s="13"/>
      <c r="X2" s="13"/>
      <c r="Y2" s="13"/>
      <c r="Z2" s="13"/>
      <c r="AA2" s="15" t="s">
        <v>96</v>
      </c>
      <c r="AC2" s="14" t="s">
        <v>10</v>
      </c>
      <c r="AD2" s="13"/>
      <c r="AE2" s="13"/>
      <c r="AF2" s="13"/>
      <c r="AG2" s="13"/>
      <c r="AH2" s="15" t="s">
        <v>97</v>
      </c>
      <c r="AJ2" s="14" t="s">
        <v>10</v>
      </c>
      <c r="AK2" s="13"/>
      <c r="AL2" s="13"/>
      <c r="AM2" s="13"/>
      <c r="AN2" s="13"/>
      <c r="AO2" s="15" t="s">
        <v>98</v>
      </c>
      <c r="AP2" s="15"/>
      <c r="AQ2" s="14" t="s">
        <v>10</v>
      </c>
      <c r="AR2" s="13"/>
      <c r="AS2" s="13"/>
      <c r="AT2" s="13"/>
      <c r="AU2" s="13"/>
      <c r="AV2" s="15" t="s">
        <v>99</v>
      </c>
      <c r="AW2" s="15"/>
    </row>
    <row r="3" spans="1:55" x14ac:dyDescent="0.3">
      <c r="A3" s="14" t="s">
        <v>11</v>
      </c>
      <c r="B3" s="15" t="s">
        <v>29</v>
      </c>
      <c r="C3" s="15" t="s">
        <v>30</v>
      </c>
      <c r="D3" s="15" t="s">
        <v>31</v>
      </c>
      <c r="E3" s="15" t="s">
        <v>32</v>
      </c>
      <c r="F3" s="15" t="s">
        <v>33</v>
      </c>
      <c r="H3" s="14" t="s">
        <v>11</v>
      </c>
      <c r="I3" s="15" t="s">
        <v>29</v>
      </c>
      <c r="J3" s="15" t="s">
        <v>30</v>
      </c>
      <c r="K3" s="15" t="s">
        <v>31</v>
      </c>
      <c r="L3" s="15" t="s">
        <v>32</v>
      </c>
      <c r="M3" s="15" t="s">
        <v>33</v>
      </c>
      <c r="O3" s="14" t="s">
        <v>11</v>
      </c>
      <c r="P3" s="15" t="s">
        <v>29</v>
      </c>
      <c r="Q3" s="15" t="s">
        <v>30</v>
      </c>
      <c r="R3" s="15" t="s">
        <v>31</v>
      </c>
      <c r="S3" s="15" t="s">
        <v>32</v>
      </c>
      <c r="T3" s="15" t="s">
        <v>33</v>
      </c>
      <c r="V3" s="14" t="s">
        <v>11</v>
      </c>
      <c r="W3" s="15" t="s">
        <v>29</v>
      </c>
      <c r="X3" s="15" t="s">
        <v>30</v>
      </c>
      <c r="Y3" s="15" t="s">
        <v>31</v>
      </c>
      <c r="Z3" s="15" t="s">
        <v>32</v>
      </c>
      <c r="AA3" s="15" t="s">
        <v>33</v>
      </c>
      <c r="AC3" s="14" t="s">
        <v>11</v>
      </c>
      <c r="AD3" s="15" t="s">
        <v>29</v>
      </c>
      <c r="AE3" s="15" t="s">
        <v>30</v>
      </c>
      <c r="AF3" s="15" t="s">
        <v>31</v>
      </c>
      <c r="AG3" s="15" t="s">
        <v>32</v>
      </c>
      <c r="AH3" s="15" t="s">
        <v>33</v>
      </c>
      <c r="AJ3" s="14" t="s">
        <v>11</v>
      </c>
      <c r="AK3" s="15" t="s">
        <v>29</v>
      </c>
      <c r="AL3" s="15" t="s">
        <v>30</v>
      </c>
      <c r="AM3" s="15" t="s">
        <v>31</v>
      </c>
      <c r="AN3" s="15" t="s">
        <v>32</v>
      </c>
      <c r="AO3" s="15" t="s">
        <v>33</v>
      </c>
      <c r="AP3" s="15"/>
      <c r="AQ3" s="14" t="s">
        <v>11</v>
      </c>
      <c r="AR3" s="15" t="s">
        <v>29</v>
      </c>
      <c r="AS3" s="15" t="s">
        <v>30</v>
      </c>
      <c r="AT3" s="15" t="s">
        <v>31</v>
      </c>
      <c r="AU3" s="15" t="s">
        <v>32</v>
      </c>
      <c r="AV3" s="15" t="s">
        <v>33</v>
      </c>
      <c r="AW3" s="15"/>
    </row>
    <row r="4" spans="1:55" s="3" customFormat="1" x14ac:dyDescent="0.3">
      <c r="A4" s="5" t="s">
        <v>12</v>
      </c>
      <c r="B4" s="17">
        <v>54563</v>
      </c>
      <c r="C4" s="17">
        <v>52311</v>
      </c>
      <c r="D4" s="17">
        <v>66710</v>
      </c>
      <c r="E4" s="17">
        <v>89267</v>
      </c>
      <c r="F4" s="17">
        <v>92583</v>
      </c>
      <c r="H4" s="5" t="s">
        <v>12</v>
      </c>
      <c r="I4" s="17">
        <v>43360</v>
      </c>
      <c r="J4" s="17">
        <v>42934</v>
      </c>
      <c r="K4" s="17">
        <v>52462</v>
      </c>
      <c r="L4" s="17">
        <v>56931</v>
      </c>
      <c r="M4" s="17">
        <v>56060</v>
      </c>
      <c r="O4" s="5" t="s">
        <v>12</v>
      </c>
      <c r="P4" s="17">
        <v>7985</v>
      </c>
      <c r="Q4" s="17">
        <v>7750</v>
      </c>
      <c r="R4" s="17">
        <v>9895</v>
      </c>
      <c r="S4" s="17">
        <v>13134</v>
      </c>
      <c r="T4" s="17">
        <v>15543</v>
      </c>
      <c r="V4" s="5" t="s">
        <v>84</v>
      </c>
      <c r="W4" s="17">
        <v>16205</v>
      </c>
      <c r="X4" s="17">
        <v>19374</v>
      </c>
      <c r="Y4" s="17">
        <v>17873</v>
      </c>
      <c r="Z4" s="17">
        <v>17859</v>
      </c>
      <c r="AA4" s="17">
        <v>20407</v>
      </c>
      <c r="AC4" s="5" t="s">
        <v>12</v>
      </c>
      <c r="AD4" s="17">
        <v>4751</v>
      </c>
      <c r="AE4" s="17">
        <v>6470</v>
      </c>
      <c r="AF4" s="17">
        <v>7678</v>
      </c>
      <c r="AG4" s="17">
        <v>6351</v>
      </c>
      <c r="AH4" s="17">
        <v>8056</v>
      </c>
      <c r="AJ4" s="5" t="s">
        <v>12</v>
      </c>
      <c r="AK4" s="17">
        <v>6313</v>
      </c>
      <c r="AL4" s="17">
        <v>8045</v>
      </c>
      <c r="AM4" s="17">
        <v>9327</v>
      </c>
      <c r="AN4" s="17">
        <v>8230</v>
      </c>
      <c r="AO4" s="46">
        <v>8611</v>
      </c>
      <c r="AP4" s="16"/>
      <c r="AQ4" s="5" t="s">
        <v>12</v>
      </c>
      <c r="AR4" s="17">
        <v>39956</v>
      </c>
      <c r="AS4" s="17">
        <v>35779</v>
      </c>
      <c r="AT4" s="17">
        <v>44950</v>
      </c>
      <c r="AU4" s="17">
        <v>52375</v>
      </c>
      <c r="AV4" s="46">
        <v>47676</v>
      </c>
      <c r="AW4" s="16"/>
      <c r="AX4" s="37">
        <v>2020</v>
      </c>
      <c r="AY4" s="37">
        <v>2021</v>
      </c>
      <c r="AZ4" s="37">
        <v>2022</v>
      </c>
      <c r="BA4" s="37">
        <v>2023</v>
      </c>
      <c r="BB4" s="37">
        <v>2024</v>
      </c>
    </row>
    <row r="5" spans="1:55" x14ac:dyDescent="0.3">
      <c r="A5" s="5" t="s">
        <v>13</v>
      </c>
      <c r="B5" s="17">
        <v>65388</v>
      </c>
      <c r="C5" s="17">
        <v>69338</v>
      </c>
      <c r="D5" s="17">
        <v>61985</v>
      </c>
      <c r="E5" s="17">
        <v>68837</v>
      </c>
      <c r="F5" s="17">
        <v>84973</v>
      </c>
      <c r="H5" s="5" t="s">
        <v>13</v>
      </c>
      <c r="I5" s="17">
        <v>42168</v>
      </c>
      <c r="J5" s="17">
        <v>46179</v>
      </c>
      <c r="K5" s="17">
        <v>42488</v>
      </c>
      <c r="L5" s="17">
        <v>41650</v>
      </c>
      <c r="M5" s="17">
        <v>45827</v>
      </c>
      <c r="O5" s="5" t="s">
        <v>13</v>
      </c>
      <c r="P5" s="17">
        <v>28102</v>
      </c>
      <c r="Q5" s="17">
        <v>34630</v>
      </c>
      <c r="R5" s="17">
        <v>42967</v>
      </c>
      <c r="S5" s="17">
        <v>47381</v>
      </c>
      <c r="T5" s="17">
        <v>50406</v>
      </c>
      <c r="V5" s="5" t="s">
        <v>110</v>
      </c>
      <c r="W5" s="49">
        <f>10510-106</f>
        <v>10404</v>
      </c>
      <c r="X5" s="49">
        <f>11924-147</f>
        <v>11777</v>
      </c>
      <c r="Y5" s="49">
        <f>11488-151</f>
        <v>11337</v>
      </c>
      <c r="Z5" s="49">
        <f>11584-151</f>
        <v>11433</v>
      </c>
      <c r="AA5" s="49">
        <f>12833-291</f>
        <v>12542</v>
      </c>
      <c r="AC5" s="5" t="s">
        <v>13</v>
      </c>
      <c r="AD5" s="17">
        <v>39809</v>
      </c>
      <c r="AE5" s="17">
        <v>52869</v>
      </c>
      <c r="AF5" s="17">
        <v>39687</v>
      </c>
      <c r="AG5" s="17">
        <v>39903</v>
      </c>
      <c r="AH5" s="17">
        <v>45456</v>
      </c>
      <c r="AJ5" s="5" t="s">
        <v>13</v>
      </c>
      <c r="AK5" s="17">
        <v>41885</v>
      </c>
      <c r="AL5" s="17">
        <v>51710</v>
      </c>
      <c r="AM5" s="17">
        <v>44341</v>
      </c>
      <c r="AN5" s="17">
        <v>45913</v>
      </c>
      <c r="AO5" s="46">
        <v>53150</v>
      </c>
      <c r="AP5" s="16"/>
      <c r="AQ5" s="5" t="s">
        <v>13</v>
      </c>
      <c r="AR5" s="17">
        <v>34345</v>
      </c>
      <c r="AS5" s="17">
        <v>43387</v>
      </c>
      <c r="AT5" s="17">
        <v>29418</v>
      </c>
      <c r="AU5" s="17">
        <v>30222</v>
      </c>
      <c r="AV5" s="46">
        <v>34620</v>
      </c>
      <c r="AW5" s="16"/>
      <c r="AX5" s="38" cm="1">
        <f t="array" ref="AX5:BB5">B6:F6</f>
        <v>119951</v>
      </c>
      <c r="AY5" s="38">
        <v>121649</v>
      </c>
      <c r="AZ5" s="38">
        <v>128695</v>
      </c>
      <c r="BA5" s="38">
        <v>158104</v>
      </c>
      <c r="BB5" s="38">
        <v>177556</v>
      </c>
    </row>
    <row r="6" spans="1:55" x14ac:dyDescent="0.3">
      <c r="A6" s="18" t="s">
        <v>26</v>
      </c>
      <c r="B6" s="19">
        <f>B4+B5</f>
        <v>119951</v>
      </c>
      <c r="C6" s="19">
        <f t="shared" ref="C6:F6" si="0">C4+C5</f>
        <v>121649</v>
      </c>
      <c r="D6" s="19">
        <f t="shared" si="0"/>
        <v>128695</v>
      </c>
      <c r="E6" s="19">
        <f t="shared" si="0"/>
        <v>158104</v>
      </c>
      <c r="F6" s="19">
        <f t="shared" si="0"/>
        <v>177556</v>
      </c>
      <c r="G6" s="14"/>
      <c r="H6" s="18" t="s">
        <v>26</v>
      </c>
      <c r="I6" s="19">
        <f>I4+I5</f>
        <v>85528</v>
      </c>
      <c r="J6" s="19">
        <f t="shared" ref="J6:M6" si="1">J4+J5</f>
        <v>89113</v>
      </c>
      <c r="K6" s="19">
        <f t="shared" si="1"/>
        <v>94950</v>
      </c>
      <c r="L6" s="19">
        <f t="shared" si="1"/>
        <v>98581</v>
      </c>
      <c r="M6" s="19">
        <f t="shared" si="1"/>
        <v>101887</v>
      </c>
      <c r="N6" s="14"/>
      <c r="O6" s="18" t="s">
        <v>26</v>
      </c>
      <c r="P6" s="19">
        <f>P4+P5</f>
        <v>36087</v>
      </c>
      <c r="Q6" s="19">
        <f t="shared" ref="Q6:T6" si="2">Q4+Q5</f>
        <v>42380</v>
      </c>
      <c r="R6" s="19">
        <f t="shared" si="2"/>
        <v>52862</v>
      </c>
      <c r="S6" s="19">
        <f t="shared" si="2"/>
        <v>60515</v>
      </c>
      <c r="T6" s="19">
        <f t="shared" si="2"/>
        <v>65949</v>
      </c>
      <c r="U6" s="14"/>
      <c r="V6" s="18" t="s">
        <v>114</v>
      </c>
      <c r="W6" s="19">
        <f>W4-W5</f>
        <v>5801</v>
      </c>
      <c r="X6" s="19">
        <f t="shared" ref="X6:AA6" si="3">X4-X5</f>
        <v>7597</v>
      </c>
      <c r="Y6" s="19">
        <f t="shared" si="3"/>
        <v>6536</v>
      </c>
      <c r="Z6" s="19">
        <f t="shared" si="3"/>
        <v>6426</v>
      </c>
      <c r="AA6" s="19">
        <f t="shared" si="3"/>
        <v>7865</v>
      </c>
      <c r="AB6" s="14"/>
      <c r="AC6" s="18" t="s">
        <v>26</v>
      </c>
      <c r="AD6" s="19">
        <f>AD4+AD5</f>
        <v>44560</v>
      </c>
      <c r="AE6" s="19">
        <f t="shared" ref="AE6:AH6" si="4">AE4+AE5</f>
        <v>59339</v>
      </c>
      <c r="AF6" s="19">
        <f t="shared" si="4"/>
        <v>47365</v>
      </c>
      <c r="AG6" s="19">
        <f t="shared" si="4"/>
        <v>46254</v>
      </c>
      <c r="AH6" s="19">
        <f t="shared" si="4"/>
        <v>53512</v>
      </c>
      <c r="AI6" s="14"/>
      <c r="AJ6" s="18" t="s">
        <v>26</v>
      </c>
      <c r="AK6" s="19">
        <f>AK4+AK5</f>
        <v>48198</v>
      </c>
      <c r="AL6" s="19">
        <f t="shared" ref="AL6:AO6" si="5">AL4+AL5</f>
        <v>59755</v>
      </c>
      <c r="AM6" s="19">
        <f t="shared" si="5"/>
        <v>53668</v>
      </c>
      <c r="AN6" s="19">
        <f t="shared" si="5"/>
        <v>54143</v>
      </c>
      <c r="AO6" s="47">
        <f t="shared" si="5"/>
        <v>61761</v>
      </c>
      <c r="AP6" s="45"/>
      <c r="AQ6" s="18" t="s">
        <v>26</v>
      </c>
      <c r="AR6" s="19">
        <f>AR4+AR5</f>
        <v>74301</v>
      </c>
      <c r="AS6" s="19">
        <f t="shared" ref="AS6:AV6" si="6">AS4+AS5</f>
        <v>79166</v>
      </c>
      <c r="AT6" s="19">
        <f t="shared" si="6"/>
        <v>74368</v>
      </c>
      <c r="AU6" s="19">
        <f t="shared" si="6"/>
        <v>82597</v>
      </c>
      <c r="AV6" s="47">
        <f t="shared" si="6"/>
        <v>82296</v>
      </c>
      <c r="AW6" s="45"/>
      <c r="AX6" s="38" cm="1">
        <f t="array" ref="AX6:BB6">B8:F8</f>
        <v>53295</v>
      </c>
      <c r="AY6" s="38">
        <v>50306</v>
      </c>
      <c r="AZ6" s="38">
        <v>52555</v>
      </c>
      <c r="BA6" s="38">
        <v>70932</v>
      </c>
      <c r="BB6" s="38">
        <v>85759</v>
      </c>
    </row>
    <row r="7" spans="1:55" x14ac:dyDescent="0.3">
      <c r="A7" s="5" t="s">
        <v>14</v>
      </c>
      <c r="B7" s="17">
        <v>66656</v>
      </c>
      <c r="C7" s="17">
        <v>71343</v>
      </c>
      <c r="D7" s="17">
        <v>76140</v>
      </c>
      <c r="E7" s="17">
        <v>87172</v>
      </c>
      <c r="F7" s="17">
        <v>91797</v>
      </c>
      <c r="H7" s="5" t="s">
        <v>14</v>
      </c>
      <c r="I7" s="17">
        <v>55213</v>
      </c>
      <c r="J7" s="17">
        <v>59731</v>
      </c>
      <c r="K7" s="17">
        <v>61438</v>
      </c>
      <c r="L7" s="17">
        <v>65845</v>
      </c>
      <c r="M7" s="17">
        <v>66812</v>
      </c>
      <c r="O7" s="5" t="s">
        <v>14</v>
      </c>
      <c r="P7" s="17">
        <v>27061</v>
      </c>
      <c r="Q7" s="17">
        <v>33110</v>
      </c>
      <c r="R7" s="17">
        <v>41095</v>
      </c>
      <c r="S7" s="17">
        <v>45079</v>
      </c>
      <c r="T7" s="17">
        <v>47869</v>
      </c>
      <c r="V7" s="5" t="s">
        <v>104</v>
      </c>
      <c r="W7" s="49">
        <v>106</v>
      </c>
      <c r="X7" s="49">
        <v>147</v>
      </c>
      <c r="Y7" s="49">
        <v>151</v>
      </c>
      <c r="Z7" s="49">
        <v>151</v>
      </c>
      <c r="AA7" s="49">
        <v>291</v>
      </c>
      <c r="AC7" s="5" t="s">
        <v>14</v>
      </c>
      <c r="AD7" s="17">
        <v>28983</v>
      </c>
      <c r="AE7" s="17">
        <v>31938</v>
      </c>
      <c r="AF7" s="17">
        <v>31164</v>
      </c>
      <c r="AG7" s="17">
        <v>34487</v>
      </c>
      <c r="AH7" s="17">
        <v>33767</v>
      </c>
      <c r="AJ7" s="5" t="s">
        <v>14</v>
      </c>
      <c r="AK7" s="17">
        <v>33780</v>
      </c>
      <c r="AL7" s="17">
        <v>40083</v>
      </c>
      <c r="AM7" s="17">
        <v>39299</v>
      </c>
      <c r="AN7" s="17">
        <v>41798</v>
      </c>
      <c r="AO7" s="46">
        <v>43901</v>
      </c>
      <c r="AP7" s="16"/>
      <c r="AQ7" s="5" t="s">
        <v>14</v>
      </c>
      <c r="AR7" s="17">
        <v>56131</v>
      </c>
      <c r="AS7" s="17">
        <v>53341</v>
      </c>
      <c r="AT7" s="17">
        <v>53897</v>
      </c>
      <c r="AU7" s="17">
        <v>53483</v>
      </c>
      <c r="AV7" s="46">
        <v>54065</v>
      </c>
      <c r="AW7" s="16"/>
      <c r="AX7" s="38" cm="1">
        <f t="array" ref="AX7:BB7">B11:F11</f>
        <v>28789.460000000003</v>
      </c>
      <c r="AY7" s="38">
        <v>48364.344000000005</v>
      </c>
      <c r="AZ7" s="38">
        <v>37486.792000000001</v>
      </c>
      <c r="BA7" s="38">
        <v>50028.944000000003</v>
      </c>
      <c r="BB7" s="38">
        <v>60965.772000000004</v>
      </c>
    </row>
    <row r="8" spans="1:55" x14ac:dyDescent="0.3">
      <c r="A8" s="18" t="s">
        <v>27</v>
      </c>
      <c r="B8" s="19">
        <f>B6-B7</f>
        <v>53295</v>
      </c>
      <c r="C8" s="19">
        <f t="shared" ref="C8:F8" si="7">C6-C7</f>
        <v>50306</v>
      </c>
      <c r="D8" s="19">
        <f t="shared" si="7"/>
        <v>52555</v>
      </c>
      <c r="E8" s="19">
        <f t="shared" si="7"/>
        <v>70932</v>
      </c>
      <c r="F8" s="19">
        <f t="shared" si="7"/>
        <v>85759</v>
      </c>
      <c r="G8" s="14"/>
      <c r="H8" s="18" t="s">
        <v>27</v>
      </c>
      <c r="I8" s="19">
        <f>I6-I7</f>
        <v>30315</v>
      </c>
      <c r="J8" s="19">
        <f t="shared" ref="J8:M8" si="8">J6-J7</f>
        <v>29382</v>
      </c>
      <c r="K8" s="19">
        <f t="shared" si="8"/>
        <v>33512</v>
      </c>
      <c r="L8" s="19">
        <f t="shared" si="8"/>
        <v>32736</v>
      </c>
      <c r="M8" s="19">
        <f t="shared" si="8"/>
        <v>35075</v>
      </c>
      <c r="N8" s="14"/>
      <c r="O8" s="18" t="s">
        <v>27</v>
      </c>
      <c r="P8" s="19">
        <f>P6-P7</f>
        <v>9026</v>
      </c>
      <c r="Q8" s="19">
        <f t="shared" ref="Q8:T8" si="9">Q6-Q7</f>
        <v>9270</v>
      </c>
      <c r="R8" s="19">
        <f t="shared" si="9"/>
        <v>11767</v>
      </c>
      <c r="S8" s="19">
        <f t="shared" si="9"/>
        <v>15436</v>
      </c>
      <c r="T8" s="19">
        <f t="shared" si="9"/>
        <v>18080</v>
      </c>
      <c r="U8" s="14"/>
      <c r="V8" s="5" t="s">
        <v>111</v>
      </c>
      <c r="W8" s="49">
        <v>205</v>
      </c>
      <c r="X8" s="49">
        <v>205</v>
      </c>
      <c r="Y8" s="49">
        <v>212</v>
      </c>
      <c r="Z8" s="49">
        <v>292</v>
      </c>
      <c r="AA8" s="49">
        <v>538</v>
      </c>
      <c r="AB8" s="14"/>
      <c r="AC8" s="18" t="s">
        <v>27</v>
      </c>
      <c r="AD8" s="19">
        <f>AD6-AD7</f>
        <v>15577</v>
      </c>
      <c r="AE8" s="19">
        <f t="shared" ref="AE8:AH8" si="10">AE6-AE7</f>
        <v>27401</v>
      </c>
      <c r="AF8" s="19">
        <f t="shared" si="10"/>
        <v>16201</v>
      </c>
      <c r="AG8" s="19">
        <f t="shared" si="10"/>
        <v>11767</v>
      </c>
      <c r="AH8" s="19">
        <f t="shared" si="10"/>
        <v>19745</v>
      </c>
      <c r="AI8" s="14"/>
      <c r="AJ8" s="18" t="s">
        <v>27</v>
      </c>
      <c r="AK8" s="19">
        <f>AK6-AK7</f>
        <v>14418</v>
      </c>
      <c r="AL8" s="19">
        <f t="shared" ref="AL8:AO8" si="11">AL6-AL7</f>
        <v>19672</v>
      </c>
      <c r="AM8" s="19">
        <f t="shared" si="11"/>
        <v>14369</v>
      </c>
      <c r="AN8" s="19">
        <f t="shared" si="11"/>
        <v>12345</v>
      </c>
      <c r="AO8" s="47">
        <f t="shared" si="11"/>
        <v>17860</v>
      </c>
      <c r="AP8" s="45"/>
      <c r="AQ8" s="18" t="s">
        <v>27</v>
      </c>
      <c r="AR8" s="19">
        <f>AR6-AR7</f>
        <v>18170</v>
      </c>
      <c r="AS8" s="19">
        <f t="shared" ref="AS8:AV8" si="12">AS6-AS7</f>
        <v>25825</v>
      </c>
      <c r="AT8" s="19">
        <f t="shared" si="12"/>
        <v>20471</v>
      </c>
      <c r="AU8" s="19">
        <f t="shared" si="12"/>
        <v>29114</v>
      </c>
      <c r="AV8" s="47">
        <f t="shared" si="12"/>
        <v>28231</v>
      </c>
      <c r="AW8" s="45"/>
      <c r="AX8" s="38" cm="1">
        <f t="array" ref="AX8:BB8">B15:F15</f>
        <v>984525</v>
      </c>
      <c r="AY8" s="38">
        <v>1061328</v>
      </c>
      <c r="AZ8" s="38">
        <v>1115921</v>
      </c>
      <c r="BA8" s="38">
        <v>1301286</v>
      </c>
      <c r="BB8" s="38">
        <v>1323643</v>
      </c>
    </row>
    <row r="9" spans="1:55" x14ac:dyDescent="0.3">
      <c r="A9" s="5" t="s">
        <v>15</v>
      </c>
      <c r="B9" s="17">
        <v>17840</v>
      </c>
      <c r="C9" s="17">
        <v>-9256</v>
      </c>
      <c r="D9" s="17">
        <v>6389</v>
      </c>
      <c r="E9" s="17">
        <v>9320</v>
      </c>
      <c r="F9" s="17">
        <v>10678</v>
      </c>
      <c r="H9" s="5" t="s">
        <v>15</v>
      </c>
      <c r="I9" s="17">
        <v>11320</v>
      </c>
      <c r="J9" s="17">
        <v>-4594</v>
      </c>
      <c r="K9" s="17">
        <v>2543</v>
      </c>
      <c r="L9" s="17">
        <v>4394</v>
      </c>
      <c r="M9" s="17">
        <v>5821</v>
      </c>
      <c r="O9" s="5" t="s">
        <v>15</v>
      </c>
      <c r="P9" s="17">
        <v>4730</v>
      </c>
      <c r="Q9" s="17">
        <v>-1419</v>
      </c>
      <c r="R9" s="17">
        <v>2182</v>
      </c>
      <c r="S9" s="17">
        <v>4923</v>
      </c>
      <c r="T9" s="17">
        <v>5185</v>
      </c>
      <c r="V9" s="5" t="s">
        <v>119</v>
      </c>
      <c r="W9" s="49">
        <f>972+62</f>
        <v>1034</v>
      </c>
      <c r="X9" s="49">
        <f>841+87</f>
        <v>928</v>
      </c>
      <c r="Y9" s="49">
        <f>-35+152</f>
        <v>117</v>
      </c>
      <c r="Z9" s="49">
        <f>699+473</f>
        <v>1172</v>
      </c>
      <c r="AA9" s="49">
        <f>492+767</f>
        <v>1259</v>
      </c>
      <c r="AC9" s="5" t="s">
        <v>15</v>
      </c>
      <c r="AD9" s="17">
        <v>3098</v>
      </c>
      <c r="AE9" s="17">
        <v>357</v>
      </c>
      <c r="AF9" s="17">
        <v>2715</v>
      </c>
      <c r="AG9" s="17">
        <v>1028</v>
      </c>
      <c r="AH9" s="17">
        <v>1348</v>
      </c>
      <c r="AJ9" s="5" t="s">
        <v>15</v>
      </c>
      <c r="AK9" s="17">
        <v>761</v>
      </c>
      <c r="AL9" s="17">
        <v>4</v>
      </c>
      <c r="AM9" s="17">
        <v>280</v>
      </c>
      <c r="AN9" s="17">
        <v>532</v>
      </c>
      <c r="AO9" s="46">
        <v>264</v>
      </c>
      <c r="AP9" s="16"/>
      <c r="AQ9" s="5" t="s">
        <v>15</v>
      </c>
      <c r="AR9" s="17">
        <v>14129</v>
      </c>
      <c r="AS9" s="17">
        <v>-4155</v>
      </c>
      <c r="AT9" s="17">
        <v>1534</v>
      </c>
      <c r="AU9" s="17">
        <v>5399</v>
      </c>
      <c r="AV9" s="46">
        <v>4334</v>
      </c>
      <c r="AW9" s="16"/>
    </row>
    <row r="10" spans="1:55" s="14" customFormat="1" x14ac:dyDescent="0.3">
      <c r="A10" s="18" t="s">
        <v>28</v>
      </c>
      <c r="B10" s="19">
        <f>B8-B9</f>
        <v>35455</v>
      </c>
      <c r="C10" s="19">
        <f t="shared" ref="C10:F10" si="13">C8-C9</f>
        <v>59562</v>
      </c>
      <c r="D10" s="19">
        <f t="shared" si="13"/>
        <v>46166</v>
      </c>
      <c r="E10" s="19">
        <f t="shared" si="13"/>
        <v>61612</v>
      </c>
      <c r="F10" s="19">
        <f t="shared" si="13"/>
        <v>75081</v>
      </c>
      <c r="H10" s="18" t="s">
        <v>28</v>
      </c>
      <c r="I10" s="19">
        <f>I8-I9</f>
        <v>18995</v>
      </c>
      <c r="J10" s="19">
        <f t="shared" ref="J10:M10" si="14">J8-J9</f>
        <v>33976</v>
      </c>
      <c r="K10" s="19">
        <f t="shared" si="14"/>
        <v>30969</v>
      </c>
      <c r="L10" s="19">
        <f t="shared" si="14"/>
        <v>28342</v>
      </c>
      <c r="M10" s="19">
        <f t="shared" si="14"/>
        <v>29254</v>
      </c>
      <c r="O10" s="18" t="s">
        <v>28</v>
      </c>
      <c r="P10" s="19">
        <f>P8-P9</f>
        <v>4296</v>
      </c>
      <c r="Q10" s="19">
        <f t="shared" ref="Q10:T10" si="15">Q8-Q9</f>
        <v>10689</v>
      </c>
      <c r="R10" s="19">
        <f t="shared" si="15"/>
        <v>9585</v>
      </c>
      <c r="S10" s="19">
        <f t="shared" si="15"/>
        <v>10513</v>
      </c>
      <c r="T10" s="19">
        <f t="shared" si="15"/>
        <v>12895</v>
      </c>
      <c r="V10" s="25" t="s">
        <v>112</v>
      </c>
      <c r="W10" s="52">
        <v>1238</v>
      </c>
      <c r="X10" s="52">
        <v>1968</v>
      </c>
      <c r="Y10" s="52">
        <v>1296</v>
      </c>
      <c r="Z10" s="52">
        <v>1479</v>
      </c>
      <c r="AA10" s="52">
        <v>1783</v>
      </c>
      <c r="AC10" s="18" t="s">
        <v>28</v>
      </c>
      <c r="AD10" s="19">
        <f>AD8-AD9</f>
        <v>12479</v>
      </c>
      <c r="AE10" s="19">
        <f t="shared" ref="AE10:AH10" si="16">AE8-AE9</f>
        <v>27044</v>
      </c>
      <c r="AF10" s="19">
        <f t="shared" si="16"/>
        <v>13486</v>
      </c>
      <c r="AG10" s="19">
        <f t="shared" si="16"/>
        <v>10739</v>
      </c>
      <c r="AH10" s="19">
        <f t="shared" si="16"/>
        <v>18397</v>
      </c>
      <c r="AJ10" s="18" t="s">
        <v>28</v>
      </c>
      <c r="AK10" s="19">
        <f>AK8-AK9</f>
        <v>13657</v>
      </c>
      <c r="AL10" s="19">
        <f t="shared" ref="AL10:AO10" si="17">AL8-AL9</f>
        <v>19668</v>
      </c>
      <c r="AM10" s="19">
        <f t="shared" si="17"/>
        <v>14089</v>
      </c>
      <c r="AN10" s="19">
        <f t="shared" si="17"/>
        <v>11813</v>
      </c>
      <c r="AO10" s="47">
        <f t="shared" si="17"/>
        <v>17596</v>
      </c>
      <c r="AP10" s="45"/>
      <c r="AQ10" s="18" t="s">
        <v>28</v>
      </c>
      <c r="AR10" s="19">
        <f>AR8-AR9</f>
        <v>4041</v>
      </c>
      <c r="AS10" s="19">
        <f t="shared" ref="AS10:AV10" si="18">AS8-AS9</f>
        <v>29980</v>
      </c>
      <c r="AT10" s="19">
        <f t="shared" si="18"/>
        <v>18937</v>
      </c>
      <c r="AU10" s="19">
        <f t="shared" si="18"/>
        <v>23715</v>
      </c>
      <c r="AV10" s="47">
        <f t="shared" si="18"/>
        <v>23897</v>
      </c>
      <c r="AW10" s="45"/>
      <c r="AX10" s="37">
        <v>2020</v>
      </c>
      <c r="AY10" s="37">
        <v>2021</v>
      </c>
      <c r="AZ10" s="37">
        <v>2022</v>
      </c>
      <c r="BA10" s="37">
        <v>2023</v>
      </c>
      <c r="BB10" s="37">
        <v>2024</v>
      </c>
    </row>
    <row r="11" spans="1:55" s="14" customFormat="1" x14ac:dyDescent="0.3">
      <c r="A11" s="18" t="s">
        <v>16</v>
      </c>
      <c r="B11" s="19">
        <f>B10*(1-0.188)</f>
        <v>28789.460000000003</v>
      </c>
      <c r="C11" s="19">
        <f t="shared" ref="C11:F11" si="19">C10*(1-0.188)</f>
        <v>48364.344000000005</v>
      </c>
      <c r="D11" s="19">
        <f t="shared" si="19"/>
        <v>37486.792000000001</v>
      </c>
      <c r="E11" s="19">
        <f t="shared" si="19"/>
        <v>50028.944000000003</v>
      </c>
      <c r="F11" s="19">
        <f t="shared" si="19"/>
        <v>60965.772000000004</v>
      </c>
      <c r="H11" s="18" t="s">
        <v>16</v>
      </c>
      <c r="I11" s="19">
        <v>17894</v>
      </c>
      <c r="J11" s="19">
        <v>31978</v>
      </c>
      <c r="K11" s="19">
        <v>27528</v>
      </c>
      <c r="L11" s="19">
        <v>26515</v>
      </c>
      <c r="M11" s="19">
        <v>27132</v>
      </c>
      <c r="O11" s="18" t="s">
        <v>16</v>
      </c>
      <c r="P11" s="19">
        <f>P10*(1-0.2703)</f>
        <v>3134.7912000000001</v>
      </c>
      <c r="Q11" s="19">
        <f t="shared" ref="Q11:T11" si="20">Q10*(1-0.188)</f>
        <v>8679.4680000000008</v>
      </c>
      <c r="R11" s="19">
        <f t="shared" si="20"/>
        <v>7783.02</v>
      </c>
      <c r="S11" s="19">
        <f t="shared" si="20"/>
        <v>8536.5560000000005</v>
      </c>
      <c r="T11" s="19">
        <f t="shared" si="20"/>
        <v>10470.740000000002</v>
      </c>
      <c r="V11" s="50" t="s">
        <v>113</v>
      </c>
      <c r="W11" s="51">
        <f>W6-W7-W8-W10+W9</f>
        <v>5286</v>
      </c>
      <c r="X11" s="51">
        <f t="shared" ref="X11:AA11" si="21">X6-X7-X8-X10+X9</f>
        <v>6205</v>
      </c>
      <c r="Y11" s="51">
        <f t="shared" si="21"/>
        <v>4994</v>
      </c>
      <c r="Z11" s="51">
        <f t="shared" si="21"/>
        <v>5676</v>
      </c>
      <c r="AA11" s="51">
        <f t="shared" si="21"/>
        <v>6512</v>
      </c>
      <c r="AC11" s="18" t="s">
        <v>16</v>
      </c>
      <c r="AD11" s="19">
        <f>AD10*(1-0.242)</f>
        <v>9459.0820000000003</v>
      </c>
      <c r="AE11" s="19">
        <f t="shared" ref="AE11:AH11" si="22">AE10*(1-0.188)</f>
        <v>21959.728000000003</v>
      </c>
      <c r="AF11" s="19">
        <f t="shared" si="22"/>
        <v>10950.632000000001</v>
      </c>
      <c r="AG11" s="19">
        <f t="shared" si="22"/>
        <v>8720.0680000000011</v>
      </c>
      <c r="AH11" s="19">
        <f t="shared" si="22"/>
        <v>14938.364000000001</v>
      </c>
      <c r="AJ11" s="18" t="s">
        <v>16</v>
      </c>
      <c r="AK11" s="19">
        <f>AK10*(1-0.2246)</f>
        <v>10589.6378</v>
      </c>
      <c r="AL11" s="19">
        <f t="shared" ref="AL11:AO11" si="23">AL10*(1-0.2246)</f>
        <v>15250.5672</v>
      </c>
      <c r="AM11" s="19">
        <f t="shared" si="23"/>
        <v>10924.6106</v>
      </c>
      <c r="AN11" s="19">
        <f t="shared" si="23"/>
        <v>9159.8001999999997</v>
      </c>
      <c r="AO11" s="19">
        <f t="shared" si="23"/>
        <v>13643.938399999999</v>
      </c>
      <c r="AP11" s="45"/>
      <c r="AQ11" s="18" t="s">
        <v>16</v>
      </c>
      <c r="AR11" s="19">
        <v>3377</v>
      </c>
      <c r="AS11" s="19">
        <v>20818</v>
      </c>
      <c r="AT11" s="19">
        <v>13677</v>
      </c>
      <c r="AU11" s="19">
        <v>19142</v>
      </c>
      <c r="AV11" s="47">
        <v>19722</v>
      </c>
      <c r="AW11" s="45"/>
      <c r="AX11" s="39" cm="1">
        <f t="array" ref="AX11:BB11">I6:M6</f>
        <v>85528</v>
      </c>
      <c r="AY11" s="39">
        <v>89113</v>
      </c>
      <c r="AZ11" s="39">
        <v>94950</v>
      </c>
      <c r="BA11" s="39">
        <v>98581</v>
      </c>
      <c r="BB11" s="39">
        <v>101887</v>
      </c>
    </row>
    <row r="12" spans="1:55" x14ac:dyDescent="0.3">
      <c r="P12" s="13"/>
      <c r="Q12" s="13"/>
      <c r="R12" s="13"/>
      <c r="S12" s="13"/>
      <c r="T12" s="13"/>
      <c r="W12" s="13"/>
      <c r="X12" s="13"/>
      <c r="Y12" s="13"/>
      <c r="Z12" s="13"/>
      <c r="AA12" s="13"/>
      <c r="AD12" s="13"/>
      <c r="AE12" s="13"/>
      <c r="AF12" s="13"/>
      <c r="AG12" s="13"/>
      <c r="AH12" s="13"/>
      <c r="AK12" s="13"/>
      <c r="AL12" s="13"/>
      <c r="AM12" s="13"/>
      <c r="AN12" s="13"/>
      <c r="AO12" s="13"/>
      <c r="AP12" s="13"/>
      <c r="AQ12" s="1"/>
      <c r="AR12" s="13"/>
      <c r="AS12" s="13"/>
      <c r="AT12" s="13"/>
      <c r="AU12" s="13"/>
      <c r="AV12" s="13"/>
      <c r="AW12" s="13"/>
      <c r="AX12" s="39" cm="1">
        <f t="array" ref="AX12:BB12">I8:M8</f>
        <v>30315</v>
      </c>
      <c r="AY12" s="39">
        <v>29382</v>
      </c>
      <c r="AZ12" s="39">
        <v>33512</v>
      </c>
      <c r="BA12" s="39">
        <v>32736</v>
      </c>
      <c r="BB12" s="39">
        <v>35075</v>
      </c>
    </row>
    <row r="13" spans="1:55" x14ac:dyDescent="0.3">
      <c r="A13" s="14" t="s">
        <v>17</v>
      </c>
      <c r="H13" s="14" t="s">
        <v>17</v>
      </c>
      <c r="O13" s="14" t="s">
        <v>17</v>
      </c>
      <c r="P13" s="13"/>
      <c r="Q13" s="13"/>
      <c r="R13" s="13"/>
      <c r="S13" s="13"/>
      <c r="T13" s="13"/>
      <c r="V13" s="14" t="s">
        <v>17</v>
      </c>
      <c r="W13" s="13"/>
      <c r="X13" s="13"/>
      <c r="Y13" s="13"/>
      <c r="Z13" s="13"/>
      <c r="AA13" s="13"/>
      <c r="AC13" s="14" t="s">
        <v>17</v>
      </c>
      <c r="AD13" s="13"/>
      <c r="AE13" s="13"/>
      <c r="AF13" s="13"/>
      <c r="AG13" s="13"/>
      <c r="AH13" s="13"/>
      <c r="AJ13" s="14" t="s">
        <v>17</v>
      </c>
      <c r="AK13" s="13"/>
      <c r="AL13" s="13"/>
      <c r="AM13" s="13"/>
      <c r="AN13" s="13"/>
      <c r="AO13" s="13"/>
      <c r="AP13" s="13"/>
      <c r="AQ13" s="14" t="s">
        <v>17</v>
      </c>
      <c r="AR13" s="13"/>
      <c r="AS13" s="13"/>
      <c r="AT13" s="13"/>
      <c r="AU13" s="13"/>
      <c r="AV13" s="13"/>
      <c r="AW13" s="13"/>
      <c r="AX13" s="39" cm="1">
        <f t="array" ref="AX13:BB13">I11:M11</f>
        <v>17894</v>
      </c>
      <c r="AY13" s="39">
        <v>31978</v>
      </c>
      <c r="AZ13" s="39">
        <v>27528</v>
      </c>
      <c r="BA13" s="39">
        <v>26515</v>
      </c>
      <c r="BB13" s="39">
        <v>27132</v>
      </c>
    </row>
    <row r="14" spans="1:55" x14ac:dyDescent="0.3">
      <c r="A14" s="1" t="s">
        <v>11</v>
      </c>
      <c r="B14" s="13" t="s">
        <v>29</v>
      </c>
      <c r="C14" s="13" t="s">
        <v>30</v>
      </c>
      <c r="D14" s="13" t="s">
        <v>31</v>
      </c>
      <c r="E14" s="13" t="s">
        <v>32</v>
      </c>
      <c r="F14" s="13" t="s">
        <v>33</v>
      </c>
      <c r="H14" s="1" t="s">
        <v>11</v>
      </c>
      <c r="I14" s="13" t="s">
        <v>29</v>
      </c>
      <c r="J14" s="13" t="s">
        <v>30</v>
      </c>
      <c r="K14" s="13" t="s">
        <v>31</v>
      </c>
      <c r="L14" s="13" t="s">
        <v>32</v>
      </c>
      <c r="M14" s="13" t="s">
        <v>33</v>
      </c>
      <c r="O14" s="1" t="s">
        <v>11</v>
      </c>
      <c r="P14" s="13" t="s">
        <v>29</v>
      </c>
      <c r="Q14" s="13" t="s">
        <v>30</v>
      </c>
      <c r="R14" s="13" t="s">
        <v>31</v>
      </c>
      <c r="S14" s="13" t="s">
        <v>32</v>
      </c>
      <c r="T14" s="13" t="s">
        <v>33</v>
      </c>
      <c r="V14" s="1" t="s">
        <v>11</v>
      </c>
      <c r="W14" s="13" t="s">
        <v>29</v>
      </c>
      <c r="X14" s="13" t="s">
        <v>30</v>
      </c>
      <c r="Y14" s="13" t="s">
        <v>31</v>
      </c>
      <c r="Z14" s="13" t="s">
        <v>32</v>
      </c>
      <c r="AA14" s="13" t="s">
        <v>33</v>
      </c>
      <c r="AC14" s="1" t="s">
        <v>11</v>
      </c>
      <c r="AD14" s="13" t="s">
        <v>29</v>
      </c>
      <c r="AE14" s="13" t="s">
        <v>30</v>
      </c>
      <c r="AF14" s="13" t="s">
        <v>31</v>
      </c>
      <c r="AG14" s="13" t="s">
        <v>32</v>
      </c>
      <c r="AH14" s="13" t="s">
        <v>33</v>
      </c>
      <c r="AJ14" s="1" t="s">
        <v>11</v>
      </c>
      <c r="AK14" s="13" t="s">
        <v>29</v>
      </c>
      <c r="AL14" s="13" t="s">
        <v>30</v>
      </c>
      <c r="AM14" s="13" t="s">
        <v>31</v>
      </c>
      <c r="AN14" s="13" t="s">
        <v>32</v>
      </c>
      <c r="AO14" s="13" t="s">
        <v>33</v>
      </c>
      <c r="AP14" s="13"/>
      <c r="AQ14" s="1" t="s">
        <v>11</v>
      </c>
      <c r="AR14" s="13" t="s">
        <v>29</v>
      </c>
      <c r="AS14" s="13" t="s">
        <v>30</v>
      </c>
      <c r="AT14" s="13" t="s">
        <v>31</v>
      </c>
      <c r="AU14" s="13" t="s">
        <v>32</v>
      </c>
      <c r="AV14" s="13" t="s">
        <v>33</v>
      </c>
      <c r="AW14" s="13"/>
      <c r="AX14" s="39" cm="1">
        <f t="array" ref="AX14:BB14">I15:M15</f>
        <v>982467</v>
      </c>
      <c r="AY14" s="39">
        <v>920401</v>
      </c>
      <c r="AZ14" s="39">
        <v>1016782</v>
      </c>
      <c r="BA14" s="39">
        <v>1046256</v>
      </c>
      <c r="BB14" s="39">
        <v>1060081</v>
      </c>
    </row>
    <row r="15" spans="1:55" x14ac:dyDescent="0.3">
      <c r="A15" s="5" t="s">
        <v>18</v>
      </c>
      <c r="B15" s="17">
        <v>984525</v>
      </c>
      <c r="C15" s="17">
        <v>1061328</v>
      </c>
      <c r="D15" s="17">
        <v>1115921</v>
      </c>
      <c r="E15" s="17">
        <v>1301286</v>
      </c>
      <c r="F15" s="17">
        <v>1323643</v>
      </c>
      <c r="H15" s="5" t="s">
        <v>18</v>
      </c>
      <c r="I15" s="17">
        <v>982467</v>
      </c>
      <c r="J15" s="17">
        <v>920401</v>
      </c>
      <c r="K15" s="17">
        <v>1016782</v>
      </c>
      <c r="L15" s="17">
        <v>1046256</v>
      </c>
      <c r="M15" s="17">
        <v>1060081</v>
      </c>
      <c r="O15" s="5" t="s">
        <v>18</v>
      </c>
      <c r="P15" s="17">
        <f>43434+68029+2614</f>
        <v>114077</v>
      </c>
      <c r="Q15" s="17">
        <f>53581+85257+2859</f>
        <v>141697</v>
      </c>
      <c r="R15" s="17">
        <f>57384+104217+5357</f>
        <v>166958</v>
      </c>
      <c r="S15" s="17">
        <f>60237+120877</f>
        <v>181114</v>
      </c>
      <c r="T15" s="17">
        <f>59240+133995+758</f>
        <v>193993</v>
      </c>
      <c r="V15" s="5" t="s">
        <v>105</v>
      </c>
      <c r="W15" s="17">
        <v>176982</v>
      </c>
      <c r="X15" s="17">
        <v>152648</v>
      </c>
      <c r="Y15" s="17">
        <v>117628</v>
      </c>
      <c r="Z15" s="17">
        <v>123211</v>
      </c>
      <c r="AA15" s="17">
        <v>138615</v>
      </c>
      <c r="AC15" s="5" t="s">
        <v>18</v>
      </c>
      <c r="AD15" s="17">
        <v>116115</v>
      </c>
      <c r="AE15" s="17">
        <v>158562</v>
      </c>
      <c r="AF15" s="17">
        <v>179286</v>
      </c>
      <c r="AG15" s="17">
        <v>183358</v>
      </c>
      <c r="AH15" s="17">
        <v>196200</v>
      </c>
      <c r="AJ15" s="5" t="s">
        <v>18</v>
      </c>
      <c r="AK15" s="17">
        <f>137784+12813</f>
        <v>150597</v>
      </c>
      <c r="AL15" s="17">
        <f>174302+13832</f>
        <v>188134</v>
      </c>
      <c r="AM15" s="17">
        <f>198997+14788</f>
        <v>213785</v>
      </c>
      <c r="AN15" s="17">
        <f>203385+15255</f>
        <v>218640</v>
      </c>
      <c r="AO15" s="46">
        <f>225834+12319</f>
        <v>238153</v>
      </c>
      <c r="AP15" s="16"/>
      <c r="AQ15" s="5" t="s">
        <v>18</v>
      </c>
      <c r="AR15" s="17">
        <v>949868</v>
      </c>
      <c r="AS15" s="17">
        <v>911162</v>
      </c>
      <c r="AT15" s="17">
        <v>964779</v>
      </c>
      <c r="AU15" s="17">
        <v>963272</v>
      </c>
      <c r="AV15" s="46">
        <v>965429</v>
      </c>
      <c r="AW15" s="16"/>
    </row>
    <row r="16" spans="1:55" x14ac:dyDescent="0.3">
      <c r="A16" s="5" t="s">
        <v>19</v>
      </c>
      <c r="B16" s="17">
        <v>2144257</v>
      </c>
      <c r="C16" s="17">
        <v>2462303</v>
      </c>
      <c r="D16" s="17">
        <v>2340179</v>
      </c>
      <c r="E16" s="17">
        <v>2400688</v>
      </c>
      <c r="F16" s="17">
        <v>2406032</v>
      </c>
      <c r="H16" s="5" t="s">
        <v>19</v>
      </c>
      <c r="I16" s="17">
        <v>1632998</v>
      </c>
      <c r="J16" s="17">
        <v>1914286</v>
      </c>
      <c r="K16" s="17">
        <v>1986158</v>
      </c>
      <c r="L16" s="17">
        <v>1887541</v>
      </c>
      <c r="M16" s="17">
        <v>1924106</v>
      </c>
      <c r="O16" s="5" t="s">
        <v>19</v>
      </c>
      <c r="P16" s="17">
        <v>86875</v>
      </c>
      <c r="Q16" s="17">
        <v>84382</v>
      </c>
      <c r="R16" s="17">
        <v>110239</v>
      </c>
      <c r="S16" s="17">
        <v>129144</v>
      </c>
      <c r="T16" s="17">
        <v>139413</v>
      </c>
      <c r="V16" s="5" t="s">
        <v>106</v>
      </c>
      <c r="W16" s="17">
        <f>2499+1028</f>
        <v>3527</v>
      </c>
      <c r="X16" s="17">
        <f>2951+1397</f>
        <v>4348</v>
      </c>
      <c r="Y16" s="17">
        <f>2272+1294</f>
        <v>3566</v>
      </c>
      <c r="Z16" s="17">
        <f>2393+1240</f>
        <v>3633</v>
      </c>
      <c r="AA16" s="17">
        <f>2964+1536</f>
        <v>4500</v>
      </c>
      <c r="AC16" s="5" t="s">
        <v>19</v>
      </c>
      <c r="AD16" s="17">
        <v>259962</v>
      </c>
      <c r="AE16" s="17">
        <v>364227</v>
      </c>
      <c r="AF16" s="17">
        <v>386665</v>
      </c>
      <c r="AG16" s="17">
        <v>428417</v>
      </c>
      <c r="AH16" s="17">
        <v>433013</v>
      </c>
      <c r="AJ16" s="5" t="s">
        <v>19</v>
      </c>
      <c r="AK16" s="17">
        <v>310782</v>
      </c>
      <c r="AL16" s="17">
        <v>347574</v>
      </c>
      <c r="AM16" s="17">
        <v>356646</v>
      </c>
      <c r="AN16" s="17">
        <v>351804</v>
      </c>
      <c r="AO16" s="46">
        <v>376007</v>
      </c>
      <c r="AP16" s="16"/>
      <c r="AQ16" s="5" t="s">
        <v>19</v>
      </c>
      <c r="AR16" s="17">
        <v>1397062</v>
      </c>
      <c r="AS16" s="17">
        <v>1463934</v>
      </c>
      <c r="AT16" s="17">
        <v>1442249</v>
      </c>
      <c r="AU16" s="17">
        <v>1426215</v>
      </c>
      <c r="AV16" s="46">
        <v>1418562</v>
      </c>
      <c r="AW16" s="16"/>
      <c r="AX16" s="40">
        <v>2025</v>
      </c>
      <c r="AY16" s="40">
        <v>2026</v>
      </c>
      <c r="AZ16" s="40">
        <v>2027</v>
      </c>
      <c r="BA16" s="40">
        <v>2028</v>
      </c>
      <c r="BB16" s="40">
        <v>2029</v>
      </c>
      <c r="BC16" s="40">
        <v>2030</v>
      </c>
    </row>
    <row r="17" spans="1:55" s="14" customFormat="1" x14ac:dyDescent="0.3">
      <c r="A17" s="18" t="s">
        <v>20</v>
      </c>
      <c r="B17" s="19">
        <v>3386071</v>
      </c>
      <c r="C17" s="19">
        <v>3743567</v>
      </c>
      <c r="D17" s="19">
        <v>3665743</v>
      </c>
      <c r="E17" s="19">
        <v>3875393</v>
      </c>
      <c r="F17" s="19">
        <v>4002814</v>
      </c>
      <c r="H17" s="18" t="s">
        <v>20</v>
      </c>
      <c r="I17" s="19">
        <v>2683122</v>
      </c>
      <c r="J17" s="19">
        <v>3034623</v>
      </c>
      <c r="K17" s="19">
        <v>3135894</v>
      </c>
      <c r="L17" s="19">
        <v>3153513</v>
      </c>
      <c r="M17" s="19">
        <v>3284228</v>
      </c>
      <c r="O17" s="18" t="s">
        <v>20</v>
      </c>
      <c r="P17" s="19">
        <v>191367</v>
      </c>
      <c r="Q17" s="19">
        <v>188548</v>
      </c>
      <c r="R17" s="19">
        <v>228354</v>
      </c>
      <c r="S17" s="19">
        <v>261108</v>
      </c>
      <c r="T17" s="19">
        <v>271461</v>
      </c>
      <c r="V17" s="5" t="s">
        <v>107</v>
      </c>
      <c r="W17" s="49">
        <f>8664+3535</f>
        <v>12199</v>
      </c>
      <c r="X17" s="49">
        <f>9323+3789</f>
        <v>13112</v>
      </c>
      <c r="Y17" s="49">
        <f>7416+3264</f>
        <v>10680</v>
      </c>
      <c r="Z17" s="49">
        <f>8736+3916</f>
        <v>12652</v>
      </c>
      <c r="AA17" s="49">
        <f>12762+4304</f>
        <v>17066</v>
      </c>
      <c r="AC17" s="18" t="s">
        <v>20</v>
      </c>
      <c r="AD17" s="19">
        <v>1163028</v>
      </c>
      <c r="AE17" s="19">
        <v>1463988</v>
      </c>
      <c r="AF17" s="19">
        <v>1441799</v>
      </c>
      <c r="AG17" s="19">
        <v>1641594</v>
      </c>
      <c r="AH17" s="19">
        <v>1675972</v>
      </c>
      <c r="AJ17" s="18" t="s">
        <v>20</v>
      </c>
      <c r="AK17" s="19">
        <v>1115862</v>
      </c>
      <c r="AL17" s="19">
        <v>1188140</v>
      </c>
      <c r="AM17" s="19">
        <v>1180231</v>
      </c>
      <c r="AN17" s="19">
        <v>1193693</v>
      </c>
      <c r="AO17" s="47">
        <v>1215071</v>
      </c>
      <c r="AP17" s="45"/>
      <c r="AQ17" s="18" t="s">
        <v>20</v>
      </c>
      <c r="AR17" s="19">
        <v>1955163</v>
      </c>
      <c r="AS17" s="19">
        <v>1948674</v>
      </c>
      <c r="AT17" s="19">
        <v>1880591</v>
      </c>
      <c r="AU17" s="19">
        <v>1877490</v>
      </c>
      <c r="AV17" s="47">
        <v>1874567</v>
      </c>
      <c r="AW17" s="45"/>
      <c r="AX17" s="38" cm="1">
        <f t="array" ref="AX17:BC17">DCF!B6:G6</f>
        <v>182856.88890677574</v>
      </c>
      <c r="AY17" s="38">
        <v>193364.59445070333</v>
      </c>
      <c r="AZ17" s="38">
        <v>204478.47663693267</v>
      </c>
      <c r="BA17" s="38">
        <v>216233.63983672688</v>
      </c>
      <c r="BB17" s="38">
        <v>228667.22902002398</v>
      </c>
      <c r="BC17" s="9">
        <v>241818.54880859604</v>
      </c>
    </row>
    <row r="18" spans="1:55" x14ac:dyDescent="0.3">
      <c r="A18" s="5" t="s">
        <v>21</v>
      </c>
      <c r="B18" s="17">
        <v>1560609</v>
      </c>
      <c r="C18" s="17">
        <v>1638900</v>
      </c>
      <c r="D18" s="17">
        <v>1653538</v>
      </c>
      <c r="E18" s="17">
        <v>1671995</v>
      </c>
      <c r="F18" s="17">
        <v>1757460</v>
      </c>
      <c r="H18" s="5" t="s">
        <v>21</v>
      </c>
      <c r="I18" s="17">
        <v>1480000</v>
      </c>
      <c r="J18" s="17">
        <v>1618000</v>
      </c>
      <c r="K18" s="17">
        <v>1411000</v>
      </c>
      <c r="L18" s="17">
        <v>1459000</v>
      </c>
      <c r="M18" s="17">
        <v>1490000</v>
      </c>
      <c r="O18" s="5" t="s">
        <v>21</v>
      </c>
      <c r="P18" s="17">
        <v>138300</v>
      </c>
      <c r="Q18" s="17">
        <v>79195.66</v>
      </c>
      <c r="R18" s="17">
        <v>194400</v>
      </c>
      <c r="S18" s="17">
        <v>93782.976999999999</v>
      </c>
      <c r="T18" s="17">
        <v>235800</v>
      </c>
      <c r="V18" s="5" t="s">
        <v>108</v>
      </c>
      <c r="W18" s="17">
        <v>8664</v>
      </c>
      <c r="X18" s="17">
        <v>9323</v>
      </c>
      <c r="Y18" s="17">
        <v>7416</v>
      </c>
      <c r="Z18" s="17">
        <v>8736</v>
      </c>
      <c r="AA18" s="17">
        <v>12762</v>
      </c>
      <c r="AC18" s="5" t="s">
        <v>21</v>
      </c>
      <c r="AD18" s="17">
        <v>252355</v>
      </c>
      <c r="AE18" s="17">
        <v>269762</v>
      </c>
      <c r="AF18" s="17">
        <v>247653</v>
      </c>
      <c r="AG18" s="17">
        <v>16546</v>
      </c>
      <c r="AH18" s="17">
        <v>17767</v>
      </c>
      <c r="AJ18" s="5" t="s">
        <v>21</v>
      </c>
      <c r="AK18" s="17">
        <v>453106</v>
      </c>
      <c r="AL18" s="17">
        <v>471921</v>
      </c>
      <c r="AM18" s="17">
        <v>447849</v>
      </c>
      <c r="AN18" s="17">
        <v>456053</v>
      </c>
      <c r="AO18" s="46">
        <v>471834</v>
      </c>
      <c r="AP18" s="16"/>
      <c r="AQ18" s="5" t="s">
        <v>21</v>
      </c>
      <c r="AR18" s="17">
        <v>1088653</v>
      </c>
      <c r="AS18" s="17">
        <v>1081252</v>
      </c>
      <c r="AT18" s="17">
        <v>1063146</v>
      </c>
      <c r="AU18" s="17">
        <v>1072028</v>
      </c>
      <c r="AV18" s="46">
        <v>1074031</v>
      </c>
      <c r="AW18" s="16"/>
      <c r="AX18" s="38" cm="1">
        <f t="array" ref="AX18:BC18">DCF!B11:G11</f>
        <v>56586.482416723418</v>
      </c>
      <c r="AY18" s="38">
        <v>59814.872158709695</v>
      </c>
      <c r="AZ18" s="38">
        <v>63228.17344727445</v>
      </c>
      <c r="BA18" s="38">
        <v>66837.019065517146</v>
      </c>
      <c r="BB18" s="38">
        <v>70652.655588875263</v>
      </c>
      <c r="BC18" s="9">
        <v>74686.978953283775</v>
      </c>
    </row>
    <row r="19" spans="1:55" s="3" customFormat="1" x14ac:dyDescent="0.3">
      <c r="A19" s="5" t="s">
        <v>22</v>
      </c>
      <c r="B19" s="17">
        <v>205078</v>
      </c>
      <c r="C19" s="17">
        <v>213942</v>
      </c>
      <c r="D19" s="17">
        <v>218934</v>
      </c>
      <c r="E19" s="17">
        <v>250585</v>
      </c>
      <c r="F19" s="17">
        <v>275513</v>
      </c>
      <c r="H19" s="5" t="s">
        <v>22</v>
      </c>
      <c r="I19" s="17">
        <v>176660</v>
      </c>
      <c r="J19" s="17">
        <v>171759</v>
      </c>
      <c r="K19" s="17">
        <v>180060</v>
      </c>
      <c r="L19" s="17">
        <v>194928</v>
      </c>
      <c r="M19" s="17">
        <v>201083</v>
      </c>
      <c r="O19" s="5" t="s">
        <v>22</v>
      </c>
      <c r="P19" s="17">
        <v>18700</v>
      </c>
      <c r="Q19" s="17">
        <v>11250</v>
      </c>
      <c r="R19" s="17">
        <v>20000</v>
      </c>
      <c r="S19" s="17">
        <v>10040</v>
      </c>
      <c r="T19" s="17">
        <v>24900</v>
      </c>
      <c r="V19" s="5" t="s">
        <v>109</v>
      </c>
      <c r="W19" s="17">
        <v>3535</v>
      </c>
      <c r="X19" s="17">
        <v>3789</v>
      </c>
      <c r="Y19" s="17">
        <v>3264</v>
      </c>
      <c r="Z19" s="17">
        <v>3916</v>
      </c>
      <c r="AA19" s="17">
        <v>4304</v>
      </c>
      <c r="AC19" s="5" t="s">
        <v>22</v>
      </c>
      <c r="AD19" s="17">
        <v>26394</v>
      </c>
      <c r="AE19" s="17">
        <v>28810</v>
      </c>
      <c r="AF19" s="17">
        <v>31780</v>
      </c>
      <c r="AG19" s="17">
        <v>3936</v>
      </c>
      <c r="AH19" s="17">
        <v>4336</v>
      </c>
      <c r="AJ19" s="5" t="s">
        <v>22</v>
      </c>
      <c r="AK19" s="17">
        <v>78650</v>
      </c>
      <c r="AL19" s="17">
        <v>75742</v>
      </c>
      <c r="AM19" s="17">
        <v>68670</v>
      </c>
      <c r="AN19" s="17">
        <v>69448</v>
      </c>
      <c r="AO19" s="46">
        <v>75095</v>
      </c>
      <c r="AP19" s="16"/>
      <c r="AQ19" s="5" t="s">
        <v>22</v>
      </c>
      <c r="AR19" s="17">
        <v>135112</v>
      </c>
      <c r="AS19" s="17">
        <v>139256</v>
      </c>
      <c r="AT19" s="17">
        <v>141452</v>
      </c>
      <c r="AU19" s="17">
        <v>142341</v>
      </c>
      <c r="AV19" s="46">
        <v>144055</v>
      </c>
      <c r="AW19" s="16"/>
      <c r="AX19" s="38" cm="1">
        <f t="array" ref="AX19:BC19">DCF!B13:G13</f>
        <v>45337.917316960593</v>
      </c>
      <c r="AY19" s="38">
        <v>47924.550395001868</v>
      </c>
      <c r="AZ19" s="38">
        <v>50659.337308582646</v>
      </c>
      <c r="BA19" s="38">
        <v>53550.797199031818</v>
      </c>
      <c r="BB19" s="38">
        <v>56607.940987076494</v>
      </c>
      <c r="BC19" s="9">
        <v>59840.299870571595</v>
      </c>
    </row>
    <row r="20" spans="1:55" s="14" customFormat="1" x14ac:dyDescent="0.3">
      <c r="A20" s="18" t="s">
        <v>23</v>
      </c>
      <c r="B20" s="19">
        <v>279354</v>
      </c>
      <c r="C20" s="19">
        <v>294127</v>
      </c>
      <c r="D20" s="19">
        <v>292332</v>
      </c>
      <c r="E20" s="19">
        <v>327878</v>
      </c>
      <c r="F20" s="19">
        <v>344758</v>
      </c>
      <c r="H20" s="18" t="s">
        <v>23</v>
      </c>
      <c r="I20" s="19">
        <v>267309</v>
      </c>
      <c r="J20" s="19">
        <v>273757</v>
      </c>
      <c r="K20" s="19">
        <v>270299</v>
      </c>
      <c r="L20" s="19">
        <v>283353</v>
      </c>
      <c r="M20" s="19">
        <v>294014</v>
      </c>
      <c r="O20" s="18" t="s">
        <v>23</v>
      </c>
      <c r="P20" s="19">
        <v>22984</v>
      </c>
      <c r="Q20" s="19">
        <v>22177</v>
      </c>
      <c r="R20" s="19">
        <v>24711</v>
      </c>
      <c r="S20" s="19">
        <v>28057</v>
      </c>
      <c r="T20" s="19">
        <v>30264</v>
      </c>
      <c r="V20" s="5" t="s">
        <v>115</v>
      </c>
      <c r="W20" s="49">
        <v>1028</v>
      </c>
      <c r="X20" s="49">
        <v>1397</v>
      </c>
      <c r="Y20" s="49">
        <v>1294</v>
      </c>
      <c r="Z20" s="49">
        <v>1240</v>
      </c>
      <c r="AA20" s="49">
        <v>1536</v>
      </c>
      <c r="AC20" s="18" t="s">
        <v>23</v>
      </c>
      <c r="AD20" s="19">
        <v>95932</v>
      </c>
      <c r="AE20" s="19">
        <v>109926</v>
      </c>
      <c r="AF20" s="19">
        <v>117189</v>
      </c>
      <c r="AG20" s="19">
        <v>116905</v>
      </c>
      <c r="AH20" s="19">
        <v>121996</v>
      </c>
      <c r="AJ20" s="18" t="s">
        <v>23</v>
      </c>
      <c r="AK20" s="19">
        <v>103149</v>
      </c>
      <c r="AL20" s="19">
        <v>106598</v>
      </c>
      <c r="AM20" s="19">
        <v>101231</v>
      </c>
      <c r="AN20" s="19">
        <v>99982</v>
      </c>
      <c r="AO20" s="47">
        <v>105428</v>
      </c>
      <c r="AP20" s="45"/>
      <c r="AQ20" s="18" t="s">
        <v>23</v>
      </c>
      <c r="AR20" s="19">
        <v>160724</v>
      </c>
      <c r="AS20" s="19">
        <v>163595</v>
      </c>
      <c r="AT20" s="19">
        <v>168241</v>
      </c>
      <c r="AU20" s="19">
        <v>169308</v>
      </c>
      <c r="AV20" s="47">
        <v>168900</v>
      </c>
      <c r="AW20" s="45"/>
      <c r="AX20" s="33"/>
      <c r="AY20" s="33"/>
      <c r="AZ20" s="33"/>
      <c r="BA20" s="33"/>
      <c r="BB20" s="33"/>
    </row>
    <row r="21" spans="1:55" x14ac:dyDescent="0.3">
      <c r="A21" s="5" t="s">
        <v>48</v>
      </c>
      <c r="B21" s="17">
        <v>3082.4</v>
      </c>
      <c r="C21" s="17">
        <v>3021.5</v>
      </c>
      <c r="D21" s="17">
        <v>2965.8</v>
      </c>
      <c r="E21" s="17">
        <v>2938.6</v>
      </c>
      <c r="F21" s="17">
        <v>2873.9</v>
      </c>
      <c r="H21" s="5" t="s">
        <v>49</v>
      </c>
      <c r="I21" s="17">
        <v>8720</v>
      </c>
      <c r="J21" s="17">
        <v>8100</v>
      </c>
      <c r="K21" s="17">
        <v>8080</v>
      </c>
      <c r="L21" s="17">
        <v>8020</v>
      </c>
      <c r="M21" s="17">
        <v>7673</v>
      </c>
      <c r="O21" s="5" t="s">
        <v>48</v>
      </c>
      <c r="P21" s="17">
        <v>800</v>
      </c>
      <c r="Q21" s="17">
        <v>792</v>
      </c>
      <c r="R21" s="17">
        <v>763</v>
      </c>
      <c r="S21" s="17">
        <v>723</v>
      </c>
      <c r="T21" s="17">
        <v>702</v>
      </c>
      <c r="V21" s="5" t="s">
        <v>116</v>
      </c>
      <c r="W21" s="17">
        <v>681</v>
      </c>
      <c r="X21" s="17">
        <v>762</v>
      </c>
      <c r="Y21" s="17">
        <v>1031</v>
      </c>
      <c r="Z21" s="17">
        <v>1112</v>
      </c>
      <c r="AA21" s="17">
        <v>1103</v>
      </c>
      <c r="AC21" s="5" t="s">
        <v>48</v>
      </c>
      <c r="AD21" s="17">
        <v>344.09</v>
      </c>
      <c r="AE21" s="17">
        <v>333.57</v>
      </c>
      <c r="AF21" s="17">
        <v>323.38</v>
      </c>
      <c r="AG21" s="17">
        <v>310.64999999999998</v>
      </c>
      <c r="AH21" s="17">
        <v>308.8</v>
      </c>
      <c r="AJ21" s="5" t="s">
        <v>49</v>
      </c>
      <c r="AK21" s="17">
        <v>1770</v>
      </c>
      <c r="AL21" s="17">
        <v>1750</v>
      </c>
      <c r="AM21" s="17">
        <v>1690</v>
      </c>
      <c r="AN21" s="17">
        <v>1640</v>
      </c>
      <c r="AO21" s="46">
        <v>1610</v>
      </c>
      <c r="AP21" s="16"/>
      <c r="AQ21" s="5" t="s">
        <v>49</v>
      </c>
      <c r="AR21" s="17">
        <v>4062</v>
      </c>
      <c r="AS21" s="17">
        <v>3805</v>
      </c>
      <c r="AT21" s="17">
        <v>3688</v>
      </c>
      <c r="AU21" s="17">
        <v>3426</v>
      </c>
      <c r="AV21" s="46">
        <v>3302</v>
      </c>
      <c r="AW21" s="16"/>
      <c r="AX21" s="40">
        <v>2025</v>
      </c>
      <c r="AY21" s="40">
        <v>2026</v>
      </c>
      <c r="AZ21" s="40">
        <v>2027</v>
      </c>
      <c r="BA21" s="40">
        <v>2028</v>
      </c>
      <c r="BB21" s="40">
        <v>2029</v>
      </c>
      <c r="BC21" s="40">
        <v>2030</v>
      </c>
    </row>
    <row r="22" spans="1:55" x14ac:dyDescent="0.3">
      <c r="A22" s="25" t="s">
        <v>50</v>
      </c>
      <c r="B22" s="26">
        <v>2050638</v>
      </c>
      <c r="C22" s="26">
        <v>2293452</v>
      </c>
      <c r="D22" s="26">
        <v>2121132</v>
      </c>
      <c r="E22" s="26">
        <v>2189658</v>
      </c>
      <c r="F22" s="26">
        <v>2265700</v>
      </c>
      <c r="H22" s="25" t="s">
        <v>50</v>
      </c>
      <c r="I22" s="26">
        <v>1606972</v>
      </c>
      <c r="J22" s="26">
        <v>1870965</v>
      </c>
      <c r="K22" s="26">
        <v>1690101</v>
      </c>
      <c r="L22" s="26">
        <v>1788901</v>
      </c>
      <c r="M22" s="26">
        <v>1828150</v>
      </c>
      <c r="O22" s="25" t="s">
        <v>50</v>
      </c>
      <c r="P22" s="26">
        <f>157+21631</f>
        <v>21788</v>
      </c>
      <c r="Q22" s="26">
        <f>2591+188</f>
        <v>2779</v>
      </c>
      <c r="R22" s="26">
        <f>4578+307</f>
        <v>4885</v>
      </c>
      <c r="S22" s="26">
        <f>166+2186</f>
        <v>2352</v>
      </c>
      <c r="T22" s="26">
        <f>221+1240</f>
        <v>1461</v>
      </c>
      <c r="V22" s="50" t="s">
        <v>117</v>
      </c>
      <c r="W22" s="51">
        <v>7264</v>
      </c>
      <c r="X22" s="51">
        <v>7446</v>
      </c>
      <c r="Y22" s="51">
        <v>6654</v>
      </c>
      <c r="Z22" s="51">
        <v>7918</v>
      </c>
      <c r="AA22" s="51">
        <v>12314</v>
      </c>
      <c r="AC22" s="25" t="s">
        <v>50</v>
      </c>
      <c r="AD22" s="26">
        <v>88445</v>
      </c>
      <c r="AE22" s="26">
        <v>88719</v>
      </c>
      <c r="AF22" s="26">
        <v>130629</v>
      </c>
      <c r="AG22" s="26">
        <f>49141+70310+27358</f>
        <v>146809</v>
      </c>
      <c r="AH22" s="26">
        <f>79458+78713+26343</f>
        <v>184514</v>
      </c>
      <c r="AJ22" s="25" t="s">
        <v>50</v>
      </c>
      <c r="AK22" s="26">
        <v>182154</v>
      </c>
      <c r="AL22" s="26">
        <v>182998</v>
      </c>
      <c r="AM22" s="26">
        <v>159931</v>
      </c>
      <c r="AN22" s="26">
        <f>88113+66694</f>
        <v>154807</v>
      </c>
      <c r="AO22" s="48">
        <f>98608+61071</f>
        <v>159679</v>
      </c>
      <c r="AP22" s="16"/>
      <c r="AQ22" s="25" t="s">
        <v>50</v>
      </c>
      <c r="AR22" s="26">
        <v>477200</v>
      </c>
      <c r="AS22" s="26">
        <v>501022</v>
      </c>
      <c r="AT22" s="26">
        <v>455357</v>
      </c>
      <c r="AU22" s="26">
        <v>422983</v>
      </c>
      <c r="AV22" s="48">
        <v>420251</v>
      </c>
      <c r="AW22" s="16"/>
      <c r="AX22" s="38" cm="1">
        <f t="array" ref="AX22:BC22">DCF!J6:O6</f>
        <v>100508.14616155552</v>
      </c>
      <c r="AY22" s="38">
        <v>102116.19710666835</v>
      </c>
      <c r="AZ22" s="38">
        <v>103750.0287740975</v>
      </c>
      <c r="BA22" s="38">
        <v>105410.05534227507</v>
      </c>
      <c r="BB22" s="38">
        <v>107096.69765729687</v>
      </c>
      <c r="BC22" s="9">
        <v>108810.38334048145</v>
      </c>
    </row>
    <row r="23" spans="1:55" x14ac:dyDescent="0.3">
      <c r="A23" s="25" t="s">
        <v>62</v>
      </c>
      <c r="B23" s="26">
        <v>6421</v>
      </c>
      <c r="C23" s="26">
        <v>4497</v>
      </c>
      <c r="D23" s="26">
        <v>5343</v>
      </c>
      <c r="E23" s="26">
        <v>8420</v>
      </c>
      <c r="F23" s="26">
        <v>9140</v>
      </c>
      <c r="H23" s="25" t="s">
        <v>63</v>
      </c>
      <c r="I23" s="26">
        <v>5116</v>
      </c>
      <c r="J23" s="26">
        <v>4697</v>
      </c>
      <c r="K23" s="26">
        <v>3978</v>
      </c>
      <c r="L23" s="26">
        <v>5630</v>
      </c>
      <c r="M23" s="26">
        <v>6120</v>
      </c>
      <c r="O23" s="25" t="s">
        <v>102</v>
      </c>
      <c r="P23" s="26">
        <v>1560</v>
      </c>
      <c r="Q23" s="26">
        <v>2533</v>
      </c>
      <c r="R23" s="26">
        <v>2815</v>
      </c>
      <c r="S23" s="26">
        <v>3212</v>
      </c>
      <c r="T23" s="26">
        <v>2891</v>
      </c>
      <c r="V23" s="25" t="s">
        <v>118</v>
      </c>
      <c r="W23" s="26">
        <v>35334</v>
      </c>
      <c r="X23" s="26">
        <v>37806</v>
      </c>
      <c r="Y23" s="26">
        <v>37876</v>
      </c>
      <c r="Z23" s="26">
        <v>39500</v>
      </c>
      <c r="AA23" s="26">
        <v>47664</v>
      </c>
      <c r="AD23" s="16"/>
      <c r="AE23" s="16"/>
      <c r="AF23" s="16"/>
      <c r="AG23" s="16"/>
      <c r="AH23" s="16"/>
      <c r="AJ23" s="25" t="s">
        <v>63</v>
      </c>
      <c r="AK23" s="26">
        <v>0</v>
      </c>
      <c r="AL23" s="26">
        <v>0</v>
      </c>
      <c r="AM23" s="26">
        <v>0</v>
      </c>
      <c r="AN23" s="26">
        <v>0</v>
      </c>
      <c r="AO23" s="48">
        <v>0</v>
      </c>
      <c r="AP23" s="16"/>
      <c r="AQ23" s="25" t="s">
        <v>63</v>
      </c>
      <c r="AR23" s="26">
        <v>9047</v>
      </c>
      <c r="AS23" s="26">
        <v>7550</v>
      </c>
      <c r="AT23" s="26">
        <v>7900</v>
      </c>
      <c r="AU23" s="26">
        <v>6612</v>
      </c>
      <c r="AV23" s="48">
        <v>6140</v>
      </c>
      <c r="AW23" s="16"/>
      <c r="AX23" s="38" cm="1">
        <f t="array" ref="AX23:BC23">DCF!J11:O11</f>
        <v>23600.308550319744</v>
      </c>
      <c r="AY23" s="38">
        <v>23980.095687995017</v>
      </c>
      <c r="AZ23" s="38">
        <v>24366.007051885801</v>
      </c>
      <c r="BA23" s="38">
        <v>24758.141597677375</v>
      </c>
      <c r="BB23" s="38">
        <v>25156.599883177081</v>
      </c>
      <c r="BC23" s="9">
        <v>25561.484094303847</v>
      </c>
    </row>
    <row r="24" spans="1:55" x14ac:dyDescent="0.3">
      <c r="B24" s="16"/>
      <c r="C24" s="16"/>
      <c r="D24" s="16"/>
      <c r="E24" s="16"/>
      <c r="F24" s="16"/>
      <c r="I24" s="16"/>
      <c r="J24" s="16"/>
      <c r="K24" s="16"/>
      <c r="L24" s="16"/>
      <c r="M24" s="16"/>
      <c r="O24" s="25" t="s">
        <v>103</v>
      </c>
      <c r="P24" s="26">
        <v>492</v>
      </c>
      <c r="Q24" s="26">
        <v>638</v>
      </c>
      <c r="R24" s="26">
        <v>732</v>
      </c>
      <c r="S24" s="26">
        <v>1353</v>
      </c>
      <c r="T24" s="26">
        <v>432</v>
      </c>
      <c r="V24" s="25" t="s">
        <v>132</v>
      </c>
      <c r="W24" s="26">
        <v>152.80000000000001</v>
      </c>
      <c r="X24" s="26">
        <v>152</v>
      </c>
      <c r="Y24" s="26">
        <v>151.19999999999999</v>
      </c>
      <c r="Z24" s="26">
        <v>149.9</v>
      </c>
      <c r="AA24" s="26">
        <v>149.19999999999999</v>
      </c>
      <c r="AD24" s="16"/>
      <c r="AE24" s="16"/>
      <c r="AF24" s="16"/>
      <c r="AG24" s="16"/>
      <c r="AH24" s="16"/>
      <c r="AK24" s="16"/>
      <c r="AL24" s="16"/>
      <c r="AM24" s="16"/>
      <c r="AN24" s="16"/>
      <c r="AO24" s="16"/>
      <c r="AP24" s="16"/>
      <c r="AQ24" s="1"/>
      <c r="AR24" s="16"/>
      <c r="AS24" s="16"/>
      <c r="AT24" s="16"/>
      <c r="AU24" s="16"/>
      <c r="AV24" s="16"/>
      <c r="AW24" s="16"/>
      <c r="AX24" s="38" cm="1">
        <f t="array" ref="AX24:BC24">DCF!J13:O13</f>
        <v>18641.609031988315</v>
      </c>
      <c r="AY24" s="38">
        <v>18941.598471568097</v>
      </c>
      <c r="AZ24" s="38">
        <v>19246.425366153588</v>
      </c>
      <c r="BA24" s="38">
        <v>19556.167879688808</v>
      </c>
      <c r="BB24" s="38">
        <v>19870.905441615356</v>
      </c>
      <c r="BC24" s="9">
        <v>20190.718767401217</v>
      </c>
    </row>
    <row r="25" spans="1:55" x14ac:dyDescent="0.3">
      <c r="P25" s="13"/>
      <c r="Q25" s="13"/>
      <c r="R25" s="13"/>
      <c r="S25" s="13"/>
      <c r="T25" s="13"/>
      <c r="W25" s="13"/>
      <c r="X25" s="13"/>
      <c r="Y25" s="13"/>
      <c r="Z25" s="13"/>
      <c r="AA25" s="13"/>
      <c r="AD25" s="13"/>
      <c r="AE25" s="13"/>
      <c r="AF25" s="13"/>
      <c r="AG25" s="13"/>
      <c r="AH25" s="13"/>
      <c r="AK25" s="13"/>
      <c r="AL25" s="13"/>
      <c r="AM25" s="53"/>
      <c r="AN25" s="13"/>
      <c r="AO25" s="13"/>
      <c r="AP25" s="13"/>
      <c r="AQ25" s="1"/>
      <c r="AR25" s="13"/>
      <c r="AS25" s="13"/>
      <c r="AT25" s="13"/>
      <c r="AU25" s="13"/>
      <c r="AV25" s="13"/>
      <c r="AW25" s="13"/>
    </row>
    <row r="26" spans="1:55" x14ac:dyDescent="0.3">
      <c r="A26" s="14" t="s">
        <v>24</v>
      </c>
      <c r="H26" s="14" t="s">
        <v>24</v>
      </c>
      <c r="O26" s="14" t="s">
        <v>24</v>
      </c>
      <c r="P26" s="13"/>
      <c r="Q26" s="13"/>
      <c r="R26" s="13"/>
      <c r="S26" s="13"/>
      <c r="T26" s="13"/>
      <c r="V26" s="14" t="s">
        <v>24</v>
      </c>
      <c r="W26" s="13"/>
      <c r="X26" s="13"/>
      <c r="Y26" s="13"/>
      <c r="Z26" s="13"/>
      <c r="AA26" s="13"/>
      <c r="AC26" s="14" t="s">
        <v>24</v>
      </c>
      <c r="AD26" s="13"/>
      <c r="AE26" s="13"/>
      <c r="AF26" s="13"/>
      <c r="AG26" s="13"/>
      <c r="AH26" s="13"/>
      <c r="AJ26" s="14" t="s">
        <v>24</v>
      </c>
      <c r="AK26" s="13"/>
      <c r="AL26" s="13"/>
      <c r="AM26" s="13"/>
      <c r="AN26" s="13"/>
      <c r="AO26" s="13"/>
      <c r="AP26" s="13"/>
      <c r="AQ26" s="14" t="s">
        <v>24</v>
      </c>
      <c r="AR26" s="13"/>
      <c r="AS26" s="13"/>
      <c r="AT26" s="13"/>
      <c r="AU26" s="13"/>
      <c r="AV26" s="13"/>
      <c r="AW26" s="13"/>
      <c r="AX26" s="40" t="s">
        <v>94</v>
      </c>
      <c r="AY26" s="40" t="s">
        <v>41</v>
      </c>
      <c r="AZ26" s="40" t="s">
        <v>76</v>
      </c>
      <c r="BA26" s="40" t="s">
        <v>95</v>
      </c>
      <c r="BB26" s="40" t="s">
        <v>78</v>
      </c>
    </row>
    <row r="27" spans="1:55" x14ac:dyDescent="0.3">
      <c r="A27" s="1" t="s">
        <v>11</v>
      </c>
      <c r="B27" s="13" t="s">
        <v>29</v>
      </c>
      <c r="C27" s="13" t="s">
        <v>30</v>
      </c>
      <c r="D27" s="13" t="s">
        <v>31</v>
      </c>
      <c r="E27" s="13" t="s">
        <v>32</v>
      </c>
      <c r="F27" s="13" t="s">
        <v>33</v>
      </c>
      <c r="H27" s="1" t="s">
        <v>11</v>
      </c>
      <c r="I27" s="13" t="s">
        <v>29</v>
      </c>
      <c r="J27" s="13" t="s">
        <v>30</v>
      </c>
      <c r="K27" s="13" t="s">
        <v>31</v>
      </c>
      <c r="L27" s="13" t="s">
        <v>32</v>
      </c>
      <c r="M27" s="13" t="s">
        <v>33</v>
      </c>
      <c r="O27" s="1" t="s">
        <v>11</v>
      </c>
      <c r="P27" s="13" t="s">
        <v>29</v>
      </c>
      <c r="Q27" s="13" t="s">
        <v>30</v>
      </c>
      <c r="R27" s="13" t="s">
        <v>31</v>
      </c>
      <c r="S27" s="13" t="s">
        <v>32</v>
      </c>
      <c r="T27" s="13" t="s">
        <v>33</v>
      </c>
      <c r="V27" s="1" t="s">
        <v>11</v>
      </c>
      <c r="W27" s="13" t="s">
        <v>29</v>
      </c>
      <c r="X27" s="13" t="s">
        <v>30</v>
      </c>
      <c r="Y27" s="13" t="s">
        <v>31</v>
      </c>
      <c r="Z27" s="13" t="s">
        <v>32</v>
      </c>
      <c r="AA27" s="13" t="s">
        <v>33</v>
      </c>
      <c r="AC27" s="1" t="s">
        <v>11</v>
      </c>
      <c r="AD27" s="13" t="s">
        <v>29</v>
      </c>
      <c r="AE27" s="13" t="s">
        <v>30</v>
      </c>
      <c r="AF27" s="13" t="s">
        <v>31</v>
      </c>
      <c r="AG27" s="13" t="s">
        <v>32</v>
      </c>
      <c r="AH27" s="13" t="s">
        <v>33</v>
      </c>
      <c r="AJ27" s="1" t="s">
        <v>11</v>
      </c>
      <c r="AK27" s="13" t="s">
        <v>29</v>
      </c>
      <c r="AL27" s="13" t="s">
        <v>30</v>
      </c>
      <c r="AM27" s="13" t="s">
        <v>31</v>
      </c>
      <c r="AN27" s="13" t="s">
        <v>32</v>
      </c>
      <c r="AO27" s="13" t="s">
        <v>33</v>
      </c>
      <c r="AP27" s="13"/>
      <c r="AQ27" s="1" t="s">
        <v>11</v>
      </c>
      <c r="AR27" s="13" t="s">
        <v>29</v>
      </c>
      <c r="AS27" s="13" t="s">
        <v>30</v>
      </c>
      <c r="AT27" s="13" t="s">
        <v>31</v>
      </c>
      <c r="AU27" s="13" t="s">
        <v>32</v>
      </c>
      <c r="AV27" s="13" t="s">
        <v>33</v>
      </c>
      <c r="AW27" s="13"/>
      <c r="AX27" s="41">
        <f ca="1">'Assumptions &amp; WACC'!B5</f>
        <v>0.1034605</v>
      </c>
      <c r="AY27" s="41">
        <f>'Assumptions &amp; WACC'!$B$6</f>
        <v>2.5000000000000001E-2</v>
      </c>
      <c r="AZ27" s="42">
        <f ca="1">DCF!B23</f>
        <v>227.93288507116304</v>
      </c>
      <c r="BA27" s="38">
        <f ca="1">'Company Profile'!B5</f>
        <v>299.12</v>
      </c>
      <c r="BB27" s="43">
        <f ca="1">(AZ27-BA27)/BA27</f>
        <v>-0.23798848264521583</v>
      </c>
    </row>
    <row r="28" spans="1:55" s="3" customFormat="1" x14ac:dyDescent="0.3">
      <c r="A28" s="5" t="s">
        <v>25</v>
      </c>
      <c r="B28" s="17">
        <v>12690</v>
      </c>
      <c r="C28" s="17">
        <v>12858</v>
      </c>
      <c r="D28" s="17">
        <v>13562</v>
      </c>
      <c r="E28" s="17">
        <v>13463</v>
      </c>
      <c r="F28" s="17">
        <v>14783</v>
      </c>
      <c r="H28" s="5" t="s">
        <v>25</v>
      </c>
      <c r="I28" s="17">
        <v>7727</v>
      </c>
      <c r="J28" s="17">
        <v>8055</v>
      </c>
      <c r="K28" s="17">
        <v>8576</v>
      </c>
      <c r="L28" s="17">
        <v>9087</v>
      </c>
      <c r="M28" s="17">
        <v>9503</v>
      </c>
      <c r="O28" s="5" t="s">
        <v>25</v>
      </c>
      <c r="P28" s="17">
        <v>1474</v>
      </c>
      <c r="Q28" s="17">
        <v>1448</v>
      </c>
      <c r="R28" s="17">
        <v>1565</v>
      </c>
      <c r="S28" s="17">
        <v>1780</v>
      </c>
      <c r="T28" s="17">
        <v>1999</v>
      </c>
      <c r="V28" s="5" t="s">
        <v>25</v>
      </c>
      <c r="W28" s="17">
        <v>2260</v>
      </c>
      <c r="X28" s="17">
        <v>2547</v>
      </c>
      <c r="Y28" s="17">
        <v>2990</v>
      </c>
      <c r="Z28" s="17">
        <v>3035</v>
      </c>
      <c r="AA28" s="17">
        <v>3101</v>
      </c>
      <c r="AC28" s="5" t="s">
        <v>25</v>
      </c>
      <c r="AD28" s="17">
        <v>2336</v>
      </c>
      <c r="AE28" s="17">
        <v>2725</v>
      </c>
      <c r="AF28" s="17">
        <v>3682</v>
      </c>
      <c r="AG28" s="17">
        <v>4189</v>
      </c>
      <c r="AH28" s="17">
        <v>4497</v>
      </c>
      <c r="AJ28" s="5" t="s">
        <v>25</v>
      </c>
      <c r="AK28" s="17">
        <v>2739</v>
      </c>
      <c r="AL28" s="17">
        <v>4171</v>
      </c>
      <c r="AM28" s="17">
        <v>5401</v>
      </c>
      <c r="AN28" s="17">
        <v>5763</v>
      </c>
      <c r="AO28" s="46">
        <v>6138</v>
      </c>
      <c r="AP28" s="16"/>
      <c r="AQ28" s="5" t="s">
        <v>25</v>
      </c>
      <c r="AR28" s="17">
        <v>2496</v>
      </c>
      <c r="AS28" s="17">
        <v>4178</v>
      </c>
      <c r="AT28" s="17">
        <v>4794</v>
      </c>
      <c r="AU28" s="17">
        <v>5146</v>
      </c>
      <c r="AV28" s="46">
        <v>5283</v>
      </c>
      <c r="AW28" s="16"/>
      <c r="AX28" s="44">
        <f ca="1">'Assumptions &amp; WACC'!C5</f>
        <v>0.11591800000000001</v>
      </c>
      <c r="AY28" s="41">
        <f>'Assumptions &amp; WACC'!$B$6</f>
        <v>2.5000000000000001E-2</v>
      </c>
      <c r="AZ28" s="38">
        <f ca="1">DCF!J23</f>
        <v>25.830039574645554</v>
      </c>
      <c r="BA28" s="38">
        <f ca="1">'Company Profile'!C5</f>
        <v>51.546500000000002</v>
      </c>
      <c r="BB28" s="43">
        <f ca="1">(AZ28-BA28)/BA28</f>
        <v>-0.49889828456547869</v>
      </c>
    </row>
    <row r="29" spans="1:55" x14ac:dyDescent="0.3">
      <c r="A29" s="25" t="s">
        <v>101</v>
      </c>
      <c r="B29" s="26">
        <v>4400</v>
      </c>
      <c r="C29" s="26">
        <v>4270</v>
      </c>
      <c r="D29" s="26">
        <v>4510</v>
      </c>
      <c r="E29" s="26">
        <v>4366</v>
      </c>
      <c r="F29" s="26">
        <v>4804</v>
      </c>
      <c r="H29" s="25" t="s">
        <v>101</v>
      </c>
      <c r="I29" s="26">
        <v>2285</v>
      </c>
      <c r="J29" s="26">
        <v>2375</v>
      </c>
      <c r="K29" s="26">
        <v>2487</v>
      </c>
      <c r="L29" s="26">
        <v>2462</v>
      </c>
      <c r="M29" s="26">
        <v>2512</v>
      </c>
      <c r="O29" s="25" t="s">
        <v>101</v>
      </c>
      <c r="P29" s="26">
        <v>1478</v>
      </c>
      <c r="Q29" s="26">
        <v>1550</v>
      </c>
      <c r="R29" s="26">
        <v>1855</v>
      </c>
      <c r="S29" s="26">
        <v>1563</v>
      </c>
      <c r="T29" s="26">
        <v>1911</v>
      </c>
      <c r="V29" s="25" t="s">
        <v>101</v>
      </c>
      <c r="W29" s="26">
        <v>194</v>
      </c>
      <c r="X29" s="26">
        <v>341</v>
      </c>
      <c r="Y29" s="26">
        <v>533</v>
      </c>
      <c r="Z29" s="26">
        <v>344</v>
      </c>
      <c r="AA29" s="26">
        <v>255</v>
      </c>
      <c r="AC29" s="25" t="s">
        <v>101</v>
      </c>
      <c r="AD29" s="26">
        <v>6309</v>
      </c>
      <c r="AE29" s="26">
        <v>4667</v>
      </c>
      <c r="AF29" s="26">
        <v>3748</v>
      </c>
      <c r="AG29" s="26">
        <v>2316</v>
      </c>
      <c r="AH29" s="26">
        <v>2091</v>
      </c>
      <c r="AJ29" s="25" t="s">
        <v>101</v>
      </c>
      <c r="AK29" s="26">
        <v>1444</v>
      </c>
      <c r="AL29" s="26">
        <v>2308</v>
      </c>
      <c r="AM29" s="26">
        <v>3078</v>
      </c>
      <c r="AN29" s="26">
        <v>3412</v>
      </c>
      <c r="AO29" s="26">
        <v>3462</v>
      </c>
      <c r="AQ29" s="54" t="s">
        <v>101</v>
      </c>
      <c r="AR29" s="26">
        <v>1008</v>
      </c>
      <c r="AS29" s="26">
        <v>1021</v>
      </c>
      <c r="AT29" s="26">
        <v>1042</v>
      </c>
      <c r="AU29" s="26">
        <v>1058</v>
      </c>
      <c r="AV29" s="26">
        <v>1073</v>
      </c>
    </row>
    <row r="32" spans="1:55" x14ac:dyDescent="0.3">
      <c r="O32" s="1" t="s">
        <v>11</v>
      </c>
      <c r="P32" s="1" t="s">
        <v>29</v>
      </c>
      <c r="Q32" s="1" t="s">
        <v>30</v>
      </c>
      <c r="R32" s="1" t="s">
        <v>31</v>
      </c>
      <c r="S32" s="1" t="s">
        <v>32</v>
      </c>
      <c r="T32" s="1" t="s">
        <v>33</v>
      </c>
      <c r="V32" s="1" t="s">
        <v>11</v>
      </c>
      <c r="W32" s="22" t="s">
        <v>29</v>
      </c>
      <c r="X32" s="22" t="s">
        <v>30</v>
      </c>
      <c r="Y32" s="22" t="s">
        <v>31</v>
      </c>
      <c r="Z32" s="22" t="s">
        <v>32</v>
      </c>
      <c r="AA32" s="22" t="s">
        <v>33</v>
      </c>
      <c r="AC32" s="1" t="s">
        <v>11</v>
      </c>
      <c r="AD32" s="22" t="s">
        <v>29</v>
      </c>
      <c r="AE32" s="22" t="s">
        <v>30</v>
      </c>
      <c r="AF32" s="22" t="s">
        <v>31</v>
      </c>
      <c r="AG32" s="22" t="s">
        <v>32</v>
      </c>
      <c r="AH32" s="22" t="s">
        <v>33</v>
      </c>
      <c r="AI32" s="22"/>
      <c r="AJ32" s="1" t="s">
        <v>11</v>
      </c>
      <c r="AK32" s="22" t="s">
        <v>29</v>
      </c>
      <c r="AL32" s="22" t="s">
        <v>30</v>
      </c>
      <c r="AM32" s="22" t="s">
        <v>31</v>
      </c>
      <c r="AN32" s="22" t="s">
        <v>32</v>
      </c>
      <c r="AO32" s="22" t="s">
        <v>33</v>
      </c>
      <c r="AQ32" s="1" t="s">
        <v>11</v>
      </c>
      <c r="AR32" s="1" t="s">
        <v>29</v>
      </c>
      <c r="AS32" s="1" t="s">
        <v>30</v>
      </c>
      <c r="AT32" s="1" t="s">
        <v>31</v>
      </c>
      <c r="AU32" s="1" t="s">
        <v>32</v>
      </c>
      <c r="AV32" s="1" t="s">
        <v>33</v>
      </c>
    </row>
    <row r="33" spans="15:49" x14ac:dyDescent="0.3">
      <c r="O33" s="1" t="s">
        <v>84</v>
      </c>
      <c r="P33" s="27">
        <f>P6</f>
        <v>36087</v>
      </c>
      <c r="Q33" s="27">
        <f t="shared" ref="Q33:T33" si="24">Q6</f>
        <v>42380</v>
      </c>
      <c r="R33" s="27">
        <f t="shared" si="24"/>
        <v>52862</v>
      </c>
      <c r="S33" s="27">
        <f t="shared" si="24"/>
        <v>60515</v>
      </c>
      <c r="T33" s="27">
        <f t="shared" si="24"/>
        <v>65949</v>
      </c>
      <c r="V33" s="1" t="s">
        <v>84</v>
      </c>
      <c r="W33" s="29">
        <f>W4</f>
        <v>16205</v>
      </c>
      <c r="X33" s="29">
        <f t="shared" ref="X33:AA33" si="25">X4</f>
        <v>19374</v>
      </c>
      <c r="Y33" s="29">
        <f t="shared" si="25"/>
        <v>17873</v>
      </c>
      <c r="Z33" s="29">
        <f t="shared" si="25"/>
        <v>17859</v>
      </c>
      <c r="AA33" s="29">
        <f t="shared" si="25"/>
        <v>20407</v>
      </c>
      <c r="AC33" s="1" t="s">
        <v>84</v>
      </c>
      <c r="AD33" s="29">
        <f>AD6</f>
        <v>44560</v>
      </c>
      <c r="AE33" s="29">
        <f t="shared" ref="AE33:AH33" si="26">AE6</f>
        <v>59339</v>
      </c>
      <c r="AF33" s="29">
        <f t="shared" si="26"/>
        <v>47365</v>
      </c>
      <c r="AG33" s="29">
        <f t="shared" si="26"/>
        <v>46254</v>
      </c>
      <c r="AH33" s="29">
        <f t="shared" si="26"/>
        <v>53512</v>
      </c>
      <c r="AI33" s="22"/>
      <c r="AJ33" s="1" t="s">
        <v>84</v>
      </c>
      <c r="AK33" s="29">
        <f>AK6</f>
        <v>48198</v>
      </c>
      <c r="AL33" s="29">
        <f t="shared" ref="AL33:AO33" si="27">AL6</f>
        <v>59755</v>
      </c>
      <c r="AM33" s="29">
        <f t="shared" si="27"/>
        <v>53668</v>
      </c>
      <c r="AN33" s="29">
        <f t="shared" si="27"/>
        <v>54143</v>
      </c>
      <c r="AO33" s="29">
        <f t="shared" si="27"/>
        <v>61761</v>
      </c>
      <c r="AQ33" s="1" t="s">
        <v>84</v>
      </c>
      <c r="AR33" s="27">
        <f>AR6</f>
        <v>74301</v>
      </c>
      <c r="AS33" s="27">
        <f t="shared" ref="AS33:AV33" si="28">AS6</f>
        <v>79166</v>
      </c>
      <c r="AT33" s="27">
        <f t="shared" si="28"/>
        <v>74368</v>
      </c>
      <c r="AU33" s="27">
        <f t="shared" si="28"/>
        <v>82597</v>
      </c>
      <c r="AV33" s="27">
        <f t="shared" si="28"/>
        <v>82296</v>
      </c>
    </row>
    <row r="34" spans="15:49" x14ac:dyDescent="0.3">
      <c r="O34" s="1" t="s">
        <v>178</v>
      </c>
      <c r="P34" s="27">
        <f>P8</f>
        <v>9026</v>
      </c>
      <c r="Q34" s="27">
        <f t="shared" ref="Q34:T34" si="29">Q8</f>
        <v>9270</v>
      </c>
      <c r="R34" s="27">
        <f t="shared" si="29"/>
        <v>11767</v>
      </c>
      <c r="S34" s="27">
        <f t="shared" si="29"/>
        <v>15436</v>
      </c>
      <c r="T34" s="27">
        <f t="shared" si="29"/>
        <v>18080</v>
      </c>
      <c r="V34" s="1" t="s">
        <v>178</v>
      </c>
      <c r="W34" s="29">
        <f>W6</f>
        <v>5801</v>
      </c>
      <c r="X34" s="29">
        <f t="shared" ref="X34:AA34" si="30">X6</f>
        <v>7597</v>
      </c>
      <c r="Y34" s="29">
        <f t="shared" si="30"/>
        <v>6536</v>
      </c>
      <c r="Z34" s="29">
        <f t="shared" si="30"/>
        <v>6426</v>
      </c>
      <c r="AA34" s="29">
        <f t="shared" si="30"/>
        <v>7865</v>
      </c>
      <c r="AC34" s="1" t="s">
        <v>178</v>
      </c>
      <c r="AD34" s="29">
        <f>AD8</f>
        <v>15577</v>
      </c>
      <c r="AE34" s="29">
        <f t="shared" ref="AE34:AH34" si="31">AE8</f>
        <v>27401</v>
      </c>
      <c r="AF34" s="29">
        <f t="shared" si="31"/>
        <v>16201</v>
      </c>
      <c r="AG34" s="29">
        <f t="shared" si="31"/>
        <v>11767</v>
      </c>
      <c r="AH34" s="29">
        <f t="shared" si="31"/>
        <v>19745</v>
      </c>
      <c r="AI34" s="22"/>
      <c r="AJ34" s="1" t="s">
        <v>178</v>
      </c>
      <c r="AK34" s="29">
        <f>AK8</f>
        <v>14418</v>
      </c>
      <c r="AL34" s="29">
        <f t="shared" ref="AL34:AO34" si="32">AL8</f>
        <v>19672</v>
      </c>
      <c r="AM34" s="29">
        <f t="shared" si="32"/>
        <v>14369</v>
      </c>
      <c r="AN34" s="29">
        <f t="shared" si="32"/>
        <v>12345</v>
      </c>
      <c r="AO34" s="29">
        <f t="shared" si="32"/>
        <v>17860</v>
      </c>
      <c r="AQ34" s="1" t="s">
        <v>178</v>
      </c>
      <c r="AR34" s="27">
        <f>AR8</f>
        <v>18170</v>
      </c>
      <c r="AS34" s="27">
        <f t="shared" ref="AS34:AV34" si="33">AS8</f>
        <v>25825</v>
      </c>
      <c r="AT34" s="27">
        <f t="shared" si="33"/>
        <v>20471</v>
      </c>
      <c r="AU34" s="27">
        <f t="shared" si="33"/>
        <v>29114</v>
      </c>
      <c r="AV34" s="27">
        <f t="shared" si="33"/>
        <v>28231</v>
      </c>
    </row>
    <row r="35" spans="15:49" x14ac:dyDescent="0.3">
      <c r="O35" s="1" t="s">
        <v>59</v>
      </c>
      <c r="P35" s="27">
        <f>P11</f>
        <v>3134.7912000000001</v>
      </c>
      <c r="Q35" s="27">
        <f t="shared" ref="Q35:T35" si="34">Q11</f>
        <v>8679.4680000000008</v>
      </c>
      <c r="R35" s="27">
        <f t="shared" si="34"/>
        <v>7783.02</v>
      </c>
      <c r="S35" s="27">
        <f t="shared" si="34"/>
        <v>8536.5560000000005</v>
      </c>
      <c r="T35" s="27">
        <f t="shared" si="34"/>
        <v>10470.740000000002</v>
      </c>
      <c r="V35" s="1" t="s">
        <v>59</v>
      </c>
      <c r="W35" s="29">
        <f>W11</f>
        <v>5286</v>
      </c>
      <c r="X35" s="29">
        <f t="shared" ref="X35:AA35" si="35">X11</f>
        <v>6205</v>
      </c>
      <c r="Y35" s="29">
        <f t="shared" si="35"/>
        <v>4994</v>
      </c>
      <c r="Z35" s="29">
        <f t="shared" si="35"/>
        <v>5676</v>
      </c>
      <c r="AA35" s="29">
        <f t="shared" si="35"/>
        <v>6512</v>
      </c>
      <c r="AC35" s="1" t="s">
        <v>59</v>
      </c>
      <c r="AD35" s="29">
        <f>AD11</f>
        <v>9459.0820000000003</v>
      </c>
      <c r="AE35" s="29">
        <f t="shared" ref="AE35:AH35" si="36">AE11</f>
        <v>21959.728000000003</v>
      </c>
      <c r="AF35" s="29">
        <f t="shared" si="36"/>
        <v>10950.632000000001</v>
      </c>
      <c r="AG35" s="29">
        <f t="shared" si="36"/>
        <v>8720.0680000000011</v>
      </c>
      <c r="AH35" s="29">
        <f t="shared" si="36"/>
        <v>14938.364000000001</v>
      </c>
      <c r="AI35" s="22"/>
      <c r="AJ35" s="1" t="s">
        <v>59</v>
      </c>
      <c r="AK35" s="29">
        <f>AK11</f>
        <v>10589.6378</v>
      </c>
      <c r="AL35" s="29">
        <f t="shared" ref="AL35:AO35" si="37">AL11</f>
        <v>15250.5672</v>
      </c>
      <c r="AM35" s="29">
        <f t="shared" si="37"/>
        <v>10924.6106</v>
      </c>
      <c r="AN35" s="29">
        <f t="shared" si="37"/>
        <v>9159.8001999999997</v>
      </c>
      <c r="AO35" s="29">
        <f t="shared" si="37"/>
        <v>13643.938399999999</v>
      </c>
      <c r="AQ35" s="1" t="s">
        <v>59</v>
      </c>
      <c r="AR35" s="27">
        <f>AR11</f>
        <v>3377</v>
      </c>
      <c r="AS35" s="27">
        <f t="shared" ref="AS35:AV35" si="38">AS11</f>
        <v>20818</v>
      </c>
      <c r="AT35" s="27">
        <f t="shared" si="38"/>
        <v>13677</v>
      </c>
      <c r="AU35" s="27">
        <f t="shared" si="38"/>
        <v>19142</v>
      </c>
      <c r="AV35" s="27">
        <f t="shared" si="38"/>
        <v>19722</v>
      </c>
    </row>
    <row r="36" spans="15:49" x14ac:dyDescent="0.3">
      <c r="O36" s="1" t="s">
        <v>179</v>
      </c>
      <c r="P36" s="27">
        <f>P15</f>
        <v>114077</v>
      </c>
      <c r="Q36" s="27">
        <f t="shared" ref="Q36:T36" si="39">Q15</f>
        <v>141697</v>
      </c>
      <c r="R36" s="27">
        <f t="shared" si="39"/>
        <v>166958</v>
      </c>
      <c r="S36" s="27">
        <f t="shared" si="39"/>
        <v>181114</v>
      </c>
      <c r="T36" s="27">
        <f t="shared" si="39"/>
        <v>193993</v>
      </c>
      <c r="AC36" s="1" t="s">
        <v>179</v>
      </c>
      <c r="AD36" s="29">
        <f>AD15</f>
        <v>116115</v>
      </c>
      <c r="AE36" s="29">
        <f t="shared" ref="AE36:AH36" si="40">AE15</f>
        <v>158562</v>
      </c>
      <c r="AF36" s="29">
        <f t="shared" si="40"/>
        <v>179286</v>
      </c>
      <c r="AG36" s="29">
        <f t="shared" si="40"/>
        <v>183358</v>
      </c>
      <c r="AH36" s="29">
        <f t="shared" si="40"/>
        <v>196200</v>
      </c>
      <c r="AI36" s="22"/>
      <c r="AJ36" s="1" t="s">
        <v>179</v>
      </c>
      <c r="AK36" s="29">
        <f>AK15</f>
        <v>150597</v>
      </c>
      <c r="AL36" s="29">
        <f t="shared" ref="AL36:AO36" si="41">AL15</f>
        <v>188134</v>
      </c>
      <c r="AM36" s="29">
        <f t="shared" si="41"/>
        <v>213785</v>
      </c>
      <c r="AN36" s="29">
        <f t="shared" si="41"/>
        <v>218640</v>
      </c>
      <c r="AO36" s="29">
        <f t="shared" si="41"/>
        <v>238153</v>
      </c>
      <c r="AQ36" s="1" t="s">
        <v>179</v>
      </c>
      <c r="AR36" s="27">
        <f>AR15</f>
        <v>949868</v>
      </c>
      <c r="AS36" s="27">
        <f t="shared" ref="AS36:AV36" si="42">AS15</f>
        <v>911162</v>
      </c>
      <c r="AT36" s="27">
        <f t="shared" si="42"/>
        <v>964779</v>
      </c>
      <c r="AU36" s="27">
        <f t="shared" si="42"/>
        <v>963272</v>
      </c>
      <c r="AV36" s="27">
        <f t="shared" si="42"/>
        <v>965429</v>
      </c>
    </row>
    <row r="37" spans="15:49" x14ac:dyDescent="0.3">
      <c r="AD37" s="22"/>
      <c r="AE37" s="22"/>
      <c r="AF37" s="22"/>
      <c r="AG37" s="22"/>
      <c r="AH37" s="22"/>
      <c r="AI37" s="22"/>
    </row>
    <row r="38" spans="15:49" x14ac:dyDescent="0.3">
      <c r="O38" s="1" t="s">
        <v>11</v>
      </c>
      <c r="P38" s="1" t="s">
        <v>66</v>
      </c>
      <c r="Q38" s="1" t="s">
        <v>67</v>
      </c>
      <c r="R38" s="1" t="s">
        <v>68</v>
      </c>
      <c r="S38" s="1" t="s">
        <v>69</v>
      </c>
      <c r="T38" s="1" t="s">
        <v>70</v>
      </c>
      <c r="U38" s="1" t="s">
        <v>71</v>
      </c>
      <c r="AC38" s="1" t="s">
        <v>11</v>
      </c>
      <c r="AD38" s="22" t="s">
        <v>66</v>
      </c>
      <c r="AE38" s="22" t="s">
        <v>67</v>
      </c>
      <c r="AF38" s="22" t="s">
        <v>68</v>
      </c>
      <c r="AG38" s="22" t="s">
        <v>69</v>
      </c>
      <c r="AH38" s="22" t="s">
        <v>70</v>
      </c>
      <c r="AI38" s="22" t="s">
        <v>71</v>
      </c>
      <c r="AQ38" s="1" t="s">
        <v>11</v>
      </c>
      <c r="AR38" s="1" t="s">
        <v>66</v>
      </c>
      <c r="AS38" s="1" t="s">
        <v>67</v>
      </c>
      <c r="AT38" s="1" t="s">
        <v>68</v>
      </c>
      <c r="AU38" s="1" t="s">
        <v>69</v>
      </c>
      <c r="AV38" s="1" t="s">
        <v>70</v>
      </c>
      <c r="AW38" s="1" t="s">
        <v>71</v>
      </c>
    </row>
    <row r="39" spans="15:49" x14ac:dyDescent="0.3">
      <c r="O39" s="1" t="s">
        <v>84</v>
      </c>
      <c r="P39" s="27">
        <f>DCF!R6</f>
        <v>71338.08000856961</v>
      </c>
      <c r="Q39" s="27">
        <f>DCF!S6</f>
        <v>80005.737423536601</v>
      </c>
      <c r="R39" s="27">
        <f>DCF!T6</f>
        <v>89728.182627911287</v>
      </c>
      <c r="S39" s="27">
        <f>DCF!U6</f>
        <v>100633.9647070661</v>
      </c>
      <c r="T39" s="27">
        <f>DCF!V6</f>
        <v>112867.32089915925</v>
      </c>
      <c r="U39" s="27">
        <f>DCF!W6</f>
        <v>126590.09364360153</v>
      </c>
      <c r="AC39" s="1" t="s">
        <v>84</v>
      </c>
      <c r="AD39" s="29">
        <f>DCF!Z6</f>
        <v>55385.074300757384</v>
      </c>
      <c r="AE39" s="29">
        <f>DCF!AA6</f>
        <v>57603.125317856946</v>
      </c>
      <c r="AF39" s="29">
        <f>DCF!AB6</f>
        <v>59961.445279749838</v>
      </c>
      <c r="AG39" s="29">
        <f>DCF!AC6</f>
        <v>62472.724606104086</v>
      </c>
      <c r="AH39" s="29">
        <f>DCF!AD6</f>
        <v>65150.98147256278</v>
      </c>
      <c r="AI39" s="29">
        <f>DCF!AE6</f>
        <v>68011.706633788155</v>
      </c>
      <c r="AQ39" s="1" t="s">
        <v>84</v>
      </c>
      <c r="AR39" s="27">
        <f>DCF!AX6</f>
        <v>79642.806814627795</v>
      </c>
      <c r="AS39" s="27">
        <f>DCF!AY6</f>
        <v>79844.536758110698</v>
      </c>
      <c r="AT39" s="27">
        <f>DCF!AZ6</f>
        <v>80046.83154834414</v>
      </c>
      <c r="AU39" s="27">
        <f>DCF!BA6</f>
        <v>80249.692877436828</v>
      </c>
      <c r="AV39" s="27">
        <f>DCF!BB6</f>
        <v>80453.122442771564</v>
      </c>
      <c r="AW39" s="27">
        <f>DCF!BC6</f>
        <v>80657.121947022126</v>
      </c>
    </row>
    <row r="40" spans="15:49" x14ac:dyDescent="0.3">
      <c r="O40" s="1" t="s">
        <v>59</v>
      </c>
      <c r="P40" s="27">
        <f>DCF!R11</f>
        <v>10433.001586514096</v>
      </c>
      <c r="Q40" s="27">
        <f>DCF!S11</f>
        <v>11731.776756480203</v>
      </c>
      <c r="R40" s="27">
        <f>DCF!T11</f>
        <v>13192.163686093352</v>
      </c>
      <c r="S40" s="27">
        <f>DCF!U11</f>
        <v>14834.264657995542</v>
      </c>
      <c r="T40" s="27">
        <f>DCF!V11</f>
        <v>16680.681542020593</v>
      </c>
      <c r="U40" s="27">
        <f>DCF!W11</f>
        <v>18756.826506409801</v>
      </c>
      <c r="AC40" s="1" t="s">
        <v>59</v>
      </c>
      <c r="AD40" s="29">
        <f>DCF!Z11</f>
        <v>13055.783582546472</v>
      </c>
      <c r="AE40" s="29">
        <f>DCF!AA11</f>
        <v>13455.673758274601</v>
      </c>
      <c r="AF40" s="29">
        <f>DCF!AB11</f>
        <v>13871.721825320961</v>
      </c>
      <c r="AG40" s="29">
        <f>DCF!AC11</f>
        <v>14304.960235365403</v>
      </c>
      <c r="AH40" s="29">
        <f>DCF!AD11</f>
        <v>14756.515348034027</v>
      </c>
      <c r="AI40" s="29">
        <f>DCF!AE11</f>
        <v>15227.617272604652</v>
      </c>
      <c r="AQ40" s="1" t="s">
        <v>59</v>
      </c>
      <c r="AR40" s="27">
        <f>DCF!AX11</f>
        <v>15892.79371965242</v>
      </c>
      <c r="AS40" s="27">
        <f>DCF!AY11</f>
        <v>15930.61136168986</v>
      </c>
      <c r="AT40" s="27">
        <f>DCF!AZ11</f>
        <v>15968.529892694529</v>
      </c>
      <c r="AU40" s="27">
        <f>DCF!BA11</f>
        <v>16006.549605618255</v>
      </c>
      <c r="AV40" s="27">
        <f>DCF!BB11</f>
        <v>16044.670794309868</v>
      </c>
      <c r="AW40" s="27">
        <f>DCF!BC11</f>
        <v>16082.893753518021</v>
      </c>
    </row>
    <row r="41" spans="15:49" x14ac:dyDescent="0.3">
      <c r="O41" s="1" t="s">
        <v>61</v>
      </c>
      <c r="P41" s="27">
        <f>DCF!R13</f>
        <v>8199.0904330473568</v>
      </c>
      <c r="Q41" s="27">
        <f>DCF!S13</f>
        <v>9219.7722552866417</v>
      </c>
      <c r="R41" s="27">
        <f>DCF!T13</f>
        <v>10367.461575933943</v>
      </c>
      <c r="S41" s="27">
        <f>DCF!U13</f>
        <v>11657.956382934115</v>
      </c>
      <c r="T41" s="27">
        <f>DCF!V13</f>
        <v>13109.019040568117</v>
      </c>
      <c r="U41" s="27">
        <f>DCF!W13</f>
        <v>14740.620471276863</v>
      </c>
      <c r="AC41" s="1" t="s">
        <v>61</v>
      </c>
      <c r="AD41" s="29">
        <f>DCF!Z13</f>
        <v>10312.611491208052</v>
      </c>
      <c r="AE41" s="29">
        <f>DCF!AA13</f>
        <v>10628.480086559781</v>
      </c>
      <c r="AF41" s="29">
        <f>DCF!AB13</f>
        <v>10957.111612196662</v>
      </c>
      <c r="AG41" s="29">
        <f>DCF!AC13</f>
        <v>11299.321589683559</v>
      </c>
      <c r="AH41" s="29">
        <f>DCF!AD13</f>
        <v>11655.999717379049</v>
      </c>
      <c r="AI41" s="29">
        <f>DCF!AE13</f>
        <v>12028.117644284028</v>
      </c>
      <c r="AQ41" s="1" t="s">
        <v>61</v>
      </c>
      <c r="AR41" s="27">
        <f>DCF!AX13</f>
        <v>11357.705832881817</v>
      </c>
      <c r="AS41" s="27">
        <f>DCF!AY13</f>
        <v>11384.732022306483</v>
      </c>
      <c r="AT41" s="27">
        <f>DCF!AZ13</f>
        <v>11411.830311528818</v>
      </c>
      <c r="AU41" s="27">
        <f>DCF!BA13</f>
        <v>11439.000909905382</v>
      </c>
      <c r="AV41" s="27">
        <f>DCF!BB13</f>
        <v>11466.244027433786</v>
      </c>
      <c r="AW41" s="27">
        <f>DCF!BC13</f>
        <v>11493.559874754676</v>
      </c>
    </row>
    <row r="42" spans="15:49" x14ac:dyDescent="0.3">
      <c r="O42" s="1" t="s">
        <v>179</v>
      </c>
      <c r="P42" s="27">
        <f>DCF!R3</f>
        <v>215726.57715708099</v>
      </c>
      <c r="Q42" s="27">
        <f>DCF!S3</f>
        <v>239895.0276139346</v>
      </c>
      <c r="R42" s="27">
        <f>DCF!T3</f>
        <v>266771.13702122</v>
      </c>
      <c r="S42" s="27">
        <f>DCF!U3</f>
        <v>296658.25196728972</v>
      </c>
      <c r="T42" s="27">
        <f>DCF!V3</f>
        <v>329893.70380532439</v>
      </c>
      <c r="U42" s="27">
        <f>DCF!W3</f>
        <v>366852.61606137612</v>
      </c>
      <c r="AC42" s="1" t="s">
        <v>179</v>
      </c>
      <c r="AD42" s="29">
        <f>DCF!Z3</f>
        <v>217901.96083470076</v>
      </c>
      <c r="AE42" s="29">
        <f>DCF!AA3</f>
        <v>242004.4063996303</v>
      </c>
      <c r="AF42" s="29">
        <f>DCF!AB3</f>
        <v>268772.85772231012</v>
      </c>
      <c r="AG42" s="29">
        <f>DCF!AC3</f>
        <v>298502.205488468</v>
      </c>
      <c r="AH42" s="29">
        <f>DCF!AD3</f>
        <v>331519.95866167155</v>
      </c>
      <c r="AI42" s="29">
        <f>DCF!AE3</f>
        <v>368189.85243739642</v>
      </c>
      <c r="AJ42" s="1" t="s">
        <v>11</v>
      </c>
      <c r="AK42" s="22" t="s">
        <v>66</v>
      </c>
      <c r="AL42" s="22" t="s">
        <v>67</v>
      </c>
      <c r="AM42" s="22" t="s">
        <v>68</v>
      </c>
      <c r="AN42" s="22" t="s">
        <v>69</v>
      </c>
      <c r="AO42" s="22" t="s">
        <v>70</v>
      </c>
      <c r="AP42" s="22" t="s">
        <v>71</v>
      </c>
      <c r="AQ42" s="1" t="s">
        <v>179</v>
      </c>
      <c r="AR42" s="27">
        <f>DCF!AX3</f>
        <v>968571.65828853508</v>
      </c>
      <c r="AS42" s="27">
        <f>DCF!AY3</f>
        <v>971724.54653817404</v>
      </c>
      <c r="AT42" s="27">
        <f>DCF!AZ3</f>
        <v>974887.69804942049</v>
      </c>
      <c r="AU42" s="27">
        <f>DCF!BA3</f>
        <v>978061.14623117796</v>
      </c>
      <c r="AV42" s="27">
        <f>DCF!BB3</f>
        <v>981244.92460110213</v>
      </c>
      <c r="AW42" s="27">
        <f>DCF!BC3</f>
        <v>984439.06678595534</v>
      </c>
    </row>
    <row r="43" spans="15:49" x14ac:dyDescent="0.3">
      <c r="V43" s="68" t="s">
        <v>11</v>
      </c>
      <c r="W43" s="22" t="s">
        <v>66</v>
      </c>
      <c r="X43" s="22" t="s">
        <v>67</v>
      </c>
      <c r="Y43" s="22" t="s">
        <v>68</v>
      </c>
      <c r="Z43" s="22" t="s">
        <v>69</v>
      </c>
      <c r="AA43" s="22" t="s">
        <v>70</v>
      </c>
      <c r="AB43" s="22" t="s">
        <v>71</v>
      </c>
      <c r="AJ43" s="1" t="s">
        <v>84</v>
      </c>
      <c r="AK43" s="29">
        <f>DCF!AP6</f>
        <v>66223.538574815277</v>
      </c>
      <c r="AL43" s="29">
        <f>DCF!AQ6</f>
        <v>69949.346368705548</v>
      </c>
      <c r="AM43" s="29">
        <f>DCF!AR6</f>
        <v>73904.427541096724</v>
      </c>
      <c r="AN43" s="29">
        <f>DCF!AS6</f>
        <v>78104.527056706866</v>
      </c>
      <c r="AO43" s="29">
        <f>DCF!AT6</f>
        <v>82566.595677650635</v>
      </c>
      <c r="AP43" s="29">
        <f>DCF!AU6</f>
        <v>87308.890800765847</v>
      </c>
    </row>
    <row r="44" spans="15:49" x14ac:dyDescent="0.3">
      <c r="V44" s="68" t="s">
        <v>84</v>
      </c>
      <c r="W44" s="29">
        <f>DCF!AH3</f>
        <v>21370.032876628706</v>
      </c>
      <c r="X44" s="29">
        <f>DCF!AI3</f>
        <v>22378.512527475461</v>
      </c>
      <c r="Y44" s="29">
        <f>DCF!AJ3</f>
        <v>23434.583644935461</v>
      </c>
      <c r="Z44" s="29">
        <f>DCF!AK3</f>
        <v>24540.49213222797</v>
      </c>
      <c r="AA44" s="29">
        <f>DCF!AL3</f>
        <v>25698.589879666772</v>
      </c>
      <c r="AB44" s="29">
        <f>DCF!AM3</f>
        <v>26911.339766329034</v>
      </c>
      <c r="AJ44" s="1" t="s">
        <v>59</v>
      </c>
      <c r="AK44" s="29">
        <f>DCF!AP11</f>
        <v>14269.988394589003</v>
      </c>
      <c r="AL44" s="29">
        <f>DCF!AQ11</f>
        <v>15058.078582878541</v>
      </c>
      <c r="AM44" s="29">
        <f>DCF!AR11</f>
        <v>15893.436823938033</v>
      </c>
      <c r="AN44" s="29">
        <f>DCF!AS11</f>
        <v>16779.21568453194</v>
      </c>
      <c r="AO44" s="29">
        <f>DCF!AT11</f>
        <v>17718.802788624227</v>
      </c>
      <c r="AP44" s="29">
        <f>DCF!AU11</f>
        <v>18715.840084590251</v>
      </c>
    </row>
    <row r="45" spans="15:49" x14ac:dyDescent="0.3">
      <c r="V45" s="68" t="s">
        <v>59</v>
      </c>
      <c r="W45" s="29">
        <f>DCF!AH6</f>
        <v>6219.9754972638057</v>
      </c>
      <c r="X45" s="29">
        <f>DCF!AI6</f>
        <v>6513.5042322905128</v>
      </c>
      <c r="Y45" s="29">
        <f>DCF!AJ6</f>
        <v>6820.8849701626141</v>
      </c>
      <c r="Z45" s="29">
        <f>DCF!AK6</f>
        <v>7142.7714049138867</v>
      </c>
      <c r="AA45" s="29">
        <f>DCF!AL6</f>
        <v>7479.8480792499222</v>
      </c>
      <c r="AB45" s="29">
        <f>DCF!AM6</f>
        <v>7832.8318403370849</v>
      </c>
      <c r="AJ45" s="1" t="s">
        <v>61</v>
      </c>
      <c r="AK45" s="29">
        <f>DCF!AP13</f>
        <v>8469.8650971565312</v>
      </c>
      <c r="AL45" s="29">
        <f>DCF!AQ13</f>
        <v>8937.6312504728267</v>
      </c>
      <c r="AM45" s="29">
        <f>DCF!AR13</f>
        <v>9433.4530699393908</v>
      </c>
      <c r="AN45" s="29">
        <f>DCF!AS13</f>
        <v>9959.2017424462465</v>
      </c>
      <c r="AO45" s="29">
        <f>DCF!AT13</f>
        <v>10516.887971659107</v>
      </c>
      <c r="AP45" s="29">
        <f>DCF!AU13</f>
        <v>11108.673413956181</v>
      </c>
    </row>
    <row r="46" spans="15:49" x14ac:dyDescent="0.3">
      <c r="V46" s="68" t="s">
        <v>126</v>
      </c>
      <c r="W46" s="29">
        <f>DCF!AH10</f>
        <v>7845.3611821350678</v>
      </c>
      <c r="X46" s="29">
        <f>DCF!AI10</f>
        <v>5805.9117479703964</v>
      </c>
      <c r="Y46" s="29">
        <f>DCF!AJ10</f>
        <v>6079.9002760294115</v>
      </c>
      <c r="Z46" s="29">
        <f>DCF!AK10</f>
        <v>6366.8186791479629</v>
      </c>
      <c r="AA46" s="29">
        <f>DCF!AL10</f>
        <v>6667.2771349500508</v>
      </c>
      <c r="AB46" s="29">
        <f>DCF!AM10</f>
        <v>6981.9146161355147</v>
      </c>
      <c r="AJ46" s="1" t="s">
        <v>179</v>
      </c>
      <c r="AK46" s="29">
        <f>DCF!AP3</f>
        <v>261014.12122109719</v>
      </c>
      <c r="AL46" s="29">
        <f>DCF!AQ3</f>
        <v>286069.75967895269</v>
      </c>
      <c r="AM46" s="29">
        <f>DCF!AR3</f>
        <v>313530.57459083991</v>
      </c>
      <c r="AN46" s="29">
        <f>DCF!AS3</f>
        <v>343627.44707298983</v>
      </c>
      <c r="AO46" s="29">
        <f>DCF!AT3</f>
        <v>376613.42130985344</v>
      </c>
      <c r="AP46" s="29">
        <f>DCF!AU3</f>
        <v>412765.83206284296</v>
      </c>
    </row>
    <row r="47" spans="15:49" x14ac:dyDescent="0.3">
      <c r="V47" s="68"/>
      <c r="W47" s="29"/>
      <c r="X47" s="29"/>
      <c r="Y47" s="29"/>
      <c r="Z47" s="29"/>
      <c r="AA47" s="29"/>
      <c r="AB47" s="29"/>
    </row>
  </sheetData>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84CA0-D6AB-4775-BEC7-E2D3EE1956B1}">
  <dimension ref="A1:S35"/>
  <sheetViews>
    <sheetView workbookViewId="0">
      <selection activeCell="E8" sqref="E8"/>
    </sheetView>
  </sheetViews>
  <sheetFormatPr defaultRowHeight="14.4" x14ac:dyDescent="0.3"/>
  <cols>
    <col min="1" max="1" width="27" style="1" bestFit="1" customWidth="1"/>
    <col min="2" max="3" width="12.33203125" style="22" bestFit="1" customWidth="1"/>
    <col min="4" max="4" width="10.88671875" style="22" bestFit="1" customWidth="1"/>
    <col min="5" max="5" width="9.88671875" style="22" bestFit="1" customWidth="1"/>
    <col min="6" max="7" width="10.88671875" style="22" bestFit="1" customWidth="1"/>
    <col min="8" max="8" width="8.88671875" style="1"/>
    <col min="9" max="9" width="27" style="1" bestFit="1" customWidth="1"/>
    <col min="10" max="10" width="11" style="1" customWidth="1"/>
    <col min="11" max="12" width="8.88671875" style="1"/>
    <col min="13" max="13" width="12.77734375" style="1" bestFit="1" customWidth="1"/>
    <col min="14" max="19" width="9.88671875" style="1" bestFit="1" customWidth="1"/>
    <col min="20" max="16384" width="8.88671875" style="1"/>
  </cols>
  <sheetData>
    <row r="1" spans="1:19" x14ac:dyDescent="0.3">
      <c r="A1" s="1" t="s">
        <v>34</v>
      </c>
      <c r="B1" s="22" t="s">
        <v>35</v>
      </c>
      <c r="C1" s="22" t="s">
        <v>36</v>
      </c>
      <c r="D1" s="22" t="s">
        <v>100</v>
      </c>
      <c r="E1" s="22" t="s">
        <v>120</v>
      </c>
      <c r="F1" s="22" t="s">
        <v>122</v>
      </c>
      <c r="G1" s="22" t="s">
        <v>121</v>
      </c>
      <c r="I1" s="1" t="s">
        <v>34</v>
      </c>
      <c r="J1" s="22" t="s">
        <v>96</v>
      </c>
    </row>
    <row r="2" spans="1:19" x14ac:dyDescent="0.3">
      <c r="A2" s="1" t="s">
        <v>38</v>
      </c>
      <c r="B2" s="23">
        <v>4.3999999999999997E-2</v>
      </c>
      <c r="C2" s="23">
        <v>4.3999999999999997E-2</v>
      </c>
      <c r="D2" s="23">
        <v>4.3999999999999997E-2</v>
      </c>
      <c r="E2" s="23">
        <v>4.3999999999999997E-2</v>
      </c>
      <c r="F2" s="23">
        <v>4.3999999999999997E-2</v>
      </c>
      <c r="G2" s="23">
        <v>4.3999999999999997E-2</v>
      </c>
      <c r="I2" s="1" t="s">
        <v>135</v>
      </c>
      <c r="J2" s="31">
        <f>(Financials!AA4/Financials!W4)^(1/5)-1</f>
        <v>4.7191300858955509E-2</v>
      </c>
      <c r="M2" s="1" t="s">
        <v>11</v>
      </c>
      <c r="N2" s="1">
        <v>2020</v>
      </c>
      <c r="O2" s="1">
        <v>2021</v>
      </c>
      <c r="P2" s="1">
        <v>2022</v>
      </c>
      <c r="Q2" s="1">
        <v>2023</v>
      </c>
      <c r="R2" s="1">
        <v>2024</v>
      </c>
    </row>
    <row r="3" spans="1:19" x14ac:dyDescent="0.3">
      <c r="A3" s="1" t="s">
        <v>39</v>
      </c>
      <c r="B3" s="23">
        <v>5.5E-2</v>
      </c>
      <c r="C3" s="23">
        <v>5.5E-2</v>
      </c>
      <c r="D3" s="23">
        <v>5.5E-2</v>
      </c>
      <c r="E3" s="23">
        <v>5.5E-2</v>
      </c>
      <c r="F3" s="23">
        <v>5.5E-2</v>
      </c>
      <c r="G3" s="23">
        <v>5.5E-2</v>
      </c>
      <c r="I3" s="1" t="s">
        <v>136</v>
      </c>
      <c r="J3" s="31">
        <f>AVERAGE(Financials!W6:AA6)/AVERAGE(Financials!W4:AA4)</f>
        <v>0.37315466974857719</v>
      </c>
      <c r="M3" s="1" t="s">
        <v>152</v>
      </c>
      <c r="N3" s="27">
        <f>Financials!W17-Financials!W16</f>
        <v>8672</v>
      </c>
      <c r="O3" s="27">
        <f>Financials!X17-Financials!X16</f>
        <v>8764</v>
      </c>
      <c r="P3" s="27">
        <f>Financials!Y17-Financials!Y16</f>
        <v>7114</v>
      </c>
      <c r="Q3" s="27">
        <f>Financials!Z17-Financials!Z16</f>
        <v>9019</v>
      </c>
      <c r="R3" s="27">
        <f>Financials!AA17-Financials!AA16</f>
        <v>12566</v>
      </c>
    </row>
    <row r="4" spans="1:19" x14ac:dyDescent="0.3">
      <c r="A4" s="1" t="s">
        <v>2</v>
      </c>
      <c r="B4" s="24">
        <f ca="1">'Company Profile'!B3</f>
        <v>1.0810999999999999</v>
      </c>
      <c r="C4" s="24">
        <f ca="1">'Company Profile'!C3</f>
        <v>1.3076000000000001</v>
      </c>
      <c r="D4" s="24">
        <f ca="1">'Company Profile'!D3</f>
        <v>1.1574</v>
      </c>
      <c r="E4" s="24">
        <f ca="1">'Company Profile'!F3</f>
        <v>1.3513999999999999</v>
      </c>
      <c r="F4" s="24">
        <f ca="1">'Company Profile'!G3</f>
        <v>1.2204999999999999</v>
      </c>
      <c r="G4" s="24">
        <f ca="1">'Company Profile'!H3</f>
        <v>1.1135999999999999</v>
      </c>
      <c r="I4" s="1" t="s">
        <v>137</v>
      </c>
      <c r="J4" s="31">
        <f>AVERAGE(Financials!W7:AA7)/AVERAGE(Table1823[[#This Row],[2020]:[2024]])</f>
        <v>9.2239255108048576E-3</v>
      </c>
      <c r="M4" s="1" t="s">
        <v>153</v>
      </c>
      <c r="N4" s="27">
        <f>DCF!AH3*'Assumptions &amp; WACC'!$J$6</f>
        <v>10749.323652535657</v>
      </c>
      <c r="O4" s="27">
        <f>DCF!AI3*'Assumptions &amp; WACC'!$J$6</f>
        <v>11256.598219052754</v>
      </c>
      <c r="P4" s="27">
        <f>DCF!AJ3*'Assumptions &amp; WACC'!$J$6</f>
        <v>11787.811732256456</v>
      </c>
      <c r="Q4" s="27">
        <f>DCF!AK3*'Assumptions &amp; WACC'!$J$6</f>
        <v>12344.093902182096</v>
      </c>
      <c r="R4" s="27">
        <f>DCF!AL3*'Assumptions &amp; WACC'!$J$6</f>
        <v>12926.62775135117</v>
      </c>
      <c r="S4" s="27">
        <f>DCF!AM3*'Assumptions &amp; WACC'!$J$6</f>
        <v>13536.652130656907</v>
      </c>
    </row>
    <row r="5" spans="1:19" x14ac:dyDescent="0.3">
      <c r="A5" s="14" t="s">
        <v>40</v>
      </c>
      <c r="B5" s="35">
        <f ca="1">B2+(B3*B4)</f>
        <v>0.1034605</v>
      </c>
      <c r="C5" s="35">
        <f ca="1">C2+(C3*C4)</f>
        <v>0.11591800000000001</v>
      </c>
      <c r="D5" s="35">
        <f t="shared" ref="D5:G5" ca="1" si="0">D2+(D3*D4)</f>
        <v>0.107657</v>
      </c>
      <c r="E5" s="35">
        <f t="shared" ca="1" si="0"/>
        <v>0.11832699999999999</v>
      </c>
      <c r="F5" s="35">
        <f t="shared" ca="1" si="0"/>
        <v>0.11112749999999999</v>
      </c>
      <c r="G5" s="35">
        <f t="shared" ca="1" si="0"/>
        <v>0.10524799999999999</v>
      </c>
      <c r="I5" s="1" t="s">
        <v>138</v>
      </c>
      <c r="J5" s="31">
        <f>AVERAGE(Financials!W29:AA29)/AVERAGE(Financials!W4:AA4)</f>
        <v>1.8175276390675767E-2</v>
      </c>
    </row>
    <row r="6" spans="1:19" x14ac:dyDescent="0.3">
      <c r="A6" s="1" t="s">
        <v>41</v>
      </c>
      <c r="B6" s="23">
        <v>2.5000000000000001E-2</v>
      </c>
      <c r="C6" s="23">
        <v>2.5000000000000001E-2</v>
      </c>
      <c r="D6" s="23">
        <v>2.5000000000000001E-2</v>
      </c>
      <c r="E6" s="23">
        <v>0.02</v>
      </c>
      <c r="F6" s="23">
        <v>0.02</v>
      </c>
      <c r="G6" s="23">
        <v>0.02</v>
      </c>
      <c r="I6" s="1" t="s">
        <v>139</v>
      </c>
      <c r="J6" s="31">
        <f>AVERAGE(N3:R3)/AVERAGE(Financials!W4:AA4)</f>
        <v>0.50300922392551084</v>
      </c>
    </row>
    <row r="7" spans="1:19" x14ac:dyDescent="0.3">
      <c r="A7" s="1" t="s">
        <v>42</v>
      </c>
      <c r="B7" s="23">
        <f>AVERAGE(Table3[[2020]:[2024]])/AVERAGE(Financials!B11:F11)</f>
        <v>0.1987853745162016</v>
      </c>
      <c r="C7" s="23">
        <f>AVERAGE(Table310[[2020]:[2024]])/AVERAGE(Financials!I11:M11)</f>
        <v>0.21011163933550556</v>
      </c>
      <c r="D7" s="23">
        <f>AVERAGE(Financials!P28:T28)/AVERAGE(Financials!P11:T11)</f>
        <v>0.21411969843408607</v>
      </c>
      <c r="E7" s="23">
        <f>AVERAGE(Financials!AD28:AH28)/AVERAGE(Financials!AD11:AH11)</f>
        <v>0.26396427666291356</v>
      </c>
      <c r="F7" s="23">
        <f>AVERAGE(Financials!AK28:AO28)/AVERAGE(Financials!AK11:AO11)</f>
        <v>0.40645606268550327</v>
      </c>
      <c r="G7" s="23">
        <f>AVERAGE(Financials!AR28:AV28)/AVERAGE(Financials!AR11:AV11)</f>
        <v>0.28535498331943282</v>
      </c>
      <c r="I7" s="1" t="s">
        <v>140</v>
      </c>
      <c r="J7" s="22">
        <v>6</v>
      </c>
    </row>
    <row r="8" spans="1:19" x14ac:dyDescent="0.3">
      <c r="A8" s="1" t="s">
        <v>43</v>
      </c>
      <c r="B8" s="23">
        <f>(Financials!F15/Financials!B15)^(1/5)-1</f>
        <v>6.0983973325424934E-2</v>
      </c>
      <c r="C8" s="23">
        <f>(Financials!M15/Financials!I15)^(1/5)-1</f>
        <v>1.5322980004420117E-2</v>
      </c>
      <c r="D8" s="23">
        <f>(Financials!T15/Financials!P15)^(1/5)-1</f>
        <v>0.11203279065265748</v>
      </c>
      <c r="E8" s="23">
        <f>(Financials!AH15/Financials!AD15)^(1/5)-1</f>
        <v>0.11061142117584488</v>
      </c>
      <c r="F8" s="23">
        <f>(Financials!AO15/Financials!AK15)^(1/5)-1</f>
        <v>9.5993421124643374E-2</v>
      </c>
      <c r="G8" s="23">
        <f>(Financials!AV15/Financials!AR15)^(1/5)-1</f>
        <v>3.2551935859965742E-3</v>
      </c>
      <c r="I8" s="1" t="s">
        <v>141</v>
      </c>
      <c r="J8" s="31">
        <f>G2</f>
        <v>4.3999999999999997E-2</v>
      </c>
    </row>
    <row r="9" spans="1:19" x14ac:dyDescent="0.3">
      <c r="A9" s="1" t="s">
        <v>44</v>
      </c>
      <c r="B9" s="23">
        <f>AVERAGE(Financials!D4:F4)/(AVERAGE(Financials!D15:F15))</f>
        <v>6.6444791959046734E-2</v>
      </c>
      <c r="C9" s="23">
        <f>AVERAGE(Financials!I4:M4)/(AVERAGE(Financials!I15:M15))</f>
        <v>5.0089067082744146E-2</v>
      </c>
      <c r="D9" s="23">
        <f>AVERAGE(Financials!P4:T4)/(AVERAGE(Financials!P15:T15))</f>
        <v>6.8067617652182957E-2</v>
      </c>
      <c r="E9" s="23">
        <f>AVERAGE(Financials!AD4:AH4)/(AVERAGE(Financials!AD15:AH15))</f>
        <v>3.995820141304178E-2</v>
      </c>
      <c r="F9" s="23">
        <f>AVERAGE(Financials!AK4:AO4)/(AVERAGE(Financials!AK15:AO15))</f>
        <v>4.0152222956497959E-2</v>
      </c>
      <c r="G9" s="23">
        <f>AVERAGE(Financials!AR4:AV4)/(AVERAGE(Financials!AR15:AV15))</f>
        <v>4.6426655954031011E-2</v>
      </c>
      <c r="I9" s="1" t="s">
        <v>39</v>
      </c>
      <c r="J9" s="31">
        <f>G3</f>
        <v>5.5E-2</v>
      </c>
    </row>
    <row r="10" spans="1:19" x14ac:dyDescent="0.3">
      <c r="A10" s="1" t="s">
        <v>45</v>
      </c>
      <c r="B10" s="23">
        <f>(Financials!F5/Financials!B5)^(1/5)-1</f>
        <v>5.37960818981158E-2</v>
      </c>
      <c r="C10" s="23">
        <f>(Financials!M5/Financials!I5)^(1/5)-1</f>
        <v>1.6781615009655804E-2</v>
      </c>
      <c r="D10" s="23">
        <f>(Financials!T5/Financials!P5)^(1/5)-1</f>
        <v>0.12395520051635267</v>
      </c>
      <c r="E10" s="23">
        <f>(Financials!AH5/Financials!AD5)^(1/5)-1</f>
        <v>2.6885424617820952E-2</v>
      </c>
      <c r="F10" s="23">
        <f>(Financials!AO5/Financials!AK5)^(1/5)-1</f>
        <v>4.8790995009433624E-2</v>
      </c>
      <c r="G10" s="23">
        <f>(Financials!AV5/Financials!AR5)^(1/5)-1</f>
        <v>1.5962931380903989E-3</v>
      </c>
      <c r="I10" s="1" t="s">
        <v>2</v>
      </c>
      <c r="J10" s="56">
        <f ca="1">'Company Profile'!E3</f>
        <v>1.4866999999999999</v>
      </c>
    </row>
    <row r="11" spans="1:19" x14ac:dyDescent="0.3">
      <c r="A11" s="1" t="s">
        <v>46</v>
      </c>
      <c r="B11" s="23">
        <f>AVERAGE(Financials!B7:F7)/AVERAGE(Financials!B6:F6)</f>
        <v>0.55684569129760397</v>
      </c>
      <c r="C11" s="23">
        <f>AVERAGE(Financials!I7:M7)/AVERAGE(Financials!I6:M6)</f>
        <v>0.65744725662097736</v>
      </c>
      <c r="D11" s="23">
        <f>AVERAGE(Financials!P7:T7)/AVERAGE(Financials!P6:T6)</f>
        <v>0.75337189140124061</v>
      </c>
      <c r="E11" s="23">
        <f>AVERAGE(Financials!AD7:AH7)/AVERAGE(Financials!AD6:AH6)</f>
        <v>0.63872445524439314</v>
      </c>
      <c r="F11" s="23">
        <f>AVERAGE(Financials!AK7:AO7)/AVERAGE(Financials!AK6:AO6)</f>
        <v>0.71655166201243126</v>
      </c>
      <c r="G11" s="23">
        <f>AVERAGE(Financials!AR7:AV7)/AVERAGE(Financials!AR6:AV6)</f>
        <v>0.68983367623393288</v>
      </c>
      <c r="I11" s="14" t="s">
        <v>94</v>
      </c>
      <c r="J11" s="55">
        <f ca="1">J8+(J9*J10)</f>
        <v>0.12576850000000001</v>
      </c>
    </row>
    <row r="12" spans="1:19" x14ac:dyDescent="0.3">
      <c r="A12" s="1" t="s">
        <v>47</v>
      </c>
      <c r="B12" s="23">
        <v>0.22</v>
      </c>
      <c r="C12" s="23">
        <v>0.22</v>
      </c>
      <c r="D12" s="23">
        <v>0.22</v>
      </c>
      <c r="E12" s="23">
        <v>0.22</v>
      </c>
      <c r="F12" s="23">
        <v>0.22</v>
      </c>
      <c r="G12" s="23">
        <v>0.22</v>
      </c>
      <c r="I12" s="1" t="s">
        <v>142</v>
      </c>
      <c r="J12" s="55">
        <f>AVERAGE(Financials!W8:AA8)/AVERAGE(Financials!W22:AA22)</f>
        <v>3.490720261563611E-2</v>
      </c>
    </row>
    <row r="13" spans="1:19" x14ac:dyDescent="0.3">
      <c r="A13" s="1" t="s">
        <v>64</v>
      </c>
      <c r="B13" s="23">
        <f>AVERAGE(Financials!B9:F9)/AVERAGE(Financials!B15:F15)</f>
        <v>6.0433376311174077E-3</v>
      </c>
      <c r="C13" s="23">
        <f>AVERAGE(Financials!I9:M9)/AVERAGE(Financials!I15:M15)</f>
        <v>3.8766514915378812E-3</v>
      </c>
      <c r="D13" s="23">
        <f>AVERAGE(Financials!P9:T9)/AVERAGE(Financials!P15:T15)</f>
        <v>1.9554070432756483E-2</v>
      </c>
      <c r="E13" s="23">
        <f>AVERAGE(Financials!AD9:AH9)/AVERAGE(Financials!AD15:AH15)</f>
        <v>1.0252891048935779E-2</v>
      </c>
      <c r="F13" s="23">
        <f>AVERAGE(Financials!AK9:AO9)/AVERAGE(Financials!AK15:AO15)</f>
        <v>1.8240201959954781E-3</v>
      </c>
      <c r="G13" s="23">
        <f>AVERAGE(Financials!AR9:AV9)/AVERAGE(Financials!AR15:AV15)</f>
        <v>4.4675476547530657E-3</v>
      </c>
      <c r="I13" s="1" t="s">
        <v>47</v>
      </c>
      <c r="J13" s="31">
        <v>0.22</v>
      </c>
    </row>
    <row r="14" spans="1:19" x14ac:dyDescent="0.3">
      <c r="A14" s="1" t="s">
        <v>65</v>
      </c>
      <c r="B14" s="23">
        <f>AVERAGE(Financials!B23:F23)/AVERAGE(Financials!B15:F15)</f>
        <v>5.8446061600189256E-3</v>
      </c>
      <c r="C14" s="23">
        <f>AVERAGE(Financials!I23:M23)/AVERAGE(Financials!I15:M15)</f>
        <v>5.0817879154880421E-3</v>
      </c>
      <c r="D14" s="23">
        <f>AVERAGE(Financials!P23:T23)/AVERAGE(Financials!P15:T15)</f>
        <v>1.6307801448663201E-2</v>
      </c>
      <c r="E14" s="23"/>
      <c r="F14" s="23"/>
      <c r="G14" s="23">
        <f>AVERAGE(Financials!AR23:AV23)/AVERAGE(Financials!AR15:AV15)</f>
        <v>7.8344561269194941E-3</v>
      </c>
      <c r="I14" s="14" t="s">
        <v>143</v>
      </c>
      <c r="J14" s="35">
        <f>J12*(1-J13)</f>
        <v>2.7227618040196168E-2</v>
      </c>
    </row>
    <row r="15" spans="1:19" x14ac:dyDescent="0.3">
      <c r="A15" s="1" t="s">
        <v>8</v>
      </c>
      <c r="B15" s="57">
        <f>Financials!F21</f>
        <v>2873.9</v>
      </c>
      <c r="C15" s="57">
        <f>Financials!M21</f>
        <v>7673</v>
      </c>
      <c r="D15" s="29">
        <f>Financials!T21</f>
        <v>702</v>
      </c>
      <c r="E15" s="29">
        <f>Financials!AH21</f>
        <v>308.8</v>
      </c>
      <c r="F15" s="29">
        <f>Financials!AO21</f>
        <v>1610</v>
      </c>
      <c r="G15" s="29">
        <f>Financials!AV21</f>
        <v>3302</v>
      </c>
      <c r="I15" s="1" t="s">
        <v>117</v>
      </c>
      <c r="J15" s="56">
        <f>Financials!AA22</f>
        <v>12314</v>
      </c>
    </row>
    <row r="16" spans="1:19" x14ac:dyDescent="0.3">
      <c r="A16" s="1" t="s">
        <v>154</v>
      </c>
      <c r="B16" s="58">
        <f ca="1">1/(1+B5)^6</f>
        <v>0.55393556633063479</v>
      </c>
      <c r="C16" s="58">
        <f t="shared" ref="C16:G16" ca="1" si="1">1/(1+C5)^6</f>
        <v>0.51785276874672792</v>
      </c>
      <c r="D16" s="58">
        <f t="shared" ca="1" si="1"/>
        <v>0.5414622971369385</v>
      </c>
      <c r="E16" s="58">
        <f t="shared" ca="1" si="1"/>
        <v>0.51119563673105284</v>
      </c>
      <c r="F16" s="58">
        <f t="shared" ca="1" si="1"/>
        <v>0.53139396989945875</v>
      </c>
      <c r="G16" s="58">
        <f t="shared" ca="1" si="1"/>
        <v>0.5485820256432824</v>
      </c>
      <c r="I16" s="1" t="s">
        <v>144</v>
      </c>
      <c r="J16" s="56">
        <f ca="1">'Company Profile'!E7</f>
        <v>157645.72647200001</v>
      </c>
    </row>
    <row r="17" spans="1:10" x14ac:dyDescent="0.3">
      <c r="A17" s="1" t="s">
        <v>175</v>
      </c>
      <c r="B17" s="57">
        <f>Financials!F16</f>
        <v>2406032</v>
      </c>
      <c r="C17" s="57">
        <f>Financials!M16</f>
        <v>1924106</v>
      </c>
      <c r="D17" s="29">
        <f>Financials!T16</f>
        <v>139413</v>
      </c>
      <c r="E17" s="29">
        <f>Financials!AA22</f>
        <v>12314</v>
      </c>
      <c r="F17" s="29">
        <f>Financials!AH16</f>
        <v>433013</v>
      </c>
      <c r="G17" s="29">
        <f>Financials!AO16</f>
        <v>376007</v>
      </c>
      <c r="I17" s="14" t="s">
        <v>145</v>
      </c>
      <c r="J17" s="56">
        <f ca="1">J15+J16</f>
        <v>169959.72647200001</v>
      </c>
    </row>
    <row r="18" spans="1:10" x14ac:dyDescent="0.3">
      <c r="A18" s="1" t="s">
        <v>176</v>
      </c>
      <c r="B18" s="57">
        <f>Financials!F20</f>
        <v>344758</v>
      </c>
      <c r="C18" s="57">
        <f>Financials!M20</f>
        <v>294014</v>
      </c>
      <c r="D18" s="29">
        <f>Financials!T20</f>
        <v>30264</v>
      </c>
      <c r="E18" s="29">
        <f>Financials!AA23</f>
        <v>47664</v>
      </c>
      <c r="F18" s="29">
        <f>Financials!AO20</f>
        <v>105428</v>
      </c>
      <c r="G18" s="29">
        <f>Financials!AV20</f>
        <v>168900</v>
      </c>
      <c r="I18" s="1" t="s">
        <v>146</v>
      </c>
      <c r="J18" s="31">
        <f ca="1">J15/$J$17</f>
        <v>7.2452458330054259E-2</v>
      </c>
    </row>
    <row r="19" spans="1:10" x14ac:dyDescent="0.3">
      <c r="A19" s="1" t="s">
        <v>145</v>
      </c>
      <c r="B19" s="57">
        <f>B17+B18</f>
        <v>2750790</v>
      </c>
      <c r="C19" s="57">
        <f t="shared" ref="C19:G19" si="2">C17+C18</f>
        <v>2218120</v>
      </c>
      <c r="D19" s="57">
        <f t="shared" si="2"/>
        <v>169677</v>
      </c>
      <c r="E19" s="57">
        <f t="shared" si="2"/>
        <v>59978</v>
      </c>
      <c r="F19" s="57">
        <f t="shared" si="2"/>
        <v>538441</v>
      </c>
      <c r="G19" s="57">
        <f t="shared" si="2"/>
        <v>544907</v>
      </c>
      <c r="I19" s="1" t="s">
        <v>147</v>
      </c>
      <c r="J19" s="31">
        <f ca="1">J16/$J$17</f>
        <v>0.9275475416699458</v>
      </c>
    </row>
    <row r="20" spans="1:10" x14ac:dyDescent="0.3">
      <c r="A20" s="1" t="s">
        <v>146</v>
      </c>
      <c r="B20" s="23">
        <f>B17/B19</f>
        <v>0.87466945859189538</v>
      </c>
      <c r="C20" s="23">
        <f t="shared" ref="C20:G20" si="3">C17/C19</f>
        <v>0.86744901087407356</v>
      </c>
      <c r="D20" s="23">
        <f t="shared" si="3"/>
        <v>0.82163758199402392</v>
      </c>
      <c r="E20" s="23">
        <f t="shared" si="3"/>
        <v>0.20530861315815799</v>
      </c>
      <c r="F20" s="23">
        <f t="shared" si="3"/>
        <v>0.80419767439700918</v>
      </c>
      <c r="G20" s="23">
        <f t="shared" si="3"/>
        <v>0.69003885066626047</v>
      </c>
      <c r="I20" s="14" t="s">
        <v>148</v>
      </c>
      <c r="J20" s="55">
        <f ca="1">(J11*J19)+(J14*J18)</f>
        <v>0.11862897085600052</v>
      </c>
    </row>
    <row r="21" spans="1:10" x14ac:dyDescent="0.3">
      <c r="A21" s="1" t="s">
        <v>147</v>
      </c>
      <c r="B21" s="23">
        <f>B18/B19</f>
        <v>0.12533054140810457</v>
      </c>
      <c r="C21" s="23">
        <f t="shared" ref="C21:G21" si="4">C18/C19</f>
        <v>0.13255098912592647</v>
      </c>
      <c r="D21" s="23">
        <f t="shared" si="4"/>
        <v>0.17836241800597605</v>
      </c>
      <c r="E21" s="23">
        <f t="shared" si="4"/>
        <v>0.79469138684184204</v>
      </c>
      <c r="F21" s="23">
        <f t="shared" si="4"/>
        <v>0.19580232560299085</v>
      </c>
      <c r="G21" s="23">
        <f t="shared" si="4"/>
        <v>0.30996114933373953</v>
      </c>
      <c r="I21" s="1" t="s">
        <v>149</v>
      </c>
      <c r="J21" s="22">
        <v>2030</v>
      </c>
    </row>
    <row r="22" spans="1:10" x14ac:dyDescent="0.3">
      <c r="I22" s="1" t="s">
        <v>150</v>
      </c>
      <c r="J22" s="31">
        <f ca="1">1/(1+J20)^6</f>
        <v>0.51036822005215254</v>
      </c>
    </row>
    <row r="23" spans="1:10" x14ac:dyDescent="0.3">
      <c r="I23" s="1" t="s">
        <v>108</v>
      </c>
      <c r="J23" s="56">
        <f>Financials!AA18</f>
        <v>12762</v>
      </c>
    </row>
    <row r="24" spans="1:10" x14ac:dyDescent="0.3">
      <c r="I24" s="1" t="s">
        <v>151</v>
      </c>
      <c r="J24" s="31">
        <v>0.02</v>
      </c>
    </row>
    <row r="25" spans="1:10" x14ac:dyDescent="0.3">
      <c r="I25" s="1" t="s">
        <v>8</v>
      </c>
      <c r="J25" s="56">
        <f>Financials!AA24</f>
        <v>149.19999999999999</v>
      </c>
    </row>
    <row r="26" spans="1:10" x14ac:dyDescent="0.3">
      <c r="A26" s="14"/>
      <c r="I26" s="1" t="s">
        <v>169</v>
      </c>
      <c r="J26" s="23">
        <f>AVERAGE(Financials!W28:AA28)/AVERAGE(Financials!W11:AA11)</f>
        <v>0.48592752763924246</v>
      </c>
    </row>
    <row r="29" spans="1:10" x14ac:dyDescent="0.3">
      <c r="A29" s="14"/>
    </row>
    <row r="32" spans="1:10" x14ac:dyDescent="0.3">
      <c r="A32" s="14"/>
    </row>
    <row r="35" spans="1:1" x14ac:dyDescent="0.3">
      <c r="A35" s="14"/>
    </row>
  </sheetData>
  <phoneticPr fontId="3"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C43F6-6829-4FDD-BF3E-14728BBA15DD}">
  <dimension ref="A1:BC27"/>
  <sheetViews>
    <sheetView tabSelected="1" topLeftCell="AP1" workbookViewId="0">
      <selection activeCell="Z8" sqref="Z8"/>
    </sheetView>
  </sheetViews>
  <sheetFormatPr defaultRowHeight="14.4" x14ac:dyDescent="0.3"/>
  <cols>
    <col min="1" max="1" width="18.109375" style="1" bestFit="1" customWidth="1"/>
    <col min="2" max="7" width="12.33203125" style="22" bestFit="1" customWidth="1"/>
    <col min="8" max="8" width="8.88671875" style="1"/>
    <col min="9" max="9" width="18.109375" style="1" bestFit="1" customWidth="1"/>
    <col min="10" max="15" width="12.33203125" style="22" bestFit="1" customWidth="1"/>
    <col min="16" max="16" width="8.88671875" style="1"/>
    <col min="17" max="17" width="18.109375" style="1" bestFit="1" customWidth="1"/>
    <col min="18" max="23" width="12.33203125" style="1" bestFit="1" customWidth="1"/>
    <col min="24" max="24" width="8.88671875" style="1"/>
    <col min="25" max="25" width="18.109375" style="1" bestFit="1" customWidth="1"/>
    <col min="26" max="30" width="12.33203125" style="1" bestFit="1" customWidth="1"/>
    <col min="31" max="31" width="14" style="1" bestFit="1" customWidth="1"/>
    <col min="32" max="32" width="8.88671875" style="1"/>
    <col min="33" max="33" width="22" style="1" bestFit="1" customWidth="1"/>
    <col min="34" max="39" width="12.33203125" style="1" bestFit="1" customWidth="1"/>
    <col min="40" max="40" width="8.88671875" style="1"/>
    <col min="41" max="41" width="18.109375" style="1" bestFit="1" customWidth="1"/>
    <col min="42" max="46" width="12.33203125" style="1" bestFit="1" customWidth="1"/>
    <col min="47" max="47" width="14.44140625" style="1" bestFit="1" customWidth="1"/>
    <col min="48" max="48" width="8.88671875" style="1"/>
    <col min="49" max="49" width="18.109375" style="1" bestFit="1" customWidth="1"/>
    <col min="50" max="55" width="12.33203125" style="1" bestFit="1" customWidth="1"/>
    <col min="56" max="16384" width="8.88671875" style="1"/>
  </cols>
  <sheetData>
    <row r="1" spans="1:55" x14ac:dyDescent="0.3">
      <c r="A1" s="14" t="s">
        <v>51</v>
      </c>
      <c r="B1" s="33"/>
      <c r="C1" s="33"/>
      <c r="D1" s="33"/>
      <c r="E1" s="33"/>
      <c r="F1" s="33"/>
      <c r="G1" s="33" t="str">
        <f>Financials!F2</f>
        <v>JPMC</v>
      </c>
      <c r="H1" s="14"/>
      <c r="I1" s="14"/>
      <c r="J1" s="33"/>
      <c r="K1" s="33"/>
      <c r="L1" s="33"/>
      <c r="M1" s="33"/>
      <c r="N1" s="33"/>
      <c r="O1" s="33" t="str">
        <f>Table10[[#Headers],[BOA]]</f>
        <v>BOA</v>
      </c>
      <c r="Q1" s="14" t="s">
        <v>51</v>
      </c>
      <c r="R1" s="33"/>
      <c r="S1" s="33"/>
      <c r="T1" s="33"/>
      <c r="U1" s="33"/>
      <c r="V1" s="33"/>
      <c r="W1" s="33" t="s">
        <v>100</v>
      </c>
      <c r="X1" s="14"/>
      <c r="Y1" s="14"/>
      <c r="Z1" s="33"/>
      <c r="AA1" s="33"/>
      <c r="AB1" s="33"/>
      <c r="AC1" s="33"/>
      <c r="AD1" s="33"/>
      <c r="AE1" s="33" t="s">
        <v>97</v>
      </c>
      <c r="AG1" s="14"/>
      <c r="AH1" s="33"/>
      <c r="AI1" s="33"/>
      <c r="AJ1" s="33"/>
      <c r="AK1" s="33"/>
      <c r="AL1" s="33"/>
      <c r="AM1" s="33" t="s">
        <v>96</v>
      </c>
      <c r="AN1" s="14"/>
      <c r="AO1" s="14"/>
      <c r="AP1" s="33"/>
      <c r="AQ1" s="33"/>
      <c r="AR1" s="33"/>
      <c r="AS1" s="33"/>
      <c r="AT1" s="33"/>
      <c r="AU1" s="33" t="s">
        <v>98</v>
      </c>
      <c r="AW1" s="14"/>
      <c r="AX1" s="33"/>
      <c r="AY1" s="33"/>
      <c r="AZ1" s="33"/>
      <c r="BA1" s="33"/>
      <c r="BB1" s="33"/>
      <c r="BC1" s="33" t="s">
        <v>99</v>
      </c>
    </row>
    <row r="2" spans="1:55" x14ac:dyDescent="0.3">
      <c r="A2" s="1" t="s">
        <v>11</v>
      </c>
      <c r="B2" s="22" t="s">
        <v>66</v>
      </c>
      <c r="C2" s="22" t="s">
        <v>67</v>
      </c>
      <c r="D2" s="22" t="s">
        <v>68</v>
      </c>
      <c r="E2" s="22" t="s">
        <v>69</v>
      </c>
      <c r="F2" s="22" t="s">
        <v>70</v>
      </c>
      <c r="G2" s="22" t="s">
        <v>71</v>
      </c>
      <c r="I2" s="1" t="s">
        <v>11</v>
      </c>
      <c r="J2" s="22" t="s">
        <v>66</v>
      </c>
      <c r="K2" s="22" t="s">
        <v>67</v>
      </c>
      <c r="L2" s="22" t="s">
        <v>68</v>
      </c>
      <c r="M2" s="22" t="s">
        <v>69</v>
      </c>
      <c r="N2" s="22" t="s">
        <v>70</v>
      </c>
      <c r="O2" s="22" t="s">
        <v>71</v>
      </c>
      <c r="Q2" s="1" t="s">
        <v>11</v>
      </c>
      <c r="R2" s="22" t="s">
        <v>66</v>
      </c>
      <c r="S2" s="22" t="s">
        <v>67</v>
      </c>
      <c r="T2" s="22" t="s">
        <v>68</v>
      </c>
      <c r="U2" s="22" t="s">
        <v>69</v>
      </c>
      <c r="V2" s="22" t="s">
        <v>70</v>
      </c>
      <c r="W2" s="22" t="s">
        <v>71</v>
      </c>
      <c r="Y2" s="1" t="s">
        <v>11</v>
      </c>
      <c r="Z2" s="22" t="s">
        <v>66</v>
      </c>
      <c r="AA2" s="22" t="s">
        <v>67</v>
      </c>
      <c r="AB2" s="22" t="s">
        <v>68</v>
      </c>
      <c r="AC2" s="22" t="s">
        <v>69</v>
      </c>
      <c r="AD2" s="22" t="s">
        <v>70</v>
      </c>
      <c r="AE2" s="22" t="s">
        <v>71</v>
      </c>
      <c r="AG2" s="14" t="s">
        <v>11</v>
      </c>
      <c r="AH2" s="33" t="s">
        <v>66</v>
      </c>
      <c r="AI2" s="33" t="s">
        <v>67</v>
      </c>
      <c r="AJ2" s="33" t="s">
        <v>68</v>
      </c>
      <c r="AK2" s="33" t="s">
        <v>69</v>
      </c>
      <c r="AL2" s="33" t="s">
        <v>70</v>
      </c>
      <c r="AM2" s="33" t="s">
        <v>71</v>
      </c>
      <c r="AO2" s="1" t="s">
        <v>11</v>
      </c>
      <c r="AP2" s="22" t="s">
        <v>66</v>
      </c>
      <c r="AQ2" s="22" t="s">
        <v>67</v>
      </c>
      <c r="AR2" s="22" t="s">
        <v>68</v>
      </c>
      <c r="AS2" s="22" t="s">
        <v>69</v>
      </c>
      <c r="AT2" s="22" t="s">
        <v>70</v>
      </c>
      <c r="AU2" s="22" t="s">
        <v>71</v>
      </c>
      <c r="AW2" s="1" t="s">
        <v>11</v>
      </c>
      <c r="AX2" s="22" t="s">
        <v>66</v>
      </c>
      <c r="AY2" s="22" t="s">
        <v>67</v>
      </c>
      <c r="AZ2" s="22" t="s">
        <v>68</v>
      </c>
      <c r="BA2" s="22" t="s">
        <v>69</v>
      </c>
      <c r="BB2" s="22" t="s">
        <v>70</v>
      </c>
      <c r="BC2" s="22" t="s">
        <v>71</v>
      </c>
    </row>
    <row r="3" spans="1:55" x14ac:dyDescent="0.3">
      <c r="A3" s="1" t="s">
        <v>52</v>
      </c>
      <c r="B3" s="29">
        <f>Financials!F15*(1+'Assumptions &amp; WACC'!$B$8)</f>
        <v>1404364.0094043855</v>
      </c>
      <c r="C3" s="29">
        <f>B3*(1+'Assumptions &amp; WACC'!$B$8)</f>
        <v>1490007.7066930893</v>
      </c>
      <c r="D3" s="29">
        <f>C3*(1+'Assumptions &amp; WACC'!$B$8)</f>
        <v>1580874.2969327383</v>
      </c>
      <c r="E3" s="29">
        <f>D3*(1+'Assumptions &amp; WACC'!$B$8)</f>
        <v>1677282.2928877342</v>
      </c>
      <c r="F3" s="29">
        <f>E3*(1+'Assumptions &amp; WACC'!$B$8)</f>
        <v>1779569.6314964073</v>
      </c>
      <c r="G3" s="29">
        <f>F3*(1+'Assumptions &amp; WACC'!$B$8)</f>
        <v>1888094.8584343204</v>
      </c>
      <c r="I3" s="1" t="s">
        <v>52</v>
      </c>
      <c r="J3" s="29">
        <f>Financials!M15*(1+'Assumptions &amp; WACC'!$C$8)</f>
        <v>1076324.5999660657</v>
      </c>
      <c r="K3" s="29">
        <f>J3*(1+'Assumptions &amp; WACC'!$C$8)</f>
        <v>1092817.1002896111</v>
      </c>
      <c r="L3" s="29">
        <f>K3*(1+'Assumptions &amp; WACC'!$C$8)</f>
        <v>1109562.3148658373</v>
      </c>
      <c r="M3" s="29">
        <f>L3*(1+'Assumptions &amp; WACC'!$C$8)</f>
        <v>1126564.1160301846</v>
      </c>
      <c r="N3" s="29">
        <f>M3*(1+'Assumptions &amp; WACC'!$C$8)</f>
        <v>1143826.4354538124</v>
      </c>
      <c r="O3" s="29">
        <f>N3*(1+'Assumptions &amp; WACC'!$C$8)</f>
        <v>1161353.2650527982</v>
      </c>
      <c r="Q3" s="1" t="s">
        <v>52</v>
      </c>
      <c r="R3" s="29">
        <f>Financials!T15*(1+'Assumptions &amp; WACC'!D8)</f>
        <v>215726.57715708099</v>
      </c>
      <c r="S3" s="29">
        <f>Table1118[[#This Row],[2025]]*(1+'Assumptions &amp; WACC'!$D$8)</f>
        <v>239895.0276139346</v>
      </c>
      <c r="T3" s="29">
        <f>Table1118[[#This Row],[2026]]*(1+'Assumptions &amp; WACC'!$D$8)</f>
        <v>266771.13702122</v>
      </c>
      <c r="U3" s="29">
        <f>Table1118[[#This Row],[2027]]*(1+'Assumptions &amp; WACC'!$D$8)</f>
        <v>296658.25196728972</v>
      </c>
      <c r="V3" s="29">
        <f>Table1118[[#This Row],[2028]]*(1+'Assumptions &amp; WACC'!$D$8)</f>
        <v>329893.70380532439</v>
      </c>
      <c r="W3" s="29">
        <f>Table1118[[#This Row],[2029]]*(1+'Assumptions &amp; WACC'!$D$8)</f>
        <v>366852.61606137612</v>
      </c>
      <c r="Y3" s="1" t="s">
        <v>52</v>
      </c>
      <c r="Z3" s="29">
        <f>Financials!AH15*(1+'Assumptions &amp; WACC'!E8)</f>
        <v>217901.96083470076</v>
      </c>
      <c r="AA3" s="29">
        <f>Table1335[[#This Row],[2025]]*(1+'Assumptions &amp; WACC'!$E$8)</f>
        <v>242004.4063996303</v>
      </c>
      <c r="AB3" s="29">
        <f>Table1335[[#This Row],[2026]]*(1+'Assumptions &amp; WACC'!$E$8)</f>
        <v>268772.85772231012</v>
      </c>
      <c r="AC3" s="29">
        <f>Table1335[[#This Row],[2027]]*(1+'Assumptions &amp; WACC'!$E$8)</f>
        <v>298502.205488468</v>
      </c>
      <c r="AD3" s="29">
        <f>Table1335[[#This Row],[2028]]*(1+'Assumptions &amp; WACC'!$E$8)</f>
        <v>331519.95866167155</v>
      </c>
      <c r="AE3" s="29">
        <f>Table1335[[#This Row],[2029]]*(1+'Assumptions &amp; WACC'!$E$8)</f>
        <v>368189.85243739642</v>
      </c>
      <c r="AG3" s="1" t="s">
        <v>84</v>
      </c>
      <c r="AH3" s="29">
        <f>Financials!AA4*(1+'Assumptions &amp; WACC'!J2)</f>
        <v>21370.032876628706</v>
      </c>
      <c r="AI3" s="29">
        <f>Table48[[#This Row],[2025]]*(1+'Assumptions &amp; WACC'!$J$2)</f>
        <v>22378.512527475461</v>
      </c>
      <c r="AJ3" s="29">
        <f>Table48[[#This Row],[2026]]*(1+'Assumptions &amp; WACC'!$J$2)</f>
        <v>23434.583644935461</v>
      </c>
      <c r="AK3" s="29">
        <f>Table48[[#This Row],[2027]]*(1+'Assumptions &amp; WACC'!$J$2)</f>
        <v>24540.49213222797</v>
      </c>
      <c r="AL3" s="29">
        <f>Table48[[#This Row],[2028]]*(1+'Assumptions &amp; WACC'!$J$2)</f>
        <v>25698.589879666772</v>
      </c>
      <c r="AM3" s="29">
        <f>Table48[[#This Row],[2029]]*(1+'Assumptions &amp; WACC'!$J$2)</f>
        <v>26911.339766329034</v>
      </c>
      <c r="AO3" s="1" t="s">
        <v>52</v>
      </c>
      <c r="AP3" s="29">
        <f>Financials!AO15*(1+'Assumptions &amp; WACC'!F8)</f>
        <v>261014.12122109719</v>
      </c>
      <c r="AQ3" s="29">
        <f>Table1343[[#This Row],[2025]]*(1+'Assumptions &amp; WACC'!$F$8)</f>
        <v>286069.75967895269</v>
      </c>
      <c r="AR3" s="29">
        <f>Table1343[[#This Row],[2026]]*(1+'Assumptions &amp; WACC'!$F$8)</f>
        <v>313530.57459083991</v>
      </c>
      <c r="AS3" s="29">
        <f>Table1343[[#This Row],[2027]]*(1+'Assumptions &amp; WACC'!$F$8)</f>
        <v>343627.44707298983</v>
      </c>
      <c r="AT3" s="29">
        <f>Table1343[[#This Row],[2028]]*(1+'Assumptions &amp; WACC'!$F$8)</f>
        <v>376613.42130985344</v>
      </c>
      <c r="AU3" s="29">
        <f>Table1343[[#This Row],[2029]]*(1+'Assumptions &amp; WACC'!$F$8)</f>
        <v>412765.83206284296</v>
      </c>
      <c r="AW3" s="1" t="s">
        <v>52</v>
      </c>
      <c r="AX3" s="29">
        <f>Financials!AV15*(1+'Assumptions &amp; WACC'!G8)</f>
        <v>968571.65828853508</v>
      </c>
      <c r="AY3" s="29">
        <f>Table134347[[#This Row],[2025]]*(1+'Assumptions &amp; WACC'!$G$8)</f>
        <v>971724.54653817404</v>
      </c>
      <c r="AZ3" s="29">
        <f>Table134347[[#This Row],[2026]]*(1+'Assumptions &amp; WACC'!$G$8)</f>
        <v>974887.69804942049</v>
      </c>
      <c r="BA3" s="29">
        <f>Table134347[[#This Row],[2027]]*(1+'Assumptions &amp; WACC'!$G$8)</f>
        <v>978061.14623117796</v>
      </c>
      <c r="BB3" s="29">
        <f>Table134347[[#This Row],[2028]]*(1+'Assumptions &amp; WACC'!$G$8)</f>
        <v>981244.92460110213</v>
      </c>
      <c r="BC3" s="29">
        <f>Table134347[[#This Row],[2029]]*(1+'Assumptions &amp; WACC'!$G$8)</f>
        <v>984439.06678595534</v>
      </c>
    </row>
    <row r="4" spans="1:55" x14ac:dyDescent="0.3">
      <c r="A4" s="1" t="s">
        <v>12</v>
      </c>
      <c r="B4" s="29">
        <f>DCF!B3*'Assumptions &amp; WACC'!$B$9</f>
        <v>93312.674439647148</v>
      </c>
      <c r="C4" s="29">
        <f>DCF!C3*'Assumptions &amp; WACC'!$B$9</f>
        <v>99003.252088598645</v>
      </c>
      <c r="D4" s="29">
        <f>DCF!D3*'Assumptions &amp; WACC'!$B$9</f>
        <v>105040.86377310006</v>
      </c>
      <c r="E4" s="29">
        <f>DCF!E3*'Assumptions &amp; WACC'!$B$9</f>
        <v>111446.67300751839</v>
      </c>
      <c r="F4" s="29">
        <f>DCF!F3*'Assumptions &amp; WACC'!$B$9</f>
        <v>118243.13394141625</v>
      </c>
      <c r="G4" s="29">
        <f>DCF!G3*'Assumptions &amp; WACC'!$B$9</f>
        <v>125454.07006761422</v>
      </c>
      <c r="I4" s="1" t="s">
        <v>12</v>
      </c>
      <c r="J4" s="29">
        <f>J3*'Assumptions &amp; WACC'!$C$9</f>
        <v>53912.095090508024</v>
      </c>
      <c r="K4" s="29">
        <f>K3*'Assumptions &amp; WACC'!$C$9</f>
        <v>54738.18904557627</v>
      </c>
      <c r="L4" s="29">
        <f>L3*'Assumptions &amp; WACC'!$C$9</f>
        <v>55576.941221799811</v>
      </c>
      <c r="M4" s="29">
        <f>M3*'Assumptions &amp; WACC'!$C$9</f>
        <v>56428.545580848273</v>
      </c>
      <c r="N4" s="29">
        <f>N3*'Assumptions &amp; WACC'!$C$9</f>
        <v>57293.199056462123</v>
      </c>
      <c r="O4" s="29">
        <f>O3*'Assumptions &amp; WACC'!$C$9</f>
        <v>58171.101599993555</v>
      </c>
      <c r="Q4" s="1" t="s">
        <v>12</v>
      </c>
      <c r="R4" s="29">
        <f>R3*'Assumptions &amp; WACC'!$D$9</f>
        <v>14683.994171342334</v>
      </c>
      <c r="S4" s="29">
        <f>S3*'Assumptions &amp; WACC'!$D$9</f>
        <v>16329.083016285173</v>
      </c>
      <c r="T4" s="29">
        <f>T3*'Assumptions &amp; WACC'!$D$9</f>
        <v>18158.475755398515</v>
      </c>
      <c r="U4" s="29">
        <f>U3*'Assumptions &amp; WACC'!$D$9</f>
        <v>20192.820468274429</v>
      </c>
      <c r="V4" s="29">
        <f>V3*'Assumptions &amp; WACC'!$D$9</f>
        <v>22455.078496483315</v>
      </c>
      <c r="W4" s="29">
        <f>W3*'Assumptions &amp; WACC'!$D$9</f>
        <v>24970.783604768822</v>
      </c>
      <c r="Y4" s="1" t="s">
        <v>12</v>
      </c>
      <c r="Z4" s="29">
        <f>Z3*'Assumptions &amp; WACC'!$E$9</f>
        <v>8706.9704393297143</v>
      </c>
      <c r="AA4" s="29">
        <f>AA3*'Assumptions &amp; WACC'!$E$9</f>
        <v>9670.0608137600448</v>
      </c>
      <c r="AB4" s="29">
        <f>AB3*'Assumptions &amp; WACC'!$E$9</f>
        <v>10739.67998322689</v>
      </c>
      <c r="AC4" s="29">
        <f>AC3*'Assumptions &amp; WACC'!$E$9</f>
        <v>11927.61124914539</v>
      </c>
      <c r="AD4" s="29">
        <f>AD3*'Assumptions &amp; WACC'!$E$9</f>
        <v>13246.941280646357</v>
      </c>
      <c r="AE4" s="29">
        <f>AE3*'Assumptions &amp; WACC'!$E$9</f>
        <v>14712.204281931618</v>
      </c>
      <c r="AG4" s="1" t="s">
        <v>123</v>
      </c>
      <c r="AH4" s="29">
        <f>AH3*'Assumptions &amp; WACC'!$J$3</f>
        <v>7974.3275605946219</v>
      </c>
      <c r="AI4" s="29">
        <f>AI3*'Assumptions &amp; WACC'!$J$3</f>
        <v>8350.6464516545038</v>
      </c>
      <c r="AJ4" s="29">
        <f>AJ3*'Assumptions &amp; WACC'!$J$3</f>
        <v>8744.7243207212996</v>
      </c>
      <c r="AK4" s="29">
        <f>AK3*'Assumptions &amp; WACC'!$J$3</f>
        <v>9157.3992370690848</v>
      </c>
      <c r="AL4" s="29">
        <f>AL3*'Assumptions &amp; WACC'!$J$3</f>
        <v>9589.5488195511825</v>
      </c>
      <c r="AM4" s="29">
        <f>AM3*'Assumptions &amp; WACC'!$J$3</f>
        <v>10042.092102996263</v>
      </c>
      <c r="AO4" s="1" t="s">
        <v>12</v>
      </c>
      <c r="AP4" s="29">
        <f>AP3*'Assumptions &amp; WACC'!$F$9</f>
        <v>10480.297190063879</v>
      </c>
      <c r="AQ4" s="29">
        <f>AQ3*'Assumptions &amp; WACC'!$F$9</f>
        <v>11486.336771741098</v>
      </c>
      <c r="AR4" s="29">
        <f>AR3*'Assumptions &amp; WACC'!$F$9</f>
        <v>12588.949534650317</v>
      </c>
      <c r="AS4" s="29">
        <f>AS3*'Assumptions &amp; WACC'!$F$9</f>
        <v>13797.40586884689</v>
      </c>
      <c r="AT4" s="29">
        <f>AT3*'Assumptions &amp; WACC'!$F$9</f>
        <v>15121.866060842734</v>
      </c>
      <c r="AU4" s="29">
        <f>AU3*'Assumptions &amp; WACC'!$F$9</f>
        <v>16573.465717811665</v>
      </c>
      <c r="AW4" s="1" t="s">
        <v>12</v>
      </c>
      <c r="AX4" s="29">
        <f>AX3*'Assumptions &amp; WACC'!$G$9</f>
        <v>44967.543146187105</v>
      </c>
      <c r="AY4" s="29">
        <f>AY3*'Assumptions &amp; WACC'!$G$9</f>
        <v>45113.921204214603</v>
      </c>
      <c r="AZ4" s="29">
        <f>AZ3*'Assumptions &amp; WACC'!$G$9</f>
        <v>45260.775751157715</v>
      </c>
      <c r="BA4" s="29">
        <f>BA3*'Assumptions &amp; WACC'!$G$9</f>
        <v>45408.108338080114</v>
      </c>
      <c r="BB4" s="29">
        <f>BB3*'Assumptions &amp; WACC'!$G$9</f>
        <v>45555.920521094471</v>
      </c>
      <c r="BC4" s="29">
        <f>BC3*'Assumptions &amp; WACC'!$G$9</f>
        <v>45704.213861378907</v>
      </c>
    </row>
    <row r="5" spans="1:55" x14ac:dyDescent="0.3">
      <c r="A5" s="1" t="s">
        <v>53</v>
      </c>
      <c r="B5" s="29">
        <f>Table1[[#This Row],[2024]]*(1+'Assumptions &amp; WACC'!B10)</f>
        <v>89544.214467128593</v>
      </c>
      <c r="C5" s="29">
        <f>B5*(1+'Assumptions &amp; WACC'!$B$10)</f>
        <v>94361.342362104682</v>
      </c>
      <c r="D5" s="29">
        <f>C5*(1+'Assumptions &amp; WACC'!$B$10)</f>
        <v>99437.612863832604</v>
      </c>
      <c r="E5" s="29">
        <f>D5*(1+'Assumptions &amp; WACC'!$B$10)</f>
        <v>104786.96682920848</v>
      </c>
      <c r="F5" s="29">
        <f>E5*(1+'Assumptions &amp; WACC'!$B$10)</f>
        <v>110424.09507860773</v>
      </c>
      <c r="G5" s="29">
        <f>F5*(1+'Assumptions &amp; WACC'!$B$10)</f>
        <v>116364.47874098184</v>
      </c>
      <c r="I5" s="1" t="s">
        <v>53</v>
      </c>
      <c r="J5" s="29">
        <f>Table18[[#This Row],[2024]]*(1+'Assumptions &amp; WACC'!C10)</f>
        <v>46596.051071047499</v>
      </c>
      <c r="K5" s="29">
        <f>J5*(1+'Assumptions &amp; WACC'!$C$10)</f>
        <v>47378.008061092078</v>
      </c>
      <c r="L5" s="29">
        <f>K5*(1+'Assumptions &amp; WACC'!$C$10)</f>
        <v>48173.087552297693</v>
      </c>
      <c r="M5" s="29">
        <f>L5*(1+'Assumptions &amp; WACC'!$C$10)</f>
        <v>48981.509761426794</v>
      </c>
      <c r="N5" s="29">
        <f>M5*(1+'Assumptions &amp; WACC'!$C$10)</f>
        <v>49803.498600834755</v>
      </c>
      <c r="O5" s="29">
        <f>N5*(1+'Assumptions &amp; WACC'!$C$10)</f>
        <v>50639.281740487895</v>
      </c>
      <c r="Q5" s="1" t="s">
        <v>53</v>
      </c>
      <c r="R5" s="29">
        <f>Table120[[#This Row],[2024]]*(1+'Assumptions &amp; WACC'!D10)</f>
        <v>56654.085837227271</v>
      </c>
      <c r="S5" s="29">
        <f>Table1118[[#This Row],[2025]]*(1+'Assumptions &amp; WACC'!$D$10)</f>
        <v>63676.65440725143</v>
      </c>
      <c r="T5" s="29">
        <f>Table1118[[#This Row],[2026]]*(1+'Assumptions &amp; WACC'!$D$10)</f>
        <v>71569.706872512776</v>
      </c>
      <c r="U5" s="29">
        <f>Table1118[[#This Row],[2027]]*(1+'Assumptions &amp; WACC'!$D$10)</f>
        <v>80441.144238791676</v>
      </c>
      <c r="V5" s="29">
        <f>Table1118[[#This Row],[2028]]*(1+'Assumptions &amp; WACC'!$D$10)</f>
        <v>90412.24240267594</v>
      </c>
      <c r="W5" s="29">
        <f>Table1118[[#This Row],[2029]]*(1+'Assumptions &amp; WACC'!$D$10)</f>
        <v>101619.31003883271</v>
      </c>
      <c r="Y5" s="1" t="s">
        <v>53</v>
      </c>
      <c r="Z5" s="29">
        <f>Table126[[#This Row],[2024]]*(1+'Assumptions &amp; WACC'!E10)</f>
        <v>46678.103861427669</v>
      </c>
      <c r="AA5" s="29">
        <f>Table1335[[#This Row],[2025]]*(1+'Assumptions &amp; WACC'!$E$10)</f>
        <v>47933.064504096903</v>
      </c>
      <c r="AB5" s="29">
        <f>Table1335[[#This Row],[2026]]*(1+'Assumptions &amp; WACC'!$E$10)</f>
        <v>49221.76529652295</v>
      </c>
      <c r="AC5" s="29">
        <f>Table1335[[#This Row],[2027]]*(1+'Assumptions &amp; WACC'!$E$10)</f>
        <v>50545.113356958696</v>
      </c>
      <c r="AD5" s="29">
        <f>Table1335[[#This Row],[2028]]*(1+'Assumptions &amp; WACC'!$E$10)</f>
        <v>51904.040191916421</v>
      </c>
      <c r="AE5" s="29">
        <f>Table1335[[#This Row],[2029]]*(1+'Assumptions &amp; WACC'!$E$10)</f>
        <v>53299.502351856536</v>
      </c>
      <c r="AG5" s="1" t="s">
        <v>58</v>
      </c>
      <c r="AH5" s="59">
        <f>'Assumptions &amp; WACC'!$J$13</f>
        <v>0.22</v>
      </c>
      <c r="AI5" s="59">
        <f>'Assumptions &amp; WACC'!$J$13</f>
        <v>0.22</v>
      </c>
      <c r="AJ5" s="59">
        <f>'Assumptions &amp; WACC'!$J$13</f>
        <v>0.22</v>
      </c>
      <c r="AK5" s="59">
        <f>'Assumptions &amp; WACC'!$J$13</f>
        <v>0.22</v>
      </c>
      <c r="AL5" s="59">
        <f>'Assumptions &amp; WACC'!$J$13</f>
        <v>0.22</v>
      </c>
      <c r="AM5" s="59">
        <f>'Assumptions &amp; WACC'!$J$13</f>
        <v>0.22</v>
      </c>
      <c r="AO5" s="1" t="s">
        <v>53</v>
      </c>
      <c r="AP5" s="29">
        <f>Table1829[[#This Row],[2024]]*(1+'Assumptions &amp; WACC'!F10)</f>
        <v>55743.241384751396</v>
      </c>
      <c r="AQ5" s="29">
        <f>Table1343[[#This Row],[2025]]*(1+'Assumptions &amp; WACC'!$F$10)</f>
        <v>58463.009596964454</v>
      </c>
      <c r="AR5" s="29">
        <f>Table1343[[#This Row],[2026]]*(1+'Assumptions &amp; WACC'!$F$10)</f>
        <v>61315.478006446414</v>
      </c>
      <c r="AS5" s="29">
        <f>Table1343[[#This Row],[2027]]*(1+'Assumptions &amp; WACC'!$F$10)</f>
        <v>64307.121187859979</v>
      </c>
      <c r="AT5" s="29">
        <f>Table1343[[#This Row],[2028]]*(1+'Assumptions &amp; WACC'!$F$10)</f>
        <v>67444.729616807905</v>
      </c>
      <c r="AU5" s="29">
        <f>Table1343[[#This Row],[2029]]*(1+'Assumptions &amp; WACC'!$F$10)</f>
        <v>70735.425082954185</v>
      </c>
      <c r="AW5" s="1" t="s">
        <v>53</v>
      </c>
      <c r="AX5" s="29">
        <f>Table182932[[#This Row],[2024]]*(1+'Assumptions &amp; WACC'!G10)</f>
        <v>34675.26366844069</v>
      </c>
      <c r="AY5" s="29">
        <f>Table134347[[#This Row],[2025]]*(1+'Assumptions &amp; WACC'!$G$10)</f>
        <v>34730.615553896096</v>
      </c>
      <c r="AZ5" s="29">
        <f>Table134347[[#This Row],[2026]]*(1+'Assumptions &amp; WACC'!$G$10)</f>
        <v>34786.055797186433</v>
      </c>
      <c r="BA5" s="29">
        <f>Table134347[[#This Row],[2027]]*(1+'Assumptions &amp; WACC'!$G$10)</f>
        <v>34841.584539356714</v>
      </c>
      <c r="BB5" s="29">
        <f>Table134347[[#This Row],[2028]]*(1+'Assumptions &amp; WACC'!$G$10)</f>
        <v>34897.201921677086</v>
      </c>
      <c r="BC5" s="29">
        <f>Table134347[[#This Row],[2029]]*(1+'Assumptions &amp; WACC'!$G$10)</f>
        <v>34952.908085643212</v>
      </c>
    </row>
    <row r="6" spans="1:55" s="14" customFormat="1" x14ac:dyDescent="0.3">
      <c r="A6" s="14" t="s">
        <v>54</v>
      </c>
      <c r="B6" s="30">
        <f>B4+B5</f>
        <v>182856.88890677574</v>
      </c>
      <c r="C6" s="30">
        <f t="shared" ref="C6:G6" si="0">C4+C5</f>
        <v>193364.59445070333</v>
      </c>
      <c r="D6" s="30">
        <f t="shared" si="0"/>
        <v>204478.47663693267</v>
      </c>
      <c r="E6" s="30">
        <f t="shared" si="0"/>
        <v>216233.63983672688</v>
      </c>
      <c r="F6" s="30">
        <f t="shared" si="0"/>
        <v>228667.22902002398</v>
      </c>
      <c r="G6" s="30">
        <f t="shared" si="0"/>
        <v>241818.54880859604</v>
      </c>
      <c r="I6" s="14" t="s">
        <v>54</v>
      </c>
      <c r="J6" s="30">
        <f>J4+J5</f>
        <v>100508.14616155552</v>
      </c>
      <c r="K6" s="30">
        <f t="shared" ref="K6:O6" si="1">K4+K5</f>
        <v>102116.19710666835</v>
      </c>
      <c r="L6" s="30">
        <f t="shared" si="1"/>
        <v>103750.0287740975</v>
      </c>
      <c r="M6" s="30">
        <f t="shared" si="1"/>
        <v>105410.05534227507</v>
      </c>
      <c r="N6" s="30">
        <f t="shared" si="1"/>
        <v>107096.69765729687</v>
      </c>
      <c r="O6" s="30">
        <f t="shared" si="1"/>
        <v>108810.38334048145</v>
      </c>
      <c r="Q6" s="14" t="s">
        <v>54</v>
      </c>
      <c r="R6" s="30">
        <f>R4+R5</f>
        <v>71338.08000856961</v>
      </c>
      <c r="S6" s="30">
        <f t="shared" ref="S6:W6" si="2">S4+S5</f>
        <v>80005.737423536601</v>
      </c>
      <c r="T6" s="30">
        <f t="shared" si="2"/>
        <v>89728.182627911287</v>
      </c>
      <c r="U6" s="30">
        <f t="shared" si="2"/>
        <v>100633.9647070661</v>
      </c>
      <c r="V6" s="30">
        <f t="shared" si="2"/>
        <v>112867.32089915925</v>
      </c>
      <c r="W6" s="30">
        <f t="shared" si="2"/>
        <v>126590.09364360153</v>
      </c>
      <c r="Y6" s="14" t="s">
        <v>54</v>
      </c>
      <c r="Z6" s="30">
        <f>Z4+Z5</f>
        <v>55385.074300757384</v>
      </c>
      <c r="AA6" s="30">
        <f t="shared" ref="AA6:AE6" si="3">AA4+AA5</f>
        <v>57603.125317856946</v>
      </c>
      <c r="AB6" s="30">
        <f t="shared" si="3"/>
        <v>59961.445279749838</v>
      </c>
      <c r="AC6" s="30">
        <f t="shared" si="3"/>
        <v>62472.724606104086</v>
      </c>
      <c r="AD6" s="30">
        <f t="shared" si="3"/>
        <v>65150.98147256278</v>
      </c>
      <c r="AE6" s="30">
        <f t="shared" si="3"/>
        <v>68011.706633788155</v>
      </c>
      <c r="AG6" s="14" t="s">
        <v>124</v>
      </c>
      <c r="AH6" s="30">
        <f>AH4*(1-AH5)</f>
        <v>6219.9754972638057</v>
      </c>
      <c r="AI6" s="30">
        <f t="shared" ref="AI6:AM6" si="4">AI4*(1-AI5)</f>
        <v>6513.5042322905128</v>
      </c>
      <c r="AJ6" s="30">
        <f t="shared" si="4"/>
        <v>6820.8849701626141</v>
      </c>
      <c r="AK6" s="30">
        <f t="shared" si="4"/>
        <v>7142.7714049138867</v>
      </c>
      <c r="AL6" s="30">
        <f t="shared" si="4"/>
        <v>7479.8480792499222</v>
      </c>
      <c r="AM6" s="30">
        <f t="shared" si="4"/>
        <v>7832.8318403370849</v>
      </c>
      <c r="AO6" s="14" t="s">
        <v>54</v>
      </c>
      <c r="AP6" s="30">
        <f>AP4+AP5</f>
        <v>66223.538574815277</v>
      </c>
      <c r="AQ6" s="30">
        <f t="shared" ref="AQ6:AU6" si="5">AQ4+AQ5</f>
        <v>69949.346368705548</v>
      </c>
      <c r="AR6" s="30">
        <f t="shared" si="5"/>
        <v>73904.427541096724</v>
      </c>
      <c r="AS6" s="30">
        <f t="shared" si="5"/>
        <v>78104.527056706866</v>
      </c>
      <c r="AT6" s="30">
        <f t="shared" si="5"/>
        <v>82566.595677650635</v>
      </c>
      <c r="AU6" s="30">
        <f t="shared" si="5"/>
        <v>87308.890800765847</v>
      </c>
      <c r="AW6" s="14" t="s">
        <v>54</v>
      </c>
      <c r="AX6" s="30">
        <f>AX4+AX5</f>
        <v>79642.806814627795</v>
      </c>
      <c r="AY6" s="30">
        <f t="shared" ref="AY6:BC6" si="6">AY4+AY5</f>
        <v>79844.536758110698</v>
      </c>
      <c r="AZ6" s="30">
        <f t="shared" si="6"/>
        <v>80046.83154834414</v>
      </c>
      <c r="BA6" s="30">
        <f t="shared" si="6"/>
        <v>80249.692877436828</v>
      </c>
      <c r="BB6" s="30">
        <f t="shared" si="6"/>
        <v>80453.122442771564</v>
      </c>
      <c r="BC6" s="30">
        <f t="shared" si="6"/>
        <v>80657.121947022126</v>
      </c>
    </row>
    <row r="7" spans="1:55" x14ac:dyDescent="0.3">
      <c r="A7" s="1" t="s">
        <v>55</v>
      </c>
      <c r="B7" s="29">
        <f>B6*'Assumptions &amp; WACC'!$B$11</f>
        <v>101823.07071182271</v>
      </c>
      <c r="C7" s="29">
        <f>C6*'Assumptions &amp; WACC'!$B$11</f>
        <v>107674.24126938274</v>
      </c>
      <c r="D7" s="29">
        <f>D6*'Assumptions &amp; WACC'!$B$11</f>
        <v>113862.95867837373</v>
      </c>
      <c r="E7" s="29">
        <f>E6*'Assumptions &amp; WACC'!$B$11</f>
        <v>120408.77065667931</v>
      </c>
      <c r="F7" s="29">
        <f>F6*'Assumptions &amp; WACC'!$B$11</f>
        <v>127332.36122076279</v>
      </c>
      <c r="G7" s="29">
        <f>G6*'Assumptions &amp; WACC'!$B$11</f>
        <v>134655.61697990604</v>
      </c>
      <c r="I7" s="1" t="s">
        <v>55</v>
      </c>
      <c r="J7" s="29">
        <f>J6*'Assumptions &amp; WACC'!$C$11</f>
        <v>66078.804961974893</v>
      </c>
      <c r="K7" s="29">
        <f>K6*'Assumptions &amp; WACC'!$C$11</f>
        <v>67136.013644346094</v>
      </c>
      <c r="L7" s="29">
        <f>L6*'Assumptions &amp; WACC'!$C$11</f>
        <v>68210.17179187786</v>
      </c>
      <c r="M7" s="29">
        <f>M6*'Assumptions &amp; WACC'!$C$11</f>
        <v>69301.551705044141</v>
      </c>
      <c r="N7" s="29">
        <f>N6*'Assumptions &amp; WACC'!$C$11</f>
        <v>70410.430067956084</v>
      </c>
      <c r="O7" s="29">
        <f>O6*'Assumptions &amp; WACC'!$C$11</f>
        <v>71537.088019076429</v>
      </c>
      <c r="Q7" s="1" t="s">
        <v>55</v>
      </c>
      <c r="R7" s="29">
        <f>R6*'Assumptions &amp; WACC'!$D$11</f>
        <v>53744.104264989117</v>
      </c>
      <c r="S7" s="29">
        <f>S6*'Assumptions &amp; WACC'!$D$11</f>
        <v>60274.073725720787</v>
      </c>
      <c r="T7" s="29">
        <f>T6*'Assumptions &amp; WACC'!$D$11</f>
        <v>67598.690658385472</v>
      </c>
      <c r="U7" s="29">
        <f>U6*'Assumptions &amp; WACC'!$D$11</f>
        <v>75814.80033056809</v>
      </c>
      <c r="V7" s="29">
        <f>V6*'Assumptions &amp; WACC'!$D$11</f>
        <v>85031.067023190379</v>
      </c>
      <c r="W7" s="29">
        <f>W6*'Assumptions &amp; WACC'!$D$11</f>
        <v>95369.418280940255</v>
      </c>
      <c r="Y7" s="1" t="s">
        <v>55</v>
      </c>
      <c r="Z7" s="29">
        <f>Z6*'Assumptions &amp; WACC'!$C$11</f>
        <v>36412.765156781941</v>
      </c>
      <c r="AA7" s="29">
        <f>AA6*'Assumptions &amp; WACC'!$C$11</f>
        <v>37871.016713019417</v>
      </c>
      <c r="AB7" s="29">
        <f>AB6*'Assumptions &amp; WACC'!$C$11</f>
        <v>39421.487702200386</v>
      </c>
      <c r="AC7" s="29">
        <f>AC6*'Assumptions &amp; WACC'!$C$11</f>
        <v>41072.521405920961</v>
      </c>
      <c r="AD7" s="29">
        <f>AD6*'Assumptions &amp; WACC'!$C$11</f>
        <v>42833.334035300526</v>
      </c>
      <c r="AE7" s="29">
        <f>AE6*'Assumptions &amp; WACC'!$C$11</f>
        <v>44714.109944494747</v>
      </c>
      <c r="AG7" s="1" t="s">
        <v>104</v>
      </c>
      <c r="AH7" s="29">
        <f>AH3*'Assumptions &amp; WACC'!$J$4</f>
        <v>197.11559141747404</v>
      </c>
      <c r="AI7" s="29">
        <f>AI3*'Assumptions &amp; WACC'!$J$4</f>
        <v>206.41773259604699</v>
      </c>
      <c r="AJ7" s="29">
        <f>AJ3*'Assumptions &amp; WACC'!$J$4</f>
        <v>216.15885391761049</v>
      </c>
      <c r="AK7" s="29">
        <f>AK3*'Assumptions &amp; WACC'!$J$4</f>
        <v>226.35967142616346</v>
      </c>
      <c r="AL7" s="29">
        <f>AL3*'Assumptions &amp; WACC'!$J$4</f>
        <v>237.04187878276986</v>
      </c>
      <c r="AM7" s="29">
        <f>AM3*'Assumptions &amp; WACC'!$J$4</f>
        <v>248.22819340057961</v>
      </c>
      <c r="AO7" s="1" t="s">
        <v>55</v>
      </c>
      <c r="AP7" s="29">
        <f>AP6*'Assumptions &amp; WACC'!$F$11</f>
        <v>47452.586630128237</v>
      </c>
      <c r="AQ7" s="29">
        <f>AQ6*'Assumptions &amp; WACC'!$F$11</f>
        <v>50122.320397179181</v>
      </c>
      <c r="AR7" s="29">
        <f>AR6*'Assumptions &amp; WACC'!$F$11</f>
        <v>52956.340384650153</v>
      </c>
      <c r="AS7" s="29">
        <f>AS6*'Assumptions &amp; WACC'!$F$11</f>
        <v>55965.928673178212</v>
      </c>
      <c r="AT7" s="29">
        <f>AT6*'Assumptions &amp; WACC'!$F$11</f>
        <v>59163.231359528989</v>
      </c>
      <c r="AU7" s="29">
        <f>AU6*'Assumptions &amp; WACC'!$F$11</f>
        <v>62561.330811750639</v>
      </c>
      <c r="AW7" s="1" t="s">
        <v>55</v>
      </c>
      <c r="AX7" s="29">
        <f>AX6*'Assumptions &amp; WACC'!$G$11</f>
        <v>54940.290210523613</v>
      </c>
      <c r="AY7" s="29">
        <f>AY6*'Assumptions &amp; WACC'!$G$11</f>
        <v>55079.450319042888</v>
      </c>
      <c r="AZ7" s="29">
        <f>AZ6*'Assumptions &amp; WACC'!$G$11</f>
        <v>55219.000077872595</v>
      </c>
      <c r="BA7" s="29">
        <f>BA6*'Assumptions &amp; WACC'!$G$11</f>
        <v>55358.940654286307</v>
      </c>
      <c r="BB7" s="29">
        <f>BB6*'Assumptions &amp; WACC'!$G$11</f>
        <v>55499.273219195835</v>
      </c>
      <c r="BC7" s="29">
        <f>BC6*'Assumptions &amp; WACC'!$G$11</f>
        <v>55639.998947162901</v>
      </c>
    </row>
    <row r="8" spans="1:55" x14ac:dyDescent="0.3">
      <c r="A8" s="1" t="s">
        <v>56</v>
      </c>
      <c r="B8" s="29">
        <f>B3*'Assumptions &amp; WACC'!$B$13</f>
        <v>8487.0458658204443</v>
      </c>
      <c r="C8" s="29">
        <f>C3*'Assumptions &amp; WACC'!$B$13</f>
        <v>9004.6196445132955</v>
      </c>
      <c r="D8" s="29">
        <f>D3*'Assumptions &amp; WACC'!$B$13</f>
        <v>9553.7571287198916</v>
      </c>
      <c r="E8" s="29">
        <f>E3*'Assumptions &amp; WACC'!$B$13</f>
        <v>10136.383198615335</v>
      </c>
      <c r="F8" s="29">
        <f>F3*'Assumptions &amp; WACC'!$B$13</f>
        <v>10754.540121215976</v>
      </c>
      <c r="G8" s="29">
        <f>G3*'Assumptions &amp; WACC'!$B$13</f>
        <v>11410.394709095423</v>
      </c>
      <c r="I8" s="1" t="s">
        <v>56</v>
      </c>
      <c r="J8" s="29">
        <f>J3*'Assumptions &amp; WACC'!$C$13</f>
        <v>4172.5353658373624</v>
      </c>
      <c r="K8" s="29">
        <f>K3*'Assumptions &amp; WACC'!$C$13</f>
        <v>4236.4710418158229</v>
      </c>
      <c r="L8" s="29">
        <f>L3*'Assumptions &amp; WACC'!$C$13</f>
        <v>4301.3864028788721</v>
      </c>
      <c r="M8" s="29">
        <f>M3*'Assumptions &amp; WACC'!$C$13</f>
        <v>4367.2964607214699</v>
      </c>
      <c r="N8" s="29">
        <f>N3*'Assumptions &amp; WACC'!$C$13</f>
        <v>4434.21645706248</v>
      </c>
      <c r="O8" s="29">
        <f>O3*'Assumptions &amp; WACC'!$C$13</f>
        <v>4502.1618671693186</v>
      </c>
      <c r="Q8" s="1" t="s">
        <v>56</v>
      </c>
      <c r="R8" s="29">
        <f>R3*'Assumptions &amp; WACC'!$D$13</f>
        <v>4218.3326839470374</v>
      </c>
      <c r="S8" s="29">
        <f>S3*'Assumptions &amp; WACC'!$D$13</f>
        <v>4690.9242664309386</v>
      </c>
      <c r="T8" s="29">
        <f>T3*'Assumptions &amp; WACC'!$D$13</f>
        <v>5216.4616027394668</v>
      </c>
      <c r="U8" s="29">
        <f>U3*'Assumptions &amp; WACC'!$D$13</f>
        <v>5800.8763534268028</v>
      </c>
      <c r="V8" s="29">
        <f>V3*'Assumptions &amp; WACC'!$D$13</f>
        <v>6450.7647195322188</v>
      </c>
      <c r="W8" s="29">
        <f>W3*'Assumptions &amp; WACC'!$D$13</f>
        <v>7173.4618929051212</v>
      </c>
      <c r="Y8" s="1" t="s">
        <v>56</v>
      </c>
      <c r="Z8" s="29">
        <f>Z3*'Assumptions &amp; WACC'!$E$13</f>
        <v>2234.1250637876583</v>
      </c>
      <c r="AA8" s="29">
        <f>AA3*'Assumptions &amp; WACC'!$E$13</f>
        <v>2481.2448121777861</v>
      </c>
      <c r="AB8" s="29">
        <f>AB3*'Assumptions &amp; WACC'!$E$13</f>
        <v>2755.6988271379632</v>
      </c>
      <c r="AC8" s="29">
        <f>AC3*'Assumptions &amp; WACC'!$E$13</f>
        <v>3060.5105907403022</v>
      </c>
      <c r="AD8" s="29">
        <f>AD3*'Assumptions &amp; WACC'!$E$13</f>
        <v>3399.038016705812</v>
      </c>
      <c r="AE8" s="29">
        <f>AE3*'Assumptions &amp; WACC'!$E$13</f>
        <v>3775.010442364367</v>
      </c>
      <c r="AG8" s="1" t="s">
        <v>101</v>
      </c>
      <c r="AH8" s="29">
        <f>AH3*'Assumptions &amp; WACC'!$J$5</f>
        <v>388.40625401055468</v>
      </c>
      <c r="AI8" s="29">
        <f>AI3*'Assumptions &amp; WACC'!$J$5</f>
        <v>406.73565039906663</v>
      </c>
      <c r="AJ8" s="29">
        <f>AJ3*'Assumptions &amp; WACC'!$J$5</f>
        <v>425.93003484711193</v>
      </c>
      <c r="AK8" s="29">
        <f>AK3*'Assumptions &amp; WACC'!$J$5</f>
        <v>446.03022726644741</v>
      </c>
      <c r="AL8" s="29">
        <f>AL3*'Assumptions &amp; WACC'!$J$5</f>
        <v>467.07897391356664</v>
      </c>
      <c r="AM8" s="29">
        <f>AM3*'Assumptions &amp; WACC'!$J$5</f>
        <v>489.12103829641399</v>
      </c>
      <c r="AO8" s="1" t="s">
        <v>56</v>
      </c>
      <c r="AP8" s="29">
        <f>AP3*'Assumptions &amp; WACC'!$F$13</f>
        <v>476.09502854729317</v>
      </c>
      <c r="AQ8" s="29">
        <f>AQ3*'Assumptions &amp; WACC'!$F$13</f>
        <v>521.79701911798259</v>
      </c>
      <c r="AR8" s="29">
        <f>AR3*'Assumptions &amp; WACC'!$F$13</f>
        <v>571.88610011575872</v>
      </c>
      <c r="AS8" s="29">
        <f>AS3*'Assumptions &amp; WACC'!$F$13</f>
        <v>626.78340335950065</v>
      </c>
      <c r="AT8" s="29">
        <f>AT3*'Assumptions &amp; WACC'!$F$13</f>
        <v>686.95048655212645</v>
      </c>
      <c r="AU8" s="29">
        <f>AU3*'Assumptions &amp; WACC'!$F$13</f>
        <v>752.89321389950339</v>
      </c>
      <c r="AW8" s="1" t="s">
        <v>56</v>
      </c>
      <c r="AX8" s="29">
        <f>AX3*'Assumptions &amp; WACC'!$G$13</f>
        <v>4327.1400404472324</v>
      </c>
      <c r="AY8" s="29">
        <f>AY3*'Assumptions &amp; WACC'!$G$13</f>
        <v>4341.2257189526053</v>
      </c>
      <c r="AZ8" s="29">
        <f>AZ3*'Assumptions &amp; WACC'!$G$13</f>
        <v>4355.3572490683036</v>
      </c>
      <c r="BA8" s="29">
        <f>BA3*'Assumptions &amp; WACC'!$G$13</f>
        <v>4369.5347800501941</v>
      </c>
      <c r="BB8" s="29">
        <f>BB3*'Assumptions &amp; WACC'!$G$13</f>
        <v>4383.7584616400027</v>
      </c>
      <c r="BC8" s="29">
        <f>BC3*'Assumptions &amp; WACC'!$G$13</f>
        <v>4398.0284440668911</v>
      </c>
    </row>
    <row r="9" spans="1:55" x14ac:dyDescent="0.3">
      <c r="A9" s="14" t="s">
        <v>57</v>
      </c>
      <c r="B9" s="30">
        <f>B6-B7-B8</f>
        <v>72546.772329132582</v>
      </c>
      <c r="C9" s="30">
        <f t="shared" ref="C9:G9" si="7">C6-C7-C8</f>
        <v>76685.733536807296</v>
      </c>
      <c r="D9" s="30">
        <f t="shared" si="7"/>
        <v>81061.760829839041</v>
      </c>
      <c r="E9" s="30">
        <f t="shared" si="7"/>
        <v>85688.485981432241</v>
      </c>
      <c r="F9" s="30">
        <f t="shared" si="7"/>
        <v>90580.327678045214</v>
      </c>
      <c r="G9" s="30">
        <f t="shared" si="7"/>
        <v>95752.537119594577</v>
      </c>
      <c r="I9" s="14" t="s">
        <v>57</v>
      </c>
      <c r="J9" s="30">
        <f>J6-J7-J8</f>
        <v>30256.805833743259</v>
      </c>
      <c r="K9" s="30">
        <f t="shared" ref="K9:O9" si="8">K6-K7-K8</f>
        <v>30743.712420506432</v>
      </c>
      <c r="L9" s="30">
        <f t="shared" si="8"/>
        <v>31238.47057934077</v>
      </c>
      <c r="M9" s="30">
        <f t="shared" si="8"/>
        <v>31741.207176509455</v>
      </c>
      <c r="N9" s="30">
        <f t="shared" si="8"/>
        <v>32252.051132278306</v>
      </c>
      <c r="O9" s="30">
        <f t="shared" si="8"/>
        <v>32771.1334542357</v>
      </c>
      <c r="Q9" s="14" t="s">
        <v>57</v>
      </c>
      <c r="R9" s="30">
        <f>R6-R7-R8</f>
        <v>13375.643059633456</v>
      </c>
      <c r="S9" s="30">
        <f t="shared" ref="S9:W9" si="9">S6-S7-S8</f>
        <v>15040.739431384874</v>
      </c>
      <c r="T9" s="30">
        <f t="shared" si="9"/>
        <v>16913.030366786348</v>
      </c>
      <c r="U9" s="30">
        <f t="shared" si="9"/>
        <v>19018.288023071207</v>
      </c>
      <c r="V9" s="30">
        <f t="shared" si="9"/>
        <v>21385.489156436655</v>
      </c>
      <c r="W9" s="30">
        <f t="shared" si="9"/>
        <v>24047.213469756156</v>
      </c>
      <c r="Y9" s="14" t="s">
        <v>57</v>
      </c>
      <c r="Z9" s="30">
        <f>Z6-Z7-Z8</f>
        <v>16738.184080187784</v>
      </c>
      <c r="AA9" s="30">
        <f t="shared" ref="AA9:AE9" si="10">AA6-AA7-AA8</f>
        <v>17250.863792659744</v>
      </c>
      <c r="AB9" s="30">
        <f t="shared" si="10"/>
        <v>17784.258750411489</v>
      </c>
      <c r="AC9" s="30">
        <f t="shared" si="10"/>
        <v>18339.692609442824</v>
      </c>
      <c r="AD9" s="30">
        <f t="shared" si="10"/>
        <v>18918.609420556444</v>
      </c>
      <c r="AE9" s="30">
        <f t="shared" si="10"/>
        <v>19522.58624692904</v>
      </c>
      <c r="AG9" s="1" t="s">
        <v>125</v>
      </c>
      <c r="AH9" s="29">
        <f>'Assumptions &amp; WACC'!N4-'Assumptions &amp; WACC'!R3</f>
        <v>-1816.6763474643431</v>
      </c>
      <c r="AI9" s="29">
        <f>'Assumptions &amp; WACC'!O4-'Assumptions &amp; WACC'!N4</f>
        <v>507.2745665170969</v>
      </c>
      <c r="AJ9" s="29">
        <f>'Assumptions &amp; WACC'!P4-'Assumptions &amp; WACC'!O4</f>
        <v>531.21351320370195</v>
      </c>
      <c r="AK9" s="29">
        <f>'Assumptions &amp; WACC'!Q4-'Assumptions &amp; WACC'!P4</f>
        <v>556.28216992564012</v>
      </c>
      <c r="AL9" s="29">
        <f>'Assumptions &amp; WACC'!R4-'Assumptions &amp; WACC'!Q4</f>
        <v>582.53384916907453</v>
      </c>
      <c r="AM9" s="29">
        <f>'Assumptions &amp; WACC'!S4-'Assumptions &amp; WACC'!R4</f>
        <v>610.02437930573615</v>
      </c>
      <c r="AO9" s="14" t="s">
        <v>57</v>
      </c>
      <c r="AP9" s="30">
        <f>AP6-AP7-AP8</f>
        <v>18294.856916139746</v>
      </c>
      <c r="AQ9" s="30">
        <f t="shared" ref="AQ9:AU9" si="11">AQ6-AQ7-AQ8</f>
        <v>19305.228952408386</v>
      </c>
      <c r="AR9" s="30">
        <f t="shared" si="11"/>
        <v>20376.20105633081</v>
      </c>
      <c r="AS9" s="30">
        <f t="shared" si="11"/>
        <v>21511.814980169154</v>
      </c>
      <c r="AT9" s="30">
        <f t="shared" si="11"/>
        <v>22716.41383156952</v>
      </c>
      <c r="AU9" s="30">
        <f t="shared" si="11"/>
        <v>23994.666775115704</v>
      </c>
      <c r="AW9" s="14" t="s">
        <v>57</v>
      </c>
      <c r="AX9" s="30">
        <f>AX6-AX7-AX8</f>
        <v>20375.376563656948</v>
      </c>
      <c r="AY9" s="30">
        <f t="shared" ref="AY9:BC9" si="12">AY6-AY7-AY8</f>
        <v>20423.860720115204</v>
      </c>
      <c r="AZ9" s="30">
        <f t="shared" si="12"/>
        <v>20472.474221403241</v>
      </c>
      <c r="BA9" s="30">
        <f t="shared" si="12"/>
        <v>20521.217443100326</v>
      </c>
      <c r="BB9" s="30">
        <f t="shared" si="12"/>
        <v>20570.090761935728</v>
      </c>
      <c r="BC9" s="30">
        <f t="shared" si="12"/>
        <v>20619.094555792333</v>
      </c>
    </row>
    <row r="10" spans="1:55" s="20" customFormat="1" x14ac:dyDescent="0.3">
      <c r="A10" s="1" t="s">
        <v>58</v>
      </c>
      <c r="B10" s="31">
        <v>0.22</v>
      </c>
      <c r="C10" s="31">
        <v>0.22</v>
      </c>
      <c r="D10" s="31">
        <v>0.22</v>
      </c>
      <c r="E10" s="31">
        <v>0.22</v>
      </c>
      <c r="F10" s="31">
        <v>0.22</v>
      </c>
      <c r="G10" s="31">
        <v>0.22</v>
      </c>
      <c r="I10" s="28" t="s">
        <v>58</v>
      </c>
      <c r="J10" s="31">
        <v>0.22</v>
      </c>
      <c r="K10" s="31">
        <v>0.22</v>
      </c>
      <c r="L10" s="31">
        <v>0.22</v>
      </c>
      <c r="M10" s="31">
        <v>0.22</v>
      </c>
      <c r="N10" s="31">
        <v>0.22</v>
      </c>
      <c r="O10" s="31">
        <v>0.22</v>
      </c>
      <c r="Q10" s="1" t="s">
        <v>58</v>
      </c>
      <c r="R10" s="31">
        <v>0.22</v>
      </c>
      <c r="S10" s="31">
        <v>0.22</v>
      </c>
      <c r="T10" s="31">
        <v>0.22</v>
      </c>
      <c r="U10" s="31">
        <v>0.22</v>
      </c>
      <c r="V10" s="31">
        <v>0.22</v>
      </c>
      <c r="W10" s="31">
        <v>0.22</v>
      </c>
      <c r="Y10" s="28" t="s">
        <v>58</v>
      </c>
      <c r="Z10" s="31">
        <v>0.22</v>
      </c>
      <c r="AA10" s="31">
        <v>0.22</v>
      </c>
      <c r="AB10" s="31">
        <v>0.22</v>
      </c>
      <c r="AC10" s="31">
        <v>0.22</v>
      </c>
      <c r="AD10" s="31">
        <v>0.22</v>
      </c>
      <c r="AE10" s="31">
        <v>0.22</v>
      </c>
      <c r="AG10" s="14" t="s">
        <v>126</v>
      </c>
      <c r="AH10" s="60">
        <f>AH6+AH7-AH8-AH9</f>
        <v>7845.3611821350678</v>
      </c>
      <c r="AI10" s="60">
        <f t="shared" ref="AI10:AM10" si="13">AI6+AI7-AI8-AI9</f>
        <v>5805.9117479703964</v>
      </c>
      <c r="AJ10" s="60">
        <f t="shared" si="13"/>
        <v>6079.9002760294115</v>
      </c>
      <c r="AK10" s="60">
        <f t="shared" si="13"/>
        <v>6366.8186791479629</v>
      </c>
      <c r="AL10" s="60">
        <f t="shared" si="13"/>
        <v>6667.2771349500508</v>
      </c>
      <c r="AM10" s="60">
        <f t="shared" si="13"/>
        <v>6981.9146161355147</v>
      </c>
      <c r="AO10" s="28" t="s">
        <v>58</v>
      </c>
      <c r="AP10" s="31">
        <v>0.22</v>
      </c>
      <c r="AQ10" s="31">
        <v>0.22</v>
      </c>
      <c r="AR10" s="31">
        <v>0.22</v>
      </c>
      <c r="AS10" s="31">
        <v>0.22</v>
      </c>
      <c r="AT10" s="31">
        <v>0.22</v>
      </c>
      <c r="AU10" s="31">
        <v>0.22</v>
      </c>
      <c r="AW10" s="28" t="s">
        <v>58</v>
      </c>
      <c r="AX10" s="31">
        <v>0.22</v>
      </c>
      <c r="AY10" s="31">
        <v>0.22</v>
      </c>
      <c r="AZ10" s="31">
        <v>0.22</v>
      </c>
      <c r="BA10" s="31">
        <v>0.22</v>
      </c>
      <c r="BB10" s="31">
        <v>0.22</v>
      </c>
      <c r="BC10" s="31">
        <v>0.22</v>
      </c>
    </row>
    <row r="11" spans="1:55" x14ac:dyDescent="0.3">
      <c r="A11" s="14" t="s">
        <v>59</v>
      </c>
      <c r="B11" s="30">
        <f>B9*(1-B10)</f>
        <v>56586.482416723418</v>
      </c>
      <c r="C11" s="30">
        <f t="shared" ref="C11:G11" si="14">C9*(1-C10)</f>
        <v>59814.872158709695</v>
      </c>
      <c r="D11" s="30">
        <f t="shared" si="14"/>
        <v>63228.17344727445</v>
      </c>
      <c r="E11" s="30">
        <f t="shared" si="14"/>
        <v>66837.019065517146</v>
      </c>
      <c r="F11" s="30">
        <f t="shared" si="14"/>
        <v>70652.655588875263</v>
      </c>
      <c r="G11" s="30">
        <f t="shared" si="14"/>
        <v>74686.978953283775</v>
      </c>
      <c r="I11" s="14" t="s">
        <v>59</v>
      </c>
      <c r="J11" s="30">
        <f>J9*(1-J10)</f>
        <v>23600.308550319744</v>
      </c>
      <c r="K11" s="30">
        <f t="shared" ref="K11:O11" si="15">K9*(1-K10)</f>
        <v>23980.095687995017</v>
      </c>
      <c r="L11" s="30">
        <f t="shared" si="15"/>
        <v>24366.007051885801</v>
      </c>
      <c r="M11" s="30">
        <f t="shared" si="15"/>
        <v>24758.141597677375</v>
      </c>
      <c r="N11" s="30">
        <f t="shared" si="15"/>
        <v>25156.599883177081</v>
      </c>
      <c r="O11" s="30">
        <f t="shared" si="15"/>
        <v>25561.484094303847</v>
      </c>
      <c r="Q11" s="14" t="s">
        <v>59</v>
      </c>
      <c r="R11" s="30">
        <f>R9*(1-R10)</f>
        <v>10433.001586514096</v>
      </c>
      <c r="S11" s="30">
        <f t="shared" ref="S11:W11" si="16">S9*(1-S10)</f>
        <v>11731.776756480203</v>
      </c>
      <c r="T11" s="30">
        <f t="shared" si="16"/>
        <v>13192.163686093352</v>
      </c>
      <c r="U11" s="30">
        <f t="shared" si="16"/>
        <v>14834.264657995542</v>
      </c>
      <c r="V11" s="30">
        <f t="shared" si="16"/>
        <v>16680.681542020593</v>
      </c>
      <c r="W11" s="30">
        <f t="shared" si="16"/>
        <v>18756.826506409801</v>
      </c>
      <c r="Y11" s="14" t="s">
        <v>59</v>
      </c>
      <c r="Z11" s="30">
        <f>Z9*(1-Z10)</f>
        <v>13055.783582546472</v>
      </c>
      <c r="AA11" s="30">
        <f t="shared" ref="AA11:AE11" si="17">AA9*(1-AA10)</f>
        <v>13455.673758274601</v>
      </c>
      <c r="AB11" s="30">
        <f t="shared" si="17"/>
        <v>13871.721825320961</v>
      </c>
      <c r="AC11" s="30">
        <f t="shared" si="17"/>
        <v>14304.960235365403</v>
      </c>
      <c r="AD11" s="30">
        <f t="shared" si="17"/>
        <v>14756.515348034027</v>
      </c>
      <c r="AE11" s="30">
        <f t="shared" si="17"/>
        <v>15227.617272604652</v>
      </c>
      <c r="AG11" s="14"/>
      <c r="AH11" s="30"/>
      <c r="AI11" s="30"/>
      <c r="AJ11" s="30"/>
      <c r="AK11" s="30"/>
      <c r="AL11" s="30"/>
      <c r="AM11" s="30"/>
      <c r="AO11" s="14" t="s">
        <v>59</v>
      </c>
      <c r="AP11" s="30">
        <f>AP9*(1-AP10)</f>
        <v>14269.988394589003</v>
      </c>
      <c r="AQ11" s="30">
        <f t="shared" ref="AQ11:AU11" si="18">AQ9*(1-AQ10)</f>
        <v>15058.078582878541</v>
      </c>
      <c r="AR11" s="30">
        <f t="shared" si="18"/>
        <v>15893.436823938033</v>
      </c>
      <c r="AS11" s="30">
        <f t="shared" si="18"/>
        <v>16779.21568453194</v>
      </c>
      <c r="AT11" s="30">
        <f t="shared" si="18"/>
        <v>17718.802788624227</v>
      </c>
      <c r="AU11" s="30">
        <f t="shared" si="18"/>
        <v>18715.840084590251</v>
      </c>
      <c r="AW11" s="14" t="s">
        <v>59</v>
      </c>
      <c r="AX11" s="30">
        <f>AX9*(1-AX10)</f>
        <v>15892.79371965242</v>
      </c>
      <c r="AY11" s="30">
        <f t="shared" ref="AY11:BC11" si="19">AY9*(1-AY10)</f>
        <v>15930.61136168986</v>
      </c>
      <c r="AZ11" s="30">
        <f t="shared" si="19"/>
        <v>15968.529892694529</v>
      </c>
      <c r="BA11" s="30">
        <f t="shared" si="19"/>
        <v>16006.549605618255</v>
      </c>
      <c r="BB11" s="30">
        <f t="shared" si="19"/>
        <v>16044.670794309868</v>
      </c>
      <c r="BC11" s="30">
        <f t="shared" si="19"/>
        <v>16082.893753518021</v>
      </c>
    </row>
    <row r="12" spans="1:55" x14ac:dyDescent="0.3">
      <c r="A12" s="1" t="s">
        <v>60</v>
      </c>
      <c r="B12" s="29">
        <f>B11*'Assumptions &amp; WACC'!$B$7</f>
        <v>11248.565099762822</v>
      </c>
      <c r="C12" s="29">
        <f>C11*'Assumptions &amp; WACC'!$B$7</f>
        <v>11890.321763707827</v>
      </c>
      <c r="D12" s="29">
        <f>D11*'Assumptions &amp; WACC'!$B$7</f>
        <v>12568.836138691804</v>
      </c>
      <c r="E12" s="29">
        <f>E11*'Assumptions &amp; WACC'!$B$7</f>
        <v>13286.221866485332</v>
      </c>
      <c r="F12" s="29">
        <f>F11*'Assumptions &amp; WACC'!$B$7</f>
        <v>14044.714601798772</v>
      </c>
      <c r="G12" s="29">
        <f>G11*'Assumptions &amp; WACC'!$B$7</f>
        <v>14846.679082712182</v>
      </c>
      <c r="I12" s="1" t="s">
        <v>60</v>
      </c>
      <c r="J12" s="29">
        <f>J11*'Assumptions &amp; WACC'!$C$7</f>
        <v>4958.6995183314302</v>
      </c>
      <c r="K12" s="29">
        <f>K11*'Assumptions &amp; WACC'!$C$7</f>
        <v>5038.4972164269211</v>
      </c>
      <c r="L12" s="29">
        <f>L11*'Assumptions &amp; WACC'!$C$7</f>
        <v>5119.5816857322143</v>
      </c>
      <c r="M12" s="29">
        <f>M11*'Assumptions &amp; WACC'!$C$7</f>
        <v>5201.973717988566</v>
      </c>
      <c r="N12" s="29">
        <f>N11*'Assumptions &amp; WACC'!$C$7</f>
        <v>5285.6944415617245</v>
      </c>
      <c r="O12" s="29">
        <f>O11*'Assumptions &amp; WACC'!$C$7</f>
        <v>5370.7653269026314</v>
      </c>
      <c r="Q12" s="1" t="s">
        <v>60</v>
      </c>
      <c r="R12" s="29">
        <f>R11*'Assumptions &amp; WACC'!$D$7</f>
        <v>2233.9111534667395</v>
      </c>
      <c r="S12" s="29">
        <f>S11*'Assumptions &amp; WACC'!$D$7</f>
        <v>2512.0045011935617</v>
      </c>
      <c r="T12" s="29">
        <f>T11*'Assumptions &amp; WACC'!$D$7</f>
        <v>2824.70211015941</v>
      </c>
      <c r="U12" s="29">
        <f>U11*'Assumptions &amp; WACC'!$D$7</f>
        <v>3176.3082750614262</v>
      </c>
      <c r="V12" s="29">
        <f>V11*'Assumptions &amp; WACC'!$D$7</f>
        <v>3571.6625014524752</v>
      </c>
      <c r="W12" s="29">
        <f>W11*'Assumptions &amp; WACC'!$D$7</f>
        <v>4016.2060351329387</v>
      </c>
      <c r="Y12" s="1" t="s">
        <v>60</v>
      </c>
      <c r="Z12" s="29">
        <f>Z11*'Assumptions &amp; WACC'!$C$7</f>
        <v>2743.1720913384188</v>
      </c>
      <c r="AA12" s="29">
        <f>AA11*'Assumptions &amp; WACC'!$C$7</f>
        <v>2827.1936717148196</v>
      </c>
      <c r="AB12" s="29">
        <f>AB11*'Assumptions &amp; WACC'!$C$7</f>
        <v>2914.6102131242988</v>
      </c>
      <c r="AC12" s="29">
        <f>AC11*'Assumptions &amp; WACC'!$C$7</f>
        <v>3005.6386456818441</v>
      </c>
      <c r="AD12" s="29">
        <f>AD11*'Assumptions &amp; WACC'!$C$7</f>
        <v>3100.5156306549775</v>
      </c>
      <c r="AE12" s="29">
        <f>AE11*'Assumptions &amp; WACC'!$C$7</f>
        <v>3199.4996283206233</v>
      </c>
      <c r="AG12" s="1" t="s">
        <v>60</v>
      </c>
      <c r="AH12" s="29">
        <f>AH6*'Assumptions &amp; WACC'!$J$26</f>
        <v>3022.4573153620686</v>
      </c>
      <c r="AI12" s="29">
        <f>AI6*'Assumptions &amp; WACC'!$J$26</f>
        <v>3165.0910078646712</v>
      </c>
      <c r="AJ12" s="29">
        <f>AJ6*'Assumptions &amp; WACC'!$J$26</f>
        <v>3314.4557698627873</v>
      </c>
      <c r="AK12" s="29">
        <f>AK6*'Assumptions &amp; WACC'!$J$26</f>
        <v>3470.8692492820833</v>
      </c>
      <c r="AL12" s="29">
        <f>AL6*'Assumptions &amp; WACC'!$J$26</f>
        <v>3634.6640842670513</v>
      </c>
      <c r="AM12" s="29">
        <f>AM6*'Assumptions &amp; WACC'!$J$26</f>
        <v>3806.1886105889371</v>
      </c>
      <c r="AO12" s="1" t="s">
        <v>60</v>
      </c>
      <c r="AP12" s="29">
        <f>AP11*'Assumptions &amp; WACC'!$F$7</f>
        <v>5800.1232974324721</v>
      </c>
      <c r="AQ12" s="29">
        <f>AQ11*'Assumptions &amp; WACC'!$F$7</f>
        <v>6120.4473324057144</v>
      </c>
      <c r="AR12" s="29">
        <f>AR11*'Assumptions &amp; WACC'!$F$7</f>
        <v>6459.9837539986429</v>
      </c>
      <c r="AS12" s="29">
        <f>AS11*'Assumptions &amp; WACC'!$F$7</f>
        <v>6820.013942085694</v>
      </c>
      <c r="AT12" s="29">
        <f>AT11*'Assumptions &amp; WACC'!$F$7</f>
        <v>7201.9148169651189</v>
      </c>
      <c r="AU12" s="29">
        <f>AU11*'Assumptions &amp; WACC'!$F$7</f>
        <v>7607.1666706340702</v>
      </c>
      <c r="AW12" s="1" t="s">
        <v>60</v>
      </c>
      <c r="AX12" s="29">
        <f>AX11*'Assumptions &amp; WACC'!$G$7</f>
        <v>4535.0878867706033</v>
      </c>
      <c r="AY12" s="29">
        <f>AY11*'Assumptions &amp; WACC'!$G$7</f>
        <v>4545.8793393833766</v>
      </c>
      <c r="AZ12" s="29">
        <f>AZ11*'Assumptions &amp; WACC'!$G$7</f>
        <v>4556.6995811657116</v>
      </c>
      <c r="BA12" s="29">
        <f>BA11*'Assumptions &amp; WACC'!$G$7</f>
        <v>4567.5486957128714</v>
      </c>
      <c r="BB12" s="29">
        <f>BB11*'Assumptions &amp; WACC'!$G$7</f>
        <v>4578.4267668760831</v>
      </c>
      <c r="BC12" s="29">
        <f>BC11*'Assumptions &amp; WACC'!$G$7</f>
        <v>4589.3338787633456</v>
      </c>
    </row>
    <row r="13" spans="1:55" x14ac:dyDescent="0.3">
      <c r="A13" s="14" t="s">
        <v>61</v>
      </c>
      <c r="B13" s="30">
        <f>B11-B12</f>
        <v>45337.917316960593</v>
      </c>
      <c r="C13" s="30">
        <f t="shared" ref="C13:G13" si="20">C11-C12</f>
        <v>47924.550395001868</v>
      </c>
      <c r="D13" s="30">
        <f t="shared" si="20"/>
        <v>50659.337308582646</v>
      </c>
      <c r="E13" s="30">
        <f t="shared" si="20"/>
        <v>53550.797199031818</v>
      </c>
      <c r="F13" s="30">
        <f t="shared" si="20"/>
        <v>56607.940987076494</v>
      </c>
      <c r="G13" s="30">
        <f t="shared" si="20"/>
        <v>59840.299870571595</v>
      </c>
      <c r="I13" s="14" t="s">
        <v>61</v>
      </c>
      <c r="J13" s="30">
        <f>J11-J12</f>
        <v>18641.609031988315</v>
      </c>
      <c r="K13" s="30">
        <f t="shared" ref="K13:O13" si="21">K11-K12</f>
        <v>18941.598471568097</v>
      </c>
      <c r="L13" s="30">
        <f t="shared" si="21"/>
        <v>19246.425366153588</v>
      </c>
      <c r="M13" s="30">
        <f t="shared" si="21"/>
        <v>19556.167879688808</v>
      </c>
      <c r="N13" s="30">
        <f t="shared" si="21"/>
        <v>19870.905441615356</v>
      </c>
      <c r="O13" s="30">
        <f t="shared" si="21"/>
        <v>20190.718767401217</v>
      </c>
      <c r="Q13" s="14" t="s">
        <v>61</v>
      </c>
      <c r="R13" s="30">
        <f>R11-R12</f>
        <v>8199.0904330473568</v>
      </c>
      <c r="S13" s="30">
        <f t="shared" ref="S13:W13" si="22">S11-S12</f>
        <v>9219.7722552866417</v>
      </c>
      <c r="T13" s="30">
        <f t="shared" si="22"/>
        <v>10367.461575933943</v>
      </c>
      <c r="U13" s="30">
        <f t="shared" si="22"/>
        <v>11657.956382934115</v>
      </c>
      <c r="V13" s="30">
        <f t="shared" si="22"/>
        <v>13109.019040568117</v>
      </c>
      <c r="W13" s="30">
        <f t="shared" si="22"/>
        <v>14740.620471276863</v>
      </c>
      <c r="Y13" s="14" t="s">
        <v>61</v>
      </c>
      <c r="Z13" s="30">
        <f>Z11-Z12</f>
        <v>10312.611491208052</v>
      </c>
      <c r="AA13" s="30">
        <f t="shared" ref="AA13:AE13" si="23">AA11-AA12</f>
        <v>10628.480086559781</v>
      </c>
      <c r="AB13" s="30">
        <f t="shared" si="23"/>
        <v>10957.111612196662</v>
      </c>
      <c r="AC13" s="30">
        <f t="shared" si="23"/>
        <v>11299.321589683559</v>
      </c>
      <c r="AD13" s="30">
        <f t="shared" si="23"/>
        <v>11655.999717379049</v>
      </c>
      <c r="AE13" s="30">
        <f t="shared" si="23"/>
        <v>12028.117644284028</v>
      </c>
      <c r="AG13" s="14"/>
      <c r="AH13" s="30"/>
      <c r="AI13" s="30"/>
      <c r="AJ13" s="30"/>
      <c r="AK13" s="30"/>
      <c r="AL13" s="30"/>
      <c r="AM13" s="30"/>
      <c r="AO13" s="14" t="s">
        <v>61</v>
      </c>
      <c r="AP13" s="30">
        <f>AP11-AP12</f>
        <v>8469.8650971565312</v>
      </c>
      <c r="AQ13" s="30">
        <f t="shared" ref="AQ13:AU13" si="24">AQ11-AQ12</f>
        <v>8937.6312504728267</v>
      </c>
      <c r="AR13" s="30">
        <f t="shared" si="24"/>
        <v>9433.4530699393908</v>
      </c>
      <c r="AS13" s="30">
        <f t="shared" si="24"/>
        <v>9959.2017424462465</v>
      </c>
      <c r="AT13" s="30">
        <f t="shared" si="24"/>
        <v>10516.887971659107</v>
      </c>
      <c r="AU13" s="30">
        <f t="shared" si="24"/>
        <v>11108.673413956181</v>
      </c>
      <c r="AW13" s="14" t="s">
        <v>61</v>
      </c>
      <c r="AX13" s="30">
        <f>AX11-AX12</f>
        <v>11357.705832881817</v>
      </c>
      <c r="AY13" s="30">
        <f t="shared" ref="AY13:BC13" si="25">AY11-AY12</f>
        <v>11384.732022306483</v>
      </c>
      <c r="AZ13" s="30">
        <f t="shared" si="25"/>
        <v>11411.830311528818</v>
      </c>
      <c r="BA13" s="30">
        <f t="shared" si="25"/>
        <v>11439.000909905382</v>
      </c>
      <c r="BB13" s="30">
        <f t="shared" si="25"/>
        <v>11466.244027433786</v>
      </c>
      <c r="BC13" s="30">
        <f t="shared" si="25"/>
        <v>11493.559874754676</v>
      </c>
    </row>
    <row r="14" spans="1:55" x14ac:dyDescent="0.3">
      <c r="R14" s="22"/>
      <c r="S14" s="22"/>
      <c r="T14" s="22"/>
      <c r="U14" s="22"/>
      <c r="V14" s="22"/>
      <c r="W14" s="22"/>
      <c r="Z14" s="22"/>
      <c r="AA14" s="22"/>
      <c r="AB14" s="22"/>
      <c r="AC14" s="22"/>
      <c r="AD14" s="22"/>
      <c r="AE14" s="22"/>
      <c r="AH14" s="22"/>
      <c r="AI14" s="22"/>
      <c r="AJ14" s="22"/>
      <c r="AK14" s="22"/>
      <c r="AL14" s="22"/>
      <c r="AM14" s="22"/>
      <c r="AP14" s="22"/>
      <c r="AQ14" s="22"/>
      <c r="AR14" s="22"/>
      <c r="AS14" s="22"/>
      <c r="AT14" s="22"/>
      <c r="AU14" s="22"/>
      <c r="AX14" s="22"/>
      <c r="AY14" s="22"/>
      <c r="AZ14" s="22"/>
      <c r="BA14" s="22"/>
      <c r="BB14" s="22"/>
      <c r="BC14" s="22"/>
    </row>
    <row r="15" spans="1:55" x14ac:dyDescent="0.3">
      <c r="B15" s="29"/>
      <c r="C15" s="29"/>
      <c r="D15" s="29"/>
      <c r="E15" s="29"/>
      <c r="F15" s="29"/>
      <c r="G15" s="29"/>
      <c r="J15" s="29"/>
      <c r="K15" s="29"/>
      <c r="L15" s="29"/>
      <c r="M15" s="29"/>
      <c r="N15" s="29"/>
      <c r="O15" s="29"/>
      <c r="R15" s="29"/>
      <c r="S15" s="29"/>
      <c r="T15" s="29"/>
      <c r="U15" s="29"/>
      <c r="V15" s="29"/>
      <c r="W15" s="29"/>
      <c r="Z15" s="29"/>
      <c r="AA15" s="29"/>
      <c r="AB15" s="29"/>
      <c r="AC15" s="29"/>
      <c r="AD15" s="29"/>
      <c r="AE15" s="29"/>
      <c r="AH15" s="29"/>
      <c r="AI15" s="29"/>
      <c r="AJ15" s="29"/>
      <c r="AK15" s="29"/>
      <c r="AL15" s="29"/>
      <c r="AM15" s="29"/>
      <c r="AP15" s="29"/>
      <c r="AQ15" s="29"/>
      <c r="AR15" s="29"/>
      <c r="AS15" s="29"/>
      <c r="AT15" s="29"/>
      <c r="AU15" s="29"/>
      <c r="AX15" s="29"/>
      <c r="AY15" s="29"/>
      <c r="AZ15" s="29"/>
      <c r="BA15" s="29"/>
      <c r="BB15" s="29"/>
      <c r="BC15" s="29"/>
    </row>
    <row r="16" spans="1:55" x14ac:dyDescent="0.3">
      <c r="R16" s="22"/>
      <c r="S16" s="22"/>
      <c r="T16" s="22"/>
      <c r="U16" s="22"/>
      <c r="V16" s="22"/>
      <c r="W16" s="22"/>
      <c r="Z16" s="22"/>
      <c r="AA16" s="22"/>
      <c r="AB16" s="22"/>
      <c r="AC16" s="22"/>
      <c r="AD16" s="22"/>
      <c r="AE16" s="22"/>
      <c r="AH16" s="22"/>
      <c r="AI16" s="22"/>
      <c r="AJ16" s="22"/>
      <c r="AK16" s="22"/>
      <c r="AL16" s="22"/>
      <c r="AM16" s="22"/>
      <c r="AP16" s="22"/>
      <c r="AQ16" s="22"/>
      <c r="AR16" s="22"/>
      <c r="AS16" s="22"/>
      <c r="AT16" s="22"/>
      <c r="AU16" s="22"/>
      <c r="AX16" s="22"/>
      <c r="AY16" s="22"/>
      <c r="AZ16" s="22"/>
      <c r="BA16" s="22"/>
      <c r="BB16" s="22"/>
      <c r="BC16" s="22"/>
    </row>
    <row r="17" spans="1:55" x14ac:dyDescent="0.3">
      <c r="A17" s="1" t="s">
        <v>72</v>
      </c>
      <c r="B17" s="22" t="s">
        <v>37</v>
      </c>
      <c r="I17" s="1" t="s">
        <v>72</v>
      </c>
      <c r="J17" s="22" t="s">
        <v>37</v>
      </c>
      <c r="Q17" s="1" t="s">
        <v>72</v>
      </c>
      <c r="R17" s="22" t="s">
        <v>37</v>
      </c>
      <c r="S17" s="22"/>
      <c r="T17" s="22"/>
      <c r="U17" s="22"/>
      <c r="V17" s="22"/>
      <c r="W17" s="22"/>
      <c r="Y17" s="1" t="s">
        <v>72</v>
      </c>
      <c r="Z17" s="22" t="s">
        <v>37</v>
      </c>
      <c r="AA17" s="22"/>
      <c r="AB17" s="22"/>
      <c r="AC17" s="22"/>
      <c r="AD17" s="22"/>
      <c r="AE17" s="22"/>
      <c r="AG17" s="1" t="s">
        <v>72</v>
      </c>
      <c r="AH17" s="22" t="s">
        <v>37</v>
      </c>
      <c r="AI17" s="22"/>
      <c r="AJ17" s="22"/>
      <c r="AK17" s="22"/>
      <c r="AL17" s="22"/>
      <c r="AM17" s="22"/>
      <c r="AO17" s="1" t="s">
        <v>72</v>
      </c>
      <c r="AP17" s="22" t="s">
        <v>37</v>
      </c>
      <c r="AQ17" s="22"/>
      <c r="AR17" s="22"/>
      <c r="AS17" s="22"/>
      <c r="AT17" s="22"/>
      <c r="AU17" s="22"/>
      <c r="AW17" s="1" t="s">
        <v>72</v>
      </c>
      <c r="AX17" s="22" t="s">
        <v>37</v>
      </c>
      <c r="AY17" s="22"/>
      <c r="AZ17" s="22"/>
      <c r="BA17" s="22"/>
      <c r="BB17" s="22"/>
      <c r="BC17" s="22"/>
    </row>
    <row r="18" spans="1:55" x14ac:dyDescent="0.3">
      <c r="A18" s="1" t="s">
        <v>73</v>
      </c>
      <c r="B18" s="29">
        <f ca="1">G13*(1+'Assumptions &amp; WACC'!B6)/('Assumptions &amp; WACC'!B5-'Assumptions &amp; WACC'!B6)</f>
        <v>781747.59741954086</v>
      </c>
      <c r="I18" s="1" t="s">
        <v>73</v>
      </c>
      <c r="J18" s="29">
        <f ca="1">O13*(1+'Assumptions &amp; WACC'!C6)/('Assumptions &amp; WACC'!C5-'Assumptions &amp; WACC'!C6)</f>
        <v>227628.04655388641</v>
      </c>
      <c r="Q18" s="1" t="s">
        <v>73</v>
      </c>
      <c r="R18" s="29">
        <f ca="1">W13/('Assumptions &amp; WACC'!D5-'Assumptions &amp; WACC'!D6)</f>
        <v>178334.81098124612</v>
      </c>
      <c r="S18" s="22"/>
      <c r="T18" s="22"/>
      <c r="U18" s="22"/>
      <c r="V18" s="22"/>
      <c r="W18" s="22"/>
      <c r="Y18" s="1" t="s">
        <v>73</v>
      </c>
      <c r="Z18" s="29">
        <f ca="1">AE13/('Assumptions &amp; WACC'!E5-'Assumptions &amp; WACC'!E6)</f>
        <v>122327.71918480203</v>
      </c>
      <c r="AA18" s="22"/>
      <c r="AB18" s="22"/>
      <c r="AC18" s="22"/>
      <c r="AD18" s="22"/>
      <c r="AE18" s="22"/>
      <c r="AG18" s="1" t="s">
        <v>127</v>
      </c>
      <c r="AH18" s="29">
        <f ca="1">AM10*(1+'Assumptions &amp; WACC'!J24)/('Assumptions &amp; WACC'!J20-'Assumptions &amp; WACC'!J24)</f>
        <v>72205.48735985269</v>
      </c>
      <c r="AI18" s="22"/>
      <c r="AJ18" s="22"/>
      <c r="AK18" s="22"/>
      <c r="AL18" s="22"/>
      <c r="AM18" s="22"/>
      <c r="AO18" s="1" t="s">
        <v>73</v>
      </c>
      <c r="AP18" s="29">
        <f ca="1">AU13/('Assumptions &amp; WACC'!F5-'Assumptions &amp; WACC'!F6)</f>
        <v>121902.53670907445</v>
      </c>
      <c r="AQ18" s="22"/>
      <c r="AR18" s="22"/>
      <c r="AS18" s="22"/>
      <c r="AT18" s="22"/>
      <c r="AU18" s="22"/>
      <c r="AW18" s="1" t="s">
        <v>73</v>
      </c>
      <c r="AX18" s="29">
        <f ca="1">BC13/('Assumptions &amp; WACC'!G5-'Assumptions &amp; WACC'!G6)</f>
        <v>134824.97976204343</v>
      </c>
      <c r="AY18" s="22"/>
      <c r="AZ18" s="22"/>
      <c r="BA18" s="22"/>
      <c r="BB18" s="22"/>
      <c r="BC18" s="22"/>
    </row>
    <row r="19" spans="1:55" x14ac:dyDescent="0.3">
      <c r="A19" s="1" t="s">
        <v>74</v>
      </c>
      <c r="B19" s="29">
        <f ca="1">B18/(1+'Assumptions &amp; WACC'!B5)^6</f>
        <v>433037.79810420645</v>
      </c>
      <c r="I19" s="1" t="s">
        <v>74</v>
      </c>
      <c r="J19" s="29">
        <f ca="1">J18/(1+'Assumptions &amp; WACC'!C5)^6</f>
        <v>117877.81415233915</v>
      </c>
      <c r="Q19" s="1" t="s">
        <v>74</v>
      </c>
      <c r="R19" s="29">
        <f ca="1">R18*'Assumptions &amp; WACC'!D16</f>
        <v>96561.576413387244</v>
      </c>
      <c r="S19" s="22"/>
      <c r="T19" s="22"/>
      <c r="U19" s="22"/>
      <c r="V19" s="22"/>
      <c r="W19" s="22"/>
      <c r="Y19" s="1" t="s">
        <v>74</v>
      </c>
      <c r="Z19" s="29">
        <f ca="1">Z18*'Assumptions &amp; WACC'!E16</f>
        <v>62533.396298532301</v>
      </c>
      <c r="AA19" s="22"/>
      <c r="AB19" s="22"/>
      <c r="AC19" s="22"/>
      <c r="AD19" s="22"/>
      <c r="AE19" s="22"/>
      <c r="AG19" s="1" t="s">
        <v>74</v>
      </c>
      <c r="AH19" s="29">
        <f ca="1">AH18*'Assumptions &amp; WACC'!J22</f>
        <v>36851.386061846213</v>
      </c>
      <c r="AI19" s="22"/>
      <c r="AJ19" s="22"/>
      <c r="AK19" s="22"/>
      <c r="AL19" s="22"/>
      <c r="AM19" s="22"/>
      <c r="AO19" s="1" t="s">
        <v>74</v>
      </c>
      <c r="AP19" s="29">
        <f ca="1">AP18*'Assumptions &amp; WACC'!F16</f>
        <v>64778.272922649579</v>
      </c>
      <c r="AQ19" s="22"/>
      <c r="AR19" s="22"/>
      <c r="AS19" s="22"/>
      <c r="AT19" s="22"/>
      <c r="AU19" s="22"/>
      <c r="AW19" s="1" t="s">
        <v>74</v>
      </c>
      <c r="AX19" s="29">
        <f ca="1">AX18*'Assumptions &amp; WACC'!G16</f>
        <v>73962.560505176341</v>
      </c>
      <c r="AY19" s="22"/>
      <c r="AZ19" s="22"/>
      <c r="BA19" s="22"/>
      <c r="BB19" s="22"/>
      <c r="BC19" s="22"/>
    </row>
    <row r="20" spans="1:55" x14ac:dyDescent="0.3">
      <c r="A20" s="1" t="s">
        <v>75</v>
      </c>
      <c r="B20" s="32">
        <f ca="1">NPV('Assumptions &amp; WACC'!B5,DCF!B13:G13)</f>
        <v>222018.52030180907</v>
      </c>
      <c r="I20" s="1" t="s">
        <v>75</v>
      </c>
      <c r="J20" s="32">
        <f ca="1">NPV('Assumptions &amp; WACC'!C5,DCF!J13:O13)</f>
        <v>80316.079503916189</v>
      </c>
      <c r="Q20" s="1" t="s">
        <v>75</v>
      </c>
      <c r="R20" s="32">
        <f ca="1">NPV('Assumptions &amp; WACC'!D5,DCF!R13:W13)</f>
        <v>46133.986240390055</v>
      </c>
      <c r="S20" s="22"/>
      <c r="T20" s="22"/>
      <c r="U20" s="22"/>
      <c r="V20" s="22"/>
      <c r="W20" s="22"/>
      <c r="Y20" s="1" t="s">
        <v>75</v>
      </c>
      <c r="Z20" s="32">
        <f ca="1">NPV('Assumptions &amp; WACC'!E5,DCF!Z13:AE13)</f>
        <v>45590.160551176537</v>
      </c>
      <c r="AA20" s="22"/>
      <c r="AB20" s="22"/>
      <c r="AC20" s="22"/>
      <c r="AD20" s="22"/>
      <c r="AE20" s="22"/>
      <c r="AG20" s="1" t="s">
        <v>128</v>
      </c>
      <c r="AH20" s="32">
        <f ca="1">NPV(Table50[[#This Row],[Blackrock]],DCF!AH10:AM10)</f>
        <v>27432.528289934413</v>
      </c>
      <c r="AI20" s="22"/>
      <c r="AJ20" s="22"/>
      <c r="AK20" s="22"/>
      <c r="AL20" s="22"/>
      <c r="AM20" s="22"/>
      <c r="AO20" s="1" t="s">
        <v>75</v>
      </c>
      <c r="AP20" s="32">
        <f ca="1">NPV('Assumptions &amp; WACC'!F5,DCF!AP13:AU13)</f>
        <v>40385.30492082311</v>
      </c>
      <c r="AQ20" s="22"/>
      <c r="AR20" s="22"/>
      <c r="AS20" s="22"/>
      <c r="AT20" s="22"/>
      <c r="AU20" s="22"/>
      <c r="AW20" s="1" t="s">
        <v>75</v>
      </c>
      <c r="AX20" s="32">
        <f ca="1">NPV('Assumptions &amp; WACC'!G5,DCF!AX13:BC13)</f>
        <v>48971.230661647933</v>
      </c>
      <c r="AY20" s="22"/>
      <c r="AZ20" s="22"/>
      <c r="BA20" s="22"/>
      <c r="BB20" s="22"/>
      <c r="BC20" s="22"/>
    </row>
    <row r="21" spans="1:55" x14ac:dyDescent="0.3">
      <c r="A21" s="1" t="s">
        <v>79</v>
      </c>
      <c r="B21" s="29">
        <f ca="1">B19+B20</f>
        <v>655056.31840601552</v>
      </c>
      <c r="I21" s="1" t="s">
        <v>79</v>
      </c>
      <c r="J21" s="29">
        <f ca="1">J19+J20</f>
        <v>198193.89365625533</v>
      </c>
      <c r="Q21" s="1" t="s">
        <v>79</v>
      </c>
      <c r="R21" s="29">
        <f ca="1">R19+R20</f>
        <v>142695.56265377731</v>
      </c>
      <c r="S21" s="22"/>
      <c r="T21" s="22"/>
      <c r="U21" s="22"/>
      <c r="V21" s="22"/>
      <c r="W21" s="22"/>
      <c r="Y21" s="1" t="s">
        <v>79</v>
      </c>
      <c r="Z21" s="29">
        <f ca="1">Z19+Z20</f>
        <v>108123.55684970884</v>
      </c>
      <c r="AA21" s="22"/>
      <c r="AB21" s="22"/>
      <c r="AC21" s="22"/>
      <c r="AD21" s="22"/>
      <c r="AE21" s="22"/>
      <c r="AG21" s="1" t="s">
        <v>129</v>
      </c>
      <c r="AH21" s="29">
        <f ca="1">AH19+AH20</f>
        <v>64283.914351780622</v>
      </c>
      <c r="AI21" s="22"/>
      <c r="AJ21" s="22"/>
      <c r="AK21" s="22"/>
      <c r="AL21" s="22"/>
      <c r="AM21" s="22"/>
      <c r="AO21" s="1" t="s">
        <v>79</v>
      </c>
      <c r="AP21" s="29">
        <f ca="1">AP19+AP20</f>
        <v>105163.57784347268</v>
      </c>
      <c r="AQ21" s="22"/>
      <c r="AR21" s="22"/>
      <c r="AS21" s="22"/>
      <c r="AT21" s="22"/>
      <c r="AU21" s="22"/>
      <c r="AW21" s="1" t="s">
        <v>79</v>
      </c>
      <c r="AX21" s="29">
        <f ca="1">AX19+AX20</f>
        <v>122933.79116682427</v>
      </c>
      <c r="AY21" s="22"/>
      <c r="AZ21" s="22"/>
      <c r="BA21" s="22"/>
      <c r="BB21" s="22"/>
      <c r="BC21" s="22"/>
    </row>
    <row r="22" spans="1:55" x14ac:dyDescent="0.3">
      <c r="A22" s="1" t="s">
        <v>8</v>
      </c>
      <c r="B22" s="29">
        <f>Financials!F21</f>
        <v>2873.9</v>
      </c>
      <c r="I22" s="1" t="s">
        <v>8</v>
      </c>
      <c r="J22" s="29">
        <f>Financials!M21</f>
        <v>7673</v>
      </c>
      <c r="Q22" s="1" t="s">
        <v>8</v>
      </c>
      <c r="R22" s="29">
        <f>'Assumptions &amp; WACC'!D15</f>
        <v>702</v>
      </c>
      <c r="S22" s="22"/>
      <c r="T22" s="22"/>
      <c r="U22" s="22"/>
      <c r="V22" s="22"/>
      <c r="W22" s="22"/>
      <c r="Y22" s="1" t="s">
        <v>8</v>
      </c>
      <c r="Z22" s="29">
        <f>'Assumptions &amp; WACC'!E15</f>
        <v>308.8</v>
      </c>
      <c r="AA22" s="22"/>
      <c r="AB22" s="22"/>
      <c r="AC22" s="22"/>
      <c r="AD22" s="22"/>
      <c r="AE22" s="22"/>
      <c r="AG22" s="1" t="s">
        <v>130</v>
      </c>
      <c r="AH22" s="29">
        <f>'Assumptions &amp; WACC'!J15-'Assumptions &amp; WACC'!J23</f>
        <v>-448</v>
      </c>
      <c r="AI22" s="22"/>
      <c r="AJ22" s="22"/>
      <c r="AK22" s="22"/>
      <c r="AL22" s="22"/>
      <c r="AM22" s="22"/>
      <c r="AO22" s="1" t="s">
        <v>8</v>
      </c>
      <c r="AP22" s="29">
        <f>'Assumptions &amp; WACC'!F15</f>
        <v>1610</v>
      </c>
      <c r="AQ22" s="22"/>
      <c r="AR22" s="22"/>
      <c r="AS22" s="22"/>
      <c r="AT22" s="22"/>
      <c r="AU22" s="22"/>
      <c r="AW22" s="1" t="s">
        <v>8</v>
      </c>
      <c r="AX22" s="29">
        <f>'Assumptions &amp; WACC'!G15</f>
        <v>3302</v>
      </c>
      <c r="AY22" s="22"/>
      <c r="AZ22" s="22"/>
      <c r="BA22" s="22"/>
      <c r="BB22" s="22"/>
      <c r="BC22" s="22"/>
    </row>
    <row r="23" spans="1:55" x14ac:dyDescent="0.3">
      <c r="A23" s="1" t="s">
        <v>76</v>
      </c>
      <c r="B23" s="32">
        <f ca="1">B21/B22</f>
        <v>227.93288507116304</v>
      </c>
      <c r="I23" s="1" t="s">
        <v>76</v>
      </c>
      <c r="J23" s="32">
        <f ca="1">J21/J22</f>
        <v>25.830039574645554</v>
      </c>
      <c r="Q23" s="1" t="s">
        <v>76</v>
      </c>
      <c r="R23" s="32">
        <f ca="1">R21/R22</f>
        <v>203.27003227033805</v>
      </c>
      <c r="S23" s="22"/>
      <c r="T23" s="22"/>
      <c r="U23" s="22"/>
      <c r="V23" s="22"/>
      <c r="W23" s="22"/>
      <c r="Y23" s="1" t="s">
        <v>76</v>
      </c>
      <c r="Z23" s="32">
        <f ca="1">Z21/Z22</f>
        <v>350.1410519744457</v>
      </c>
      <c r="AA23" s="22"/>
      <c r="AB23" s="22"/>
      <c r="AC23" s="22"/>
      <c r="AD23" s="22"/>
      <c r="AE23" s="22"/>
      <c r="AG23" s="1" t="s">
        <v>131</v>
      </c>
      <c r="AH23" s="32">
        <f ca="1">AH21-AH22</f>
        <v>64731.914351780622</v>
      </c>
      <c r="AI23" s="22"/>
      <c r="AJ23" s="22"/>
      <c r="AK23" s="22"/>
      <c r="AL23" s="22"/>
      <c r="AM23" s="22"/>
      <c r="AO23" s="1" t="s">
        <v>76</v>
      </c>
      <c r="AP23" s="32">
        <f ca="1">AP21/AP22</f>
        <v>65.318992449361915</v>
      </c>
      <c r="AQ23" s="22"/>
      <c r="AR23" s="22"/>
      <c r="AS23" s="22"/>
      <c r="AT23" s="22"/>
      <c r="AU23" s="22"/>
      <c r="AW23" s="1" t="s">
        <v>76</v>
      </c>
      <c r="AX23" s="32">
        <f ca="1">AX21/AX22</f>
        <v>37.230100292799598</v>
      </c>
      <c r="AY23" s="22"/>
      <c r="AZ23" s="22"/>
      <c r="BA23" s="22"/>
      <c r="BB23" s="22"/>
      <c r="BC23" s="22"/>
    </row>
    <row r="24" spans="1:55" x14ac:dyDescent="0.3">
      <c r="A24" s="1" t="s">
        <v>77</v>
      </c>
      <c r="B24" s="32">
        <f ca="1">'Company Profile'!B5</f>
        <v>299.12</v>
      </c>
      <c r="I24" s="1" t="s">
        <v>77</v>
      </c>
      <c r="J24" s="32">
        <f ca="1">'Company Profile'!C5</f>
        <v>51.546500000000002</v>
      </c>
      <c r="Q24" s="1" t="s">
        <v>77</v>
      </c>
      <c r="R24" s="32">
        <f ca="1">'Company Profile'!D5</f>
        <v>335.07799999999997</v>
      </c>
      <c r="S24" s="22"/>
      <c r="T24" s="22"/>
      <c r="U24" s="22"/>
      <c r="V24" s="22"/>
      <c r="W24" s="22"/>
      <c r="Y24" s="1" t="s">
        <v>77</v>
      </c>
      <c r="Z24" s="32">
        <f ca="1">'Company Profile'!F5</f>
        <v>776.76</v>
      </c>
      <c r="AA24" s="22"/>
      <c r="AB24" s="22"/>
      <c r="AC24" s="22"/>
      <c r="AD24" s="22"/>
      <c r="AE24" s="22"/>
      <c r="AG24" s="1" t="s">
        <v>132</v>
      </c>
      <c r="AH24" s="32">
        <f>'Assumptions &amp; WACC'!J25</f>
        <v>149.19999999999999</v>
      </c>
      <c r="AI24" s="22"/>
      <c r="AJ24" s="22"/>
      <c r="AK24" s="22"/>
      <c r="AL24" s="22"/>
      <c r="AM24" s="22"/>
      <c r="AO24" s="1" t="s">
        <v>77</v>
      </c>
      <c r="AP24" s="32">
        <f ca="1">'Company Profile'!G5</f>
        <v>159.16999999999999</v>
      </c>
      <c r="AQ24" s="22"/>
      <c r="AR24" s="22"/>
      <c r="AS24" s="22"/>
      <c r="AT24" s="22"/>
      <c r="AU24" s="22"/>
      <c r="AW24" s="1" t="s">
        <v>77</v>
      </c>
      <c r="AX24" s="32">
        <f ca="1">'Company Profile'!H5</f>
        <v>83.93</v>
      </c>
      <c r="AY24" s="22"/>
      <c r="AZ24" s="22"/>
      <c r="BA24" s="22"/>
      <c r="BB24" s="22"/>
      <c r="BC24" s="22"/>
    </row>
    <row r="25" spans="1:55" x14ac:dyDescent="0.3">
      <c r="A25" s="1" t="s">
        <v>78</v>
      </c>
      <c r="B25" s="23">
        <f ca="1">(B23-B24)/B24</f>
        <v>-0.23798848264521583</v>
      </c>
      <c r="I25" s="1" t="s">
        <v>78</v>
      </c>
      <c r="J25" s="23">
        <f ca="1">(J23-J24)/J24</f>
        <v>-0.49889828456547869</v>
      </c>
      <c r="Q25" s="1" t="s">
        <v>78</v>
      </c>
      <c r="R25" s="23">
        <f ca="1">(R23-R24)/R24</f>
        <v>-0.39336503061872741</v>
      </c>
      <c r="S25" s="22"/>
      <c r="T25" s="22"/>
      <c r="U25" s="22"/>
      <c r="V25" s="22"/>
      <c r="W25" s="22"/>
      <c r="Y25" s="1" t="s">
        <v>78</v>
      </c>
      <c r="Z25" s="23">
        <f ca="1">(Z23-Z24)/Z24</f>
        <v>-0.54922878112358298</v>
      </c>
      <c r="AA25" s="22"/>
      <c r="AB25" s="22"/>
      <c r="AC25" s="22"/>
      <c r="AD25" s="22"/>
      <c r="AE25" s="22"/>
      <c r="AG25" s="1" t="s">
        <v>133</v>
      </c>
      <c r="AH25" s="32">
        <f ca="1">AH23/AH24</f>
        <v>433.86001576260475</v>
      </c>
      <c r="AI25" s="22"/>
      <c r="AJ25" s="22"/>
      <c r="AK25" s="22"/>
      <c r="AL25" s="22"/>
      <c r="AM25" s="22"/>
      <c r="AO25" s="1" t="s">
        <v>78</v>
      </c>
      <c r="AP25" s="23">
        <f ca="1">(AP23-AP24)/AP24</f>
        <v>-0.58962748979479851</v>
      </c>
      <c r="AQ25" s="22"/>
      <c r="AR25" s="22"/>
      <c r="AS25" s="22"/>
      <c r="AT25" s="22"/>
      <c r="AU25" s="22"/>
      <c r="AW25" s="1" t="s">
        <v>78</v>
      </c>
      <c r="AX25" s="23">
        <f ca="1">(AX23-AX24)/AX24</f>
        <v>-0.55641486604551893</v>
      </c>
      <c r="AY25" s="22"/>
      <c r="AZ25" s="22"/>
      <c r="BA25" s="22"/>
      <c r="BB25" s="22"/>
      <c r="BC25" s="22"/>
    </row>
    <row r="26" spans="1:55" x14ac:dyDescent="0.3">
      <c r="AG26" s="1" t="s">
        <v>134</v>
      </c>
      <c r="AH26" s="3">
        <f ca="1">'Company Profile'!E5</f>
        <v>1016.08</v>
      </c>
    </row>
    <row r="27" spans="1:55" x14ac:dyDescent="0.3">
      <c r="AG27" s="1" t="s">
        <v>78</v>
      </c>
      <c r="AH27" s="20">
        <f ca="1">(AH25-AH26)/AH26</f>
        <v>-0.57300604700160929</v>
      </c>
    </row>
  </sheetData>
  <conditionalFormatting sqref="B25 J25 R25 Z25 AP25 AX25 AH27">
    <cfRule type="cellIs" dxfId="88" priority="1" operator="greaterThan">
      <formula>0</formula>
    </cfRule>
    <cfRule type="cellIs" dxfId="87" priority="2" operator="lessThan">
      <formula>0</formula>
    </cfRule>
  </conditionalFormatting>
  <pageMargins left="0.7" right="0.7" top="0.75" bottom="0.75" header="0.3" footer="0.3"/>
  <tableParts count="14">
    <tablePart r:id="rId1"/>
    <tablePart r:id="rId2"/>
    <tablePart r:id="rId3"/>
    <tablePart r:id="rId4"/>
    <tablePart r:id="rId5"/>
    <tablePart r:id="rId6"/>
    <tablePart r:id="rId7"/>
    <tablePart r:id="rId8"/>
    <tablePart r:id="rId9"/>
    <tablePart r:id="rId10"/>
    <tablePart r:id="rId11"/>
    <tablePart r:id="rId12"/>
    <tablePart r:id="rId13"/>
    <tablePart r:id="rId1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DD91B-B5EF-4A10-A537-A3A92739E663}">
  <dimension ref="A1:L27"/>
  <sheetViews>
    <sheetView workbookViewId="0">
      <selection activeCell="I3" sqref="I3"/>
    </sheetView>
  </sheetViews>
  <sheetFormatPr defaultRowHeight="14.4" x14ac:dyDescent="0.3"/>
  <cols>
    <col min="1" max="1" width="43.77734375" style="1" bestFit="1" customWidth="1"/>
    <col min="2" max="2" width="13.33203125" style="22" customWidth="1"/>
    <col min="3" max="3" width="12.6640625" style="22" customWidth="1"/>
    <col min="4" max="4" width="12.44140625" style="22" customWidth="1"/>
    <col min="5" max="6" width="8.88671875" style="22"/>
    <col min="7" max="7" width="8.88671875" style="1"/>
    <col min="8" max="8" width="13.77734375" style="1" bestFit="1" customWidth="1"/>
    <col min="9" max="9" width="13.6640625" style="32" customWidth="1"/>
    <col min="10" max="10" width="18.6640625" style="3" customWidth="1"/>
    <col min="11" max="12" width="10.88671875" style="3" bestFit="1" customWidth="1"/>
    <col min="13" max="16384" width="8.88671875" style="1"/>
  </cols>
  <sheetData>
    <row r="1" spans="1:12" x14ac:dyDescent="0.3">
      <c r="A1" s="66" t="s">
        <v>0</v>
      </c>
      <c r="B1" s="67" t="s">
        <v>83</v>
      </c>
      <c r="C1" s="67" t="s">
        <v>3</v>
      </c>
      <c r="D1" s="67" t="s">
        <v>80</v>
      </c>
      <c r="E1" s="67" t="s">
        <v>81</v>
      </c>
      <c r="I1" s="22"/>
      <c r="J1" s="1"/>
      <c r="K1" s="1"/>
      <c r="L1" s="1"/>
    </row>
    <row r="2" spans="1:12" x14ac:dyDescent="0.3">
      <c r="A2" s="5" t="e" vm="8">
        <v>#VALUE!</v>
      </c>
      <c r="B2" s="38">
        <v>14.43</v>
      </c>
      <c r="C2" s="38">
        <v>20.079999999999998</v>
      </c>
      <c r="D2" s="38">
        <v>1.95</v>
      </c>
      <c r="E2" s="38">
        <v>6.34</v>
      </c>
      <c r="I2" s="22"/>
      <c r="J2" s="1"/>
      <c r="K2" s="1"/>
      <c r="L2" s="1"/>
    </row>
    <row r="3" spans="1:12" x14ac:dyDescent="0.3">
      <c r="A3" s="5" t="e" vm="9">
        <v>#VALUE!</v>
      </c>
      <c r="B3" s="38">
        <v>6.15</v>
      </c>
      <c r="C3" s="38">
        <v>17.89</v>
      </c>
      <c r="D3" s="38">
        <v>3.23</v>
      </c>
      <c r="E3" s="38">
        <v>5.01</v>
      </c>
      <c r="I3" s="22"/>
      <c r="J3" s="1"/>
      <c r="K3" s="1"/>
      <c r="L3" s="1"/>
    </row>
    <row r="4" spans="1:12" x14ac:dyDescent="0.3">
      <c r="A4" s="5" t="e" vm="10">
        <v>#VALUE!</v>
      </c>
      <c r="B4" s="38">
        <v>3.89</v>
      </c>
      <c r="C4" s="38">
        <v>9.91</v>
      </c>
      <c r="D4" s="38">
        <v>1.53</v>
      </c>
      <c r="E4" s="38">
        <v>2.1</v>
      </c>
      <c r="I4" s="22"/>
      <c r="J4" s="1"/>
      <c r="K4" s="1"/>
      <c r="L4" s="1"/>
    </row>
    <row r="5" spans="1:12" x14ac:dyDescent="0.3">
      <c r="A5" s="5" t="e" vm="11">
        <v>#VALUE!</v>
      </c>
      <c r="B5" s="38">
        <v>6.73</v>
      </c>
      <c r="C5" s="38">
        <v>11.86</v>
      </c>
      <c r="D5" s="38">
        <v>1.91</v>
      </c>
      <c r="E5" s="38">
        <v>4.0199999999999996</v>
      </c>
      <c r="I5" s="22"/>
      <c r="J5" s="1"/>
      <c r="K5" s="1"/>
      <c r="L5" s="1"/>
    </row>
    <row r="6" spans="1:12" x14ac:dyDescent="0.3">
      <c r="A6" s="5" t="e" vm="1">
        <v>#VALUE!</v>
      </c>
      <c r="B6" s="38">
        <v>5.45</v>
      </c>
      <c r="C6" s="38" cm="1">
        <f t="array" aca="1" ref="C6" ca="1">_FV(A6,"P/E",TRUE)</f>
        <v>14.8154</v>
      </c>
      <c r="D6" s="38">
        <v>2.0699999999999998</v>
      </c>
      <c r="E6" s="38">
        <v>4.2</v>
      </c>
      <c r="I6" s="22"/>
      <c r="J6" s="1"/>
      <c r="K6" s="1"/>
      <c r="L6" s="1"/>
    </row>
    <row r="7" spans="1:12" x14ac:dyDescent="0.3">
      <c r="A7" s="5" t="e" vm="2">
        <v>#VALUE!</v>
      </c>
      <c r="B7" s="38">
        <v>7.05</v>
      </c>
      <c r="C7" s="38">
        <v>15.92</v>
      </c>
      <c r="D7" s="38">
        <v>1.23</v>
      </c>
      <c r="E7" s="38">
        <v>3.54</v>
      </c>
      <c r="H7" s="66" t="s">
        <v>0</v>
      </c>
      <c r="I7" s="67" t="s">
        <v>83</v>
      </c>
      <c r="J7" s="67" t="s">
        <v>3</v>
      </c>
      <c r="K7" s="67" t="s">
        <v>80</v>
      </c>
      <c r="L7" s="67" t="s">
        <v>81</v>
      </c>
    </row>
    <row r="8" spans="1:12" x14ac:dyDescent="0.3">
      <c r="A8" s="5" t="e" vm="6">
        <v>#VALUE!</v>
      </c>
      <c r="B8" s="38">
        <v>4.7300000000000004</v>
      </c>
      <c r="C8" s="38">
        <v>19.11</v>
      </c>
      <c r="D8" s="38">
        <v>2.15</v>
      </c>
      <c r="E8" s="38">
        <v>3.72</v>
      </c>
      <c r="H8" s="1" t="s">
        <v>35</v>
      </c>
      <c r="I8" s="56">
        <f>(B21*$B$18)/$F$21</f>
        <v>363.63265448146609</v>
      </c>
      <c r="J8" s="21">
        <f t="shared" ref="J8:K8" si="0">(C21*$B$18)/$F$21</f>
        <v>124.85720282542884</v>
      </c>
      <c r="K8" s="21">
        <f t="shared" si="0"/>
        <v>5.8857142857142835</v>
      </c>
      <c r="L8" s="21">
        <f>(B21*$E$18)/F21</f>
        <v>194.04038613531634</v>
      </c>
    </row>
    <row r="9" spans="1:12" x14ac:dyDescent="0.3">
      <c r="A9" s="5" t="e" vm="12">
        <v>#VALUE!</v>
      </c>
      <c r="B9" s="38">
        <v>0.26</v>
      </c>
      <c r="C9" s="38">
        <v>8.11</v>
      </c>
      <c r="D9" s="38">
        <v>0.92</v>
      </c>
      <c r="E9" s="38">
        <v>2.88</v>
      </c>
      <c r="H9" s="1" t="s">
        <v>36</v>
      </c>
      <c r="I9" s="56">
        <f>(B22*$B$18)/$F$22</f>
        <v>78.154277522295232</v>
      </c>
      <c r="J9" s="21">
        <f t="shared" ref="J9:K9" si="1">(C22*$B$18)/$F$22</f>
        <v>20.812094356835651</v>
      </c>
      <c r="K9" s="21">
        <f t="shared" si="1"/>
        <v>225.52878926104518</v>
      </c>
      <c r="L9" s="21">
        <f t="shared" ref="L9:L14" si="2">(B22*$E$18)/F22</f>
        <v>41.704412410865558</v>
      </c>
    </row>
    <row r="10" spans="1:12" x14ac:dyDescent="0.3">
      <c r="A10" s="5" t="e" vm="13">
        <v>#VALUE!</v>
      </c>
      <c r="B10" s="38">
        <v>6.59</v>
      </c>
      <c r="C10" s="38">
        <v>7</v>
      </c>
      <c r="D10" s="38">
        <v>0.54</v>
      </c>
      <c r="E10" s="38">
        <v>1.1000000000000001</v>
      </c>
      <c r="H10" s="1" t="s">
        <v>100</v>
      </c>
      <c r="I10" s="56">
        <f>(B23*$B$18)/$F$23</f>
        <v>552.93015873015861</v>
      </c>
      <c r="J10" s="21">
        <f t="shared" ref="J10:K10" si="3">(C23*$B$18)/$F$23</f>
        <v>87.788866096866087</v>
      </c>
      <c r="K10" s="21">
        <f t="shared" si="3"/>
        <v>253.73968253968246</v>
      </c>
      <c r="L10" s="21">
        <f t="shared" si="2"/>
        <v>295.05265873015873</v>
      </c>
    </row>
    <row r="11" spans="1:12" x14ac:dyDescent="0.3">
      <c r="A11" s="5" t="e" vm="14">
        <v>#VALUE!</v>
      </c>
      <c r="B11" s="38">
        <v>6.08</v>
      </c>
      <c r="C11" s="38">
        <v>20.05</v>
      </c>
      <c r="D11" s="38">
        <v>0.69</v>
      </c>
      <c r="E11" s="38">
        <v>1.7</v>
      </c>
      <c r="H11" s="1" t="s">
        <v>96</v>
      </c>
      <c r="I11" s="56">
        <f>(B24*$B$18)/$F$24</f>
        <v>805.0252776713902</v>
      </c>
      <c r="J11" s="21">
        <f t="shared" ref="J11:K11" si="4">(C24*$B$18)/$F$24</f>
        <v>256.8885484488701</v>
      </c>
      <c r="K11" s="21">
        <f t="shared" si="4"/>
        <v>1880.2726924549977</v>
      </c>
      <c r="L11" s="21">
        <f t="shared" si="2"/>
        <v>429.57477499042517</v>
      </c>
    </row>
    <row r="12" spans="1:12" x14ac:dyDescent="0.3">
      <c r="A12" s="5" t="e" vm="15">
        <v>#VALUE!</v>
      </c>
      <c r="B12" s="38">
        <v>7.04</v>
      </c>
      <c r="C12" s="38">
        <v>11.87</v>
      </c>
      <c r="D12" s="38">
        <v>1.04</v>
      </c>
      <c r="E12" s="38">
        <v>3.31</v>
      </c>
      <c r="H12" s="1" t="s">
        <v>155</v>
      </c>
      <c r="I12" s="56">
        <f>(B25*$B$18)/$F$25</f>
        <v>1019.9363434492966</v>
      </c>
      <c r="J12" s="21">
        <f t="shared" ref="J12:K12" si="5">(C25*$B$18)/$F$25</f>
        <v>284.72455440414501</v>
      </c>
      <c r="K12" s="21">
        <f t="shared" si="5"/>
        <v>2325.2383419689113</v>
      </c>
      <c r="L12" s="21">
        <f t="shared" si="2"/>
        <v>544.254866765359</v>
      </c>
    </row>
    <row r="13" spans="1:12" x14ac:dyDescent="0.3">
      <c r="A13" s="5" t="e" vm="16">
        <v>#VALUE!</v>
      </c>
      <c r="B13" s="38">
        <v>6.24</v>
      </c>
      <c r="C13" s="38">
        <v>5.91</v>
      </c>
      <c r="D13" s="38">
        <v>0.69</v>
      </c>
      <c r="E13" s="38">
        <v>1.1100000000000001</v>
      </c>
      <c r="H13" s="1" t="s">
        <v>98</v>
      </c>
      <c r="I13" s="56">
        <f>(B26*$B$18)/$F$26</f>
        <v>225.7811180124223</v>
      </c>
      <c r="J13" s="21">
        <f t="shared" ref="J13:K13" si="6">(C26*$B$18)/$F$26</f>
        <v>49.878461586512856</v>
      </c>
      <c r="K13" s="21">
        <f t="shared" si="6"/>
        <v>385.41558118899729</v>
      </c>
      <c r="L13" s="21">
        <f t="shared" si="2"/>
        <v>120.48053105590063</v>
      </c>
    </row>
    <row r="14" spans="1:12" x14ac:dyDescent="0.3">
      <c r="A14" s="5" t="e" vm="17">
        <v>#VALUE!</v>
      </c>
      <c r="B14" s="38">
        <v>5.3</v>
      </c>
      <c r="C14" s="38">
        <v>8.8000000000000007</v>
      </c>
      <c r="D14" s="38">
        <v>0.43</v>
      </c>
      <c r="E14" s="38">
        <v>1.1599999999999999</v>
      </c>
      <c r="H14" s="1" t="s">
        <v>156</v>
      </c>
      <c r="I14" s="56">
        <f>(B27*$B$18)/$F$27</f>
        <v>146.69010989010985</v>
      </c>
      <c r="J14" s="21">
        <f t="shared" ref="J14:K14" si="7">(C27*$B$18)/$F$27</f>
        <v>35.153863459375259</v>
      </c>
      <c r="K14" s="21">
        <f t="shared" si="7"/>
        <v>301.05909838193293</v>
      </c>
      <c r="L14" s="21">
        <f t="shared" si="2"/>
        <v>78.276263736263729</v>
      </c>
    </row>
    <row r="15" spans="1:12" x14ac:dyDescent="0.3">
      <c r="A15" s="5" t="e" vm="5">
        <v>#VALUE!</v>
      </c>
      <c r="B15" s="38">
        <v>2.46</v>
      </c>
      <c r="C15" s="38">
        <v>16.78</v>
      </c>
      <c r="D15" s="38">
        <v>1.65</v>
      </c>
      <c r="E15" s="38">
        <v>3.78</v>
      </c>
    </row>
    <row r="16" spans="1:12" x14ac:dyDescent="0.3">
      <c r="A16" s="64"/>
      <c r="B16" s="65"/>
      <c r="C16" s="65"/>
      <c r="D16" s="65"/>
      <c r="E16" s="65"/>
    </row>
    <row r="17" spans="1:10" x14ac:dyDescent="0.3">
      <c r="A17" s="64"/>
      <c r="B17" s="65"/>
      <c r="C17" s="65"/>
      <c r="D17" s="65"/>
      <c r="E17" s="65"/>
      <c r="H17" s="1" t="s">
        <v>0</v>
      </c>
      <c r="I17" s="56" t="s">
        <v>158</v>
      </c>
      <c r="J17" s="21" t="s">
        <v>78</v>
      </c>
    </row>
    <row r="18" spans="1:10" x14ac:dyDescent="0.3">
      <c r="A18" s="18" t="s">
        <v>82</v>
      </c>
      <c r="B18" s="63">
        <f>AVERAGE(B2:B15)</f>
        <v>5.8857142857142843</v>
      </c>
      <c r="C18" s="63">
        <f t="shared" ref="C18:E18" ca="1" si="8">AVERAGE(C2:C15)</f>
        <v>13.4361</v>
      </c>
      <c r="D18" s="63">
        <f t="shared" si="8"/>
        <v>1.4307142857142858</v>
      </c>
      <c r="E18" s="63">
        <f t="shared" si="8"/>
        <v>3.1407142857142856</v>
      </c>
      <c r="H18" s="5" t="str">
        <f>H8</f>
        <v>JPMC</v>
      </c>
      <c r="I18" s="38">
        <f>AVERAGE(I8:L8)</f>
        <v>172.1039894319814</v>
      </c>
      <c r="J18" s="61">
        <f ca="1">(I18-E21)/E21</f>
        <v>-0.4246322899438974</v>
      </c>
    </row>
    <row r="19" spans="1:10" x14ac:dyDescent="0.3">
      <c r="H19" s="5" t="str">
        <f t="shared" ref="H19:H24" si="9">H9</f>
        <v>BOA</v>
      </c>
      <c r="I19" s="38">
        <f t="shared" ref="I19:I24" si="10">AVERAGE(I9:L9)</f>
        <v>91.549893387760392</v>
      </c>
      <c r="J19" s="61">
        <f t="shared" ref="J19:J24" ca="1" si="11">(I19-E22)/E22</f>
        <v>0.77606420198772741</v>
      </c>
    </row>
    <row r="20" spans="1:10" x14ac:dyDescent="0.3">
      <c r="A20" s="1" t="s">
        <v>11</v>
      </c>
      <c r="B20" s="22" t="s">
        <v>84</v>
      </c>
      <c r="C20" s="22" t="s">
        <v>59</v>
      </c>
      <c r="D20" s="22" t="s">
        <v>85</v>
      </c>
      <c r="E20" s="22" t="s">
        <v>86</v>
      </c>
      <c r="F20" s="22" t="s">
        <v>157</v>
      </c>
      <c r="H20" s="5" t="str">
        <f t="shared" si="9"/>
        <v>Amex</v>
      </c>
      <c r="I20" s="38">
        <f t="shared" si="10"/>
        <v>297.37784152421648</v>
      </c>
      <c r="J20" s="61">
        <f t="shared" ca="1" si="11"/>
        <v>-0.11251158976651257</v>
      </c>
    </row>
    <row r="21" spans="1:10" x14ac:dyDescent="0.3">
      <c r="A21" s="5" t="str">
        <f>H8</f>
        <v>JPMC</v>
      </c>
      <c r="B21" s="42">
        <f>Financials!F6</f>
        <v>177556</v>
      </c>
      <c r="C21" s="42">
        <f>Financials!F11</f>
        <v>60965.772000000004</v>
      </c>
      <c r="D21" s="42">
        <f>Table2[[#This Row],[2024]]</f>
        <v>2873.9</v>
      </c>
      <c r="E21" s="38">
        <f ca="1">'Company Profile'!B5</f>
        <v>299.12</v>
      </c>
      <c r="F21" s="42">
        <f>'Assumptions &amp; WACC'!B15</f>
        <v>2873.9</v>
      </c>
      <c r="H21" s="5" t="str">
        <f t="shared" si="9"/>
        <v>Blackrock</v>
      </c>
      <c r="I21" s="38">
        <f t="shared" si="10"/>
        <v>842.94032339142075</v>
      </c>
      <c r="J21" s="61">
        <f t="shared" ca="1" si="11"/>
        <v>-0.17039965023283529</v>
      </c>
    </row>
    <row r="22" spans="1:10" x14ac:dyDescent="0.3">
      <c r="A22" s="5" t="str">
        <f>H9</f>
        <v>BOA</v>
      </c>
      <c r="B22" s="42">
        <f>Financials!M6</f>
        <v>101887</v>
      </c>
      <c r="C22" s="42">
        <f>Financials!M11</f>
        <v>27132</v>
      </c>
      <c r="D22" s="42">
        <f>Financials!M20</f>
        <v>294014</v>
      </c>
      <c r="E22" s="38">
        <f ca="1">'Company Profile'!C5</f>
        <v>51.546500000000002</v>
      </c>
      <c r="F22" s="42">
        <f>'Assumptions &amp; WACC'!C15</f>
        <v>7673</v>
      </c>
      <c r="H22" s="5" t="str">
        <f t="shared" si="9"/>
        <v>Goldman</v>
      </c>
      <c r="I22" s="38">
        <f t="shared" si="10"/>
        <v>1043.5385266469279</v>
      </c>
      <c r="J22" s="61">
        <f t="shared" ca="1" si="11"/>
        <v>0.34345039220213186</v>
      </c>
    </row>
    <row r="23" spans="1:10" x14ac:dyDescent="0.3">
      <c r="A23" s="5" t="str">
        <f t="shared" ref="A23:A26" si="12">H10</f>
        <v>Amex</v>
      </c>
      <c r="B23" s="42">
        <f>Financials!T6</f>
        <v>65949</v>
      </c>
      <c r="C23" s="42">
        <f>Financials!T11</f>
        <v>10470.740000000002</v>
      </c>
      <c r="D23" s="42">
        <f>Financials!T20</f>
        <v>30264</v>
      </c>
      <c r="E23" s="38">
        <f ca="1">'Company Profile'!D5</f>
        <v>335.07799999999997</v>
      </c>
      <c r="F23" s="42">
        <f>'Assumptions &amp; WACC'!D15</f>
        <v>702</v>
      </c>
      <c r="H23" s="5" t="str">
        <f t="shared" si="9"/>
        <v>Morgan Stanley</v>
      </c>
      <c r="I23" s="38">
        <f t="shared" si="10"/>
        <v>195.38892296095827</v>
      </c>
      <c r="J23" s="61">
        <f t="shared" ca="1" si="11"/>
        <v>0.2275486772693239</v>
      </c>
    </row>
    <row r="24" spans="1:10" x14ac:dyDescent="0.3">
      <c r="A24" s="5" t="str">
        <f t="shared" si="12"/>
        <v>Blackrock</v>
      </c>
      <c r="B24" s="42">
        <f>Financials!AA4</f>
        <v>20407</v>
      </c>
      <c r="C24" s="42">
        <f>Financials!AA11</f>
        <v>6512</v>
      </c>
      <c r="D24" s="42">
        <f>Financials!AA23</f>
        <v>47664</v>
      </c>
      <c r="E24" s="38">
        <f ca="1">'Company Profile'!E5</f>
        <v>1016.08</v>
      </c>
      <c r="F24" s="42">
        <f>'Assumptions &amp; WACC'!J25</f>
        <v>149.19999999999999</v>
      </c>
      <c r="H24" s="5" t="str">
        <f t="shared" si="9"/>
        <v>Wells fargo</v>
      </c>
      <c r="I24" s="38">
        <f t="shared" si="10"/>
        <v>140.29483386692044</v>
      </c>
      <c r="J24" s="61">
        <f t="shared" ca="1" si="11"/>
        <v>0.67156956829405967</v>
      </c>
    </row>
    <row r="25" spans="1:10" x14ac:dyDescent="0.3">
      <c r="A25" s="5" t="str">
        <f t="shared" si="12"/>
        <v>Goldman</v>
      </c>
      <c r="B25" s="42">
        <f>Financials!AH6</f>
        <v>53512</v>
      </c>
      <c r="C25" s="42">
        <f>Financials!AH11</f>
        <v>14938.364000000001</v>
      </c>
      <c r="D25" s="42">
        <f>Financials!AH20</f>
        <v>121996</v>
      </c>
      <c r="E25" s="38">
        <f ca="1">'Company Profile'!F5</f>
        <v>776.76</v>
      </c>
      <c r="F25" s="42">
        <f>'Assumptions &amp; WACC'!E15</f>
        <v>308.8</v>
      </c>
    </row>
    <row r="26" spans="1:10" x14ac:dyDescent="0.3">
      <c r="A26" s="5" t="str">
        <f t="shared" si="12"/>
        <v>Morgan Stanley</v>
      </c>
      <c r="B26" s="42">
        <f>Financials!AO6</f>
        <v>61761</v>
      </c>
      <c r="C26" s="42">
        <f>Financials!AO11</f>
        <v>13643.938399999999</v>
      </c>
      <c r="D26" s="42">
        <f>Financials!AO20</f>
        <v>105428</v>
      </c>
      <c r="E26" s="38">
        <f ca="1">'Company Profile'!G5</f>
        <v>159.16999999999999</v>
      </c>
      <c r="F26" s="42">
        <f>'Assumptions &amp; WACC'!F15</f>
        <v>1610</v>
      </c>
    </row>
    <row r="27" spans="1:10" x14ac:dyDescent="0.3">
      <c r="A27" s="5" t="str">
        <f>H14</f>
        <v>Wells fargo</v>
      </c>
      <c r="B27" s="42">
        <f>Financials!AV6</f>
        <v>82296</v>
      </c>
      <c r="C27" s="42">
        <f>Financials!AV11</f>
        <v>19722</v>
      </c>
      <c r="D27" s="42">
        <f>Financials!AV20</f>
        <v>168900</v>
      </c>
      <c r="E27" s="38">
        <f ca="1">'Company Profile'!H5</f>
        <v>83.93</v>
      </c>
      <c r="F27" s="42">
        <f>'Assumptions &amp; WACC'!G15</f>
        <v>3302</v>
      </c>
    </row>
  </sheetData>
  <conditionalFormatting sqref="J18:J24">
    <cfRule type="cellIs" dxfId="86" priority="1" operator="lessThan">
      <formula>0</formula>
    </cfRule>
    <cfRule type="cellIs" dxfId="85" priority="2" operator="greaterThan">
      <formula>0</formula>
    </cfRule>
  </conditionalFormatting>
  <pageMargins left="0.7" right="0.7" top="0.75" bottom="0.75" header="0.3" footer="0.3"/>
  <tableParts count="4">
    <tablePart r:id="rId1"/>
    <tablePart r:id="rId2"/>
    <tablePart r:id="rId3"/>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9D534-F1BC-463A-919F-0FF080DB357C}">
  <dimension ref="A1:M89"/>
  <sheetViews>
    <sheetView workbookViewId="0">
      <selection activeCell="D62" sqref="D62"/>
    </sheetView>
  </sheetViews>
  <sheetFormatPr defaultRowHeight="14.4" x14ac:dyDescent="0.3"/>
  <cols>
    <col min="1" max="1" width="8.88671875" style="68"/>
    <col min="2" max="2" width="14.88671875" style="68" bestFit="1" customWidth="1"/>
    <col min="3" max="3" width="13.77734375" style="68" bestFit="1" customWidth="1"/>
    <col min="4" max="4" width="10.88671875" style="22" bestFit="1" customWidth="1"/>
    <col min="5" max="5" width="8.88671875" style="1"/>
    <col min="6" max="6" width="13.77734375" style="1" bestFit="1" customWidth="1"/>
    <col min="7" max="7" width="12" style="1" customWidth="1"/>
    <col min="8" max="13" width="12" style="22" customWidth="1"/>
    <col min="14" max="16384" width="8.88671875" style="1"/>
  </cols>
  <sheetData>
    <row r="1" spans="1:13" s="2" customFormat="1" ht="28.8" x14ac:dyDescent="0.3">
      <c r="A1" s="69" t="s">
        <v>7</v>
      </c>
      <c r="B1" s="69" t="s">
        <v>11</v>
      </c>
      <c r="C1" s="69" t="s">
        <v>0</v>
      </c>
      <c r="D1" s="34" t="s">
        <v>37</v>
      </c>
      <c r="F1" s="75" t="s">
        <v>0</v>
      </c>
      <c r="G1" s="75" t="s">
        <v>92</v>
      </c>
      <c r="H1" s="76" t="s">
        <v>91</v>
      </c>
      <c r="I1" s="76" t="s">
        <v>87</v>
      </c>
      <c r="J1" s="76" t="s">
        <v>93</v>
      </c>
      <c r="K1" s="76" t="s">
        <v>91</v>
      </c>
      <c r="L1" s="76" t="s">
        <v>88</v>
      </c>
      <c r="M1" s="76"/>
    </row>
    <row r="2" spans="1:13" x14ac:dyDescent="0.3">
      <c r="A2" s="68" t="s">
        <v>89</v>
      </c>
      <c r="B2" s="68" t="s">
        <v>90</v>
      </c>
      <c r="C2" s="68" t="str">
        <f>'Relative Valuation'!H8</f>
        <v>JPMC</v>
      </c>
      <c r="D2" s="71">
        <f>(DCF!G11/DCF!B11)^(1/6)-1</f>
        <v>4.7342432714132077E-2</v>
      </c>
      <c r="F2" s="1" t="str">
        <f>C2</f>
        <v>JPMC</v>
      </c>
      <c r="G2" s="27">
        <f>Financials!F10-Financials!B10</f>
        <v>39626</v>
      </c>
      <c r="H2" s="29">
        <f>AVERAGE(Financials!B20:F20)</f>
        <v>307689.8</v>
      </c>
      <c r="I2" s="23">
        <f>G2/H2</f>
        <v>0.12878554960222927</v>
      </c>
      <c r="J2" s="29">
        <f>DCF!G9-DCF!B9</f>
        <v>23205.764790461995</v>
      </c>
      <c r="K2" s="29">
        <f>Financials!F20+DCF!G11-DCF!G12</f>
        <v>404598.29987057159</v>
      </c>
      <c r="L2" s="23">
        <f>J2/K2</f>
        <v>5.735507242093052E-2</v>
      </c>
    </row>
    <row r="3" spans="1:13" x14ac:dyDescent="0.3">
      <c r="A3" s="68" t="s">
        <v>89</v>
      </c>
      <c r="B3" s="68" t="s">
        <v>90</v>
      </c>
      <c r="C3" s="68" t="str">
        <f>'Relative Valuation'!H9</f>
        <v>BOA</v>
      </c>
      <c r="D3" s="71">
        <f>(DCF!O11/DCF!J11)^(1/6)-1</f>
        <v>1.339338260590317E-2</v>
      </c>
      <c r="F3" s="1" t="str">
        <f>C3</f>
        <v>BOA</v>
      </c>
      <c r="G3" s="27">
        <f>Financials!M10-Financials!I10</f>
        <v>10259</v>
      </c>
      <c r="H3" s="29">
        <f>AVERAGE(Financials!I20:M20)</f>
        <v>277746.40000000002</v>
      </c>
      <c r="I3" s="23">
        <f>G3/H3</f>
        <v>3.6936572355213242E-2</v>
      </c>
      <c r="J3" s="29">
        <f>DCF!O9-DCF!J9</f>
        <v>2514.3276204924405</v>
      </c>
      <c r="K3" s="29">
        <f>Financials!M20+DCF!O11-DCF!O12</f>
        <v>314204.71876740124</v>
      </c>
      <c r="L3" s="23">
        <f>J3/K3</f>
        <v>8.0021956078697252E-3</v>
      </c>
    </row>
    <row r="4" spans="1:13" x14ac:dyDescent="0.3">
      <c r="A4" s="68" t="s">
        <v>89</v>
      </c>
      <c r="B4" s="68" t="s">
        <v>90</v>
      </c>
      <c r="C4" s="68" t="str">
        <f>'Relative Valuation'!H10</f>
        <v>Amex</v>
      </c>
      <c r="D4" s="71">
        <f>(DCF!W11/DCF!R11)^(1/6)-1</f>
        <v>0.10270247156687273</v>
      </c>
      <c r="F4" s="1" t="str">
        <f t="shared" ref="F4:F8" si="0">C4</f>
        <v>Amex</v>
      </c>
      <c r="G4" s="27">
        <f>Financials!T10-Financials!P10</f>
        <v>8599</v>
      </c>
      <c r="H4" s="29">
        <f>AVERAGE(Financials!P20:T20)</f>
        <v>25638.6</v>
      </c>
      <c r="I4" s="23">
        <f t="shared" ref="I4:I8" si="1">G4/H4</f>
        <v>0.33539272815208321</v>
      </c>
      <c r="J4" s="29">
        <f>DCF!W9-DCF!R9</f>
        <v>10671.5704101227</v>
      </c>
      <c r="K4" s="29">
        <f>Financials!T20+DCF!R11-DCF!R12</f>
        <v>38463.090433047357</v>
      </c>
      <c r="L4" s="23">
        <f t="shared" ref="L4:L8" si="2">J4/K4</f>
        <v>0.27744963522103577</v>
      </c>
    </row>
    <row r="5" spans="1:13" x14ac:dyDescent="0.3">
      <c r="A5" s="68" t="s">
        <v>89</v>
      </c>
      <c r="B5" s="68" t="s">
        <v>90</v>
      </c>
      <c r="C5" s="68" t="str">
        <f>'Relative Valuation'!H11</f>
        <v>Blackrock</v>
      </c>
      <c r="D5" s="71">
        <f>(DCF!AM6/DCF!AH6)^(1/6)-1</f>
        <v>3.9174197747778861E-2</v>
      </c>
      <c r="F5" s="1" t="str">
        <f t="shared" si="0"/>
        <v>Blackrock</v>
      </c>
      <c r="G5" s="27">
        <f>Financials!AA6-Financials!W6</f>
        <v>2064</v>
      </c>
      <c r="H5" s="29">
        <f>AVERAGE(Financials!W23:AA23)</f>
        <v>39636</v>
      </c>
      <c r="I5" s="23">
        <f t="shared" si="1"/>
        <v>5.2073872237359979E-2</v>
      </c>
      <c r="J5" s="29">
        <f>DCF!AM4-DCF!AH4</f>
        <v>2067.7645424016409</v>
      </c>
      <c r="K5" s="29">
        <f>Financials!AA23+DCF!AH6-DCF!AH12</f>
        <v>50861.518181901738</v>
      </c>
      <c r="L5" s="23">
        <f t="shared" si="2"/>
        <v>4.0654793964396876E-2</v>
      </c>
    </row>
    <row r="6" spans="1:13" x14ac:dyDescent="0.3">
      <c r="A6" s="68" t="s">
        <v>89</v>
      </c>
      <c r="B6" s="68" t="s">
        <v>90</v>
      </c>
      <c r="C6" s="68" t="str">
        <f>'Relative Valuation'!H12</f>
        <v>Goldman</v>
      </c>
      <c r="D6" s="71">
        <f>(DCF!AE11/DCF!Z11)^(1/6)-1</f>
        <v>2.5978283671738378E-2</v>
      </c>
      <c r="F6" s="1" t="str">
        <f t="shared" si="0"/>
        <v>Goldman</v>
      </c>
      <c r="G6" s="27">
        <f>Financials!AH10-Financials!AD10</f>
        <v>5918</v>
      </c>
      <c r="H6" s="29">
        <f>AVERAGE(Financials!AD20:AH20)</f>
        <v>112389.6</v>
      </c>
      <c r="I6" s="23">
        <f t="shared" si="1"/>
        <v>5.2656117647896246E-2</v>
      </c>
      <c r="J6" s="29">
        <f>DCF!AE9-DCF!Z9</f>
        <v>2784.4021667412562</v>
      </c>
      <c r="K6" s="29">
        <f>Financials!AH20+DCF!Z11-DCF!Z12</f>
        <v>132308.61149120805</v>
      </c>
      <c r="L6" s="23">
        <f t="shared" si="2"/>
        <v>2.1044753892880817E-2</v>
      </c>
    </row>
    <row r="7" spans="1:13" x14ac:dyDescent="0.3">
      <c r="A7" s="68" t="s">
        <v>89</v>
      </c>
      <c r="B7" s="68" t="s">
        <v>90</v>
      </c>
      <c r="C7" s="68" t="str">
        <f>'Relative Valuation'!H13</f>
        <v>Morgan Stanley</v>
      </c>
      <c r="D7" s="71">
        <f>(DCF!AU11/DCF!AP11)^(1/6)-1</f>
        <v>4.6239110949551243E-2</v>
      </c>
      <c r="F7" s="1" t="str">
        <f t="shared" si="0"/>
        <v>Morgan Stanley</v>
      </c>
      <c r="G7" s="27">
        <f>Financials!AO10-Financials!AK10</f>
        <v>3939</v>
      </c>
      <c r="H7" s="29">
        <f>AVERAGE(Financials!AK20:AO20)</f>
        <v>103277.6</v>
      </c>
      <c r="I7" s="23">
        <f t="shared" si="1"/>
        <v>3.8139925792233742E-2</v>
      </c>
      <c r="J7" s="29">
        <f>DCF!AU9-DCF!AP9</f>
        <v>5699.8098589759575</v>
      </c>
      <c r="K7" s="29">
        <f>Financials!AO20+DCF!AU11-DCF!AU12</f>
        <v>116536.67341395617</v>
      </c>
      <c r="L7" s="23">
        <f t="shared" si="2"/>
        <v>4.8910009973678906E-2</v>
      </c>
    </row>
    <row r="8" spans="1:13" x14ac:dyDescent="0.3">
      <c r="A8" s="68" t="s">
        <v>89</v>
      </c>
      <c r="B8" s="68" t="s">
        <v>90</v>
      </c>
      <c r="C8" s="68" t="str">
        <f>'Relative Valuation'!H14</f>
        <v>Wells fargo</v>
      </c>
      <c r="D8" s="23">
        <f>(DCF!BC11/DCF!AX11)^(1/6)-1</f>
        <v>1.9837026142854874E-3</v>
      </c>
      <c r="F8" s="1" t="str">
        <f t="shared" si="0"/>
        <v>Wells fargo</v>
      </c>
      <c r="G8" s="27">
        <f>Financials!AV10-Financials!AR10</f>
        <v>19856</v>
      </c>
      <c r="H8" s="29">
        <f>AVERAGE(Financials!AR20:AV20)</f>
        <v>166153.60000000001</v>
      </c>
      <c r="I8" s="23">
        <f t="shared" si="1"/>
        <v>0.11950388074648999</v>
      </c>
      <c r="J8" s="29">
        <f>DCF!BC9-DCF!AX9</f>
        <v>243.71799213538543</v>
      </c>
      <c r="K8" s="29">
        <f>Financials!AV20+DCF!BC11-DCF!BC12</f>
        <v>180393.55987475469</v>
      </c>
      <c r="L8" s="23">
        <f t="shared" si="2"/>
        <v>1.3510348834215381E-3</v>
      </c>
    </row>
    <row r="9" spans="1:13" x14ac:dyDescent="0.3">
      <c r="B9" s="70" t="s">
        <v>162</v>
      </c>
      <c r="C9" s="70" t="s">
        <v>163</v>
      </c>
      <c r="D9" s="35">
        <f>AVERAGE(D2:D8)</f>
        <v>3.954479741003742E-2</v>
      </c>
      <c r="F9" s="14" t="s">
        <v>82</v>
      </c>
      <c r="G9" s="14"/>
      <c r="H9" s="33"/>
      <c r="I9" s="73">
        <f>AVERAGE(I2:I8)</f>
        <v>0.10906980664764367</v>
      </c>
      <c r="J9" s="73"/>
      <c r="K9" s="73"/>
      <c r="L9" s="73">
        <f t="shared" ref="L9" si="3">AVERAGE(L2:L8)</f>
        <v>6.496678513774487E-2</v>
      </c>
      <c r="M9" s="73"/>
    </row>
    <row r="10" spans="1:13" x14ac:dyDescent="0.3">
      <c r="A10" s="68" t="s">
        <v>159</v>
      </c>
      <c r="B10" s="68" t="s">
        <v>160</v>
      </c>
      <c r="C10" s="68" t="str">
        <f t="shared" ref="C10:C16" si="4">C2</f>
        <v>JPMC</v>
      </c>
      <c r="D10" s="57">
        <f>AVERAGE(Financials!B29:F29)</f>
        <v>4470</v>
      </c>
    </row>
    <row r="11" spans="1:13" x14ac:dyDescent="0.3">
      <c r="A11" s="68" t="s">
        <v>159</v>
      </c>
      <c r="B11" s="68" t="s">
        <v>160</v>
      </c>
      <c r="C11" s="68" t="str">
        <f t="shared" si="4"/>
        <v>BOA</v>
      </c>
      <c r="D11" s="57">
        <f>AVERAGE(Financials!I29:M29)</f>
        <v>2424.1999999999998</v>
      </c>
    </row>
    <row r="12" spans="1:13" x14ac:dyDescent="0.3">
      <c r="A12" s="68" t="s">
        <v>159</v>
      </c>
      <c r="B12" s="68" t="s">
        <v>160</v>
      </c>
      <c r="C12" s="68" t="str">
        <f t="shared" si="4"/>
        <v>Amex</v>
      </c>
      <c r="D12" s="29">
        <f>AVERAGE(Financials!P29:T29)</f>
        <v>1671.4</v>
      </c>
    </row>
    <row r="13" spans="1:13" x14ac:dyDescent="0.3">
      <c r="A13" s="68" t="s">
        <v>159</v>
      </c>
      <c r="B13" s="68" t="s">
        <v>160</v>
      </c>
      <c r="C13" s="68" t="str">
        <f t="shared" si="4"/>
        <v>Blackrock</v>
      </c>
      <c r="D13" s="32">
        <f>AVERAGE(Financials!W29:AA29)</f>
        <v>333.4</v>
      </c>
      <c r="G13" s="74" t="s">
        <v>72</v>
      </c>
      <c r="H13" s="33" t="s">
        <v>159</v>
      </c>
      <c r="I13" s="33" t="s">
        <v>89</v>
      </c>
    </row>
    <row r="14" spans="1:13" x14ac:dyDescent="0.3">
      <c r="A14" s="68" t="s">
        <v>159</v>
      </c>
      <c r="B14" s="68" t="s">
        <v>160</v>
      </c>
      <c r="C14" s="68" t="str">
        <f t="shared" si="4"/>
        <v>Goldman</v>
      </c>
      <c r="D14" s="29">
        <f>AVERAGE(Financials!AD29:AH29)</f>
        <v>3826.2</v>
      </c>
      <c r="G14" s="20" t="s">
        <v>166</v>
      </c>
      <c r="H14" s="23">
        <f>AVERAGE(-0.022,0.057)</f>
        <v>1.7500000000000002E-2</v>
      </c>
      <c r="I14" s="23">
        <v>1.7999999999999999E-2</v>
      </c>
    </row>
    <row r="15" spans="1:13" x14ac:dyDescent="0.3">
      <c r="A15" s="68" t="s">
        <v>159</v>
      </c>
      <c r="B15" s="68" t="s">
        <v>160</v>
      </c>
      <c r="C15" s="68" t="str">
        <f t="shared" si="4"/>
        <v>Morgan Stanley</v>
      </c>
      <c r="D15" s="57">
        <f>AVERAGE(Financials!AK29:AO29)</f>
        <v>2740.8</v>
      </c>
      <c r="G15" s="20" t="s">
        <v>166</v>
      </c>
      <c r="H15" s="23">
        <v>2.8000000000000001E-2</v>
      </c>
      <c r="I15" s="23">
        <v>2.3E-2</v>
      </c>
    </row>
    <row r="16" spans="1:13" x14ac:dyDescent="0.3">
      <c r="A16" s="68" t="s">
        <v>159</v>
      </c>
      <c r="B16" s="68" t="s">
        <v>160</v>
      </c>
      <c r="C16" s="68" t="str">
        <f t="shared" si="4"/>
        <v>Wells fargo</v>
      </c>
      <c r="D16" s="57">
        <f>AVERAGE(Financials!AR29:AV29)</f>
        <v>1040.4000000000001</v>
      </c>
      <c r="G16" s="20" t="s">
        <v>167</v>
      </c>
      <c r="H16" s="23">
        <f>H15-H14</f>
        <v>1.0499999999999999E-2</v>
      </c>
      <c r="I16" s="23">
        <f>I15-I14</f>
        <v>5.000000000000001E-3</v>
      </c>
    </row>
    <row r="17" spans="1:9" x14ac:dyDescent="0.3">
      <c r="B17" s="70" t="s">
        <v>164</v>
      </c>
      <c r="C17" s="70" t="s">
        <v>163</v>
      </c>
      <c r="D17" s="72">
        <f>AVERAGE(D10:D16)</f>
        <v>2358.0571428571429</v>
      </c>
      <c r="G17" s="14" t="s">
        <v>168</v>
      </c>
      <c r="H17" s="62">
        <f>D33/H16</f>
        <v>77.604742231905249</v>
      </c>
      <c r="I17" s="62">
        <f>D41/I16</f>
        <v>55.713593256047936</v>
      </c>
    </row>
    <row r="18" spans="1:9" x14ac:dyDescent="0.3">
      <c r="A18" s="68" t="str">
        <f t="shared" ref="A18:A24" si="5">A2</f>
        <v>2025-30</v>
      </c>
      <c r="B18" s="68" t="s">
        <v>160</v>
      </c>
      <c r="C18" s="68" t="str">
        <f t="shared" ref="C18:C24" si="6">C10</f>
        <v>JPMC</v>
      </c>
      <c r="D18" s="32">
        <f>(D10/AVERAGE(Financials!B6:F6))*AVERAGE(DCF!B6:G6)</f>
        <v>6687.5894097819291</v>
      </c>
    </row>
    <row r="19" spans="1:9" x14ac:dyDescent="0.3">
      <c r="A19" s="68" t="str">
        <f t="shared" si="5"/>
        <v>2025-30</v>
      </c>
      <c r="B19" s="68" t="s">
        <v>160</v>
      </c>
      <c r="C19" s="68" t="str">
        <f t="shared" si="6"/>
        <v>BOA</v>
      </c>
      <c r="D19" s="32">
        <f>(D11/AVERAGE(Financials!I6:M6))*AVERAGE(DCF!J6:O6)</f>
        <v>2697.6219201925587</v>
      </c>
    </row>
    <row r="20" spans="1:9" x14ac:dyDescent="0.3">
      <c r="A20" s="68" t="str">
        <f t="shared" si="5"/>
        <v>2025-30</v>
      </c>
      <c r="B20" s="68" t="s">
        <v>160</v>
      </c>
      <c r="C20" s="68" t="str">
        <f t="shared" si="6"/>
        <v>Amex</v>
      </c>
      <c r="D20" s="32">
        <f>(D12/AVERAGE(Financials!P6:T6))*AVERAGE(DCF!R6:W6)</f>
        <v>3139.9755882254171</v>
      </c>
    </row>
    <row r="21" spans="1:9" x14ac:dyDescent="0.3">
      <c r="A21" s="68" t="str">
        <f t="shared" si="5"/>
        <v>2025-30</v>
      </c>
      <c r="B21" s="68" t="s">
        <v>160</v>
      </c>
      <c r="C21" s="68" t="str">
        <f t="shared" si="6"/>
        <v>Blackrock</v>
      </c>
      <c r="D21" s="32">
        <f>(D13/AVERAGE(Financials!W4:AA4))*AVERAGE(DCF!AH3:AM3)</f>
        <v>437.2170297888602</v>
      </c>
    </row>
    <row r="22" spans="1:9" x14ac:dyDescent="0.3">
      <c r="A22" s="68" t="str">
        <f t="shared" si="5"/>
        <v>2025-30</v>
      </c>
      <c r="B22" s="68" t="s">
        <v>160</v>
      </c>
      <c r="C22" s="68" t="str">
        <f t="shared" si="6"/>
        <v>Goldman</v>
      </c>
      <c r="D22" s="32">
        <f>(D14/AVERAGE(Financials!AD6:AH6))*AVERAGE(DCF!Z6:AE6)</f>
        <v>4681.6454455327939</v>
      </c>
    </row>
    <row r="23" spans="1:9" x14ac:dyDescent="0.3">
      <c r="A23" s="68" t="str">
        <f t="shared" si="5"/>
        <v>2025-30</v>
      </c>
      <c r="B23" s="68" t="s">
        <v>160</v>
      </c>
      <c r="C23" s="68" t="str">
        <f t="shared" si="6"/>
        <v>Morgan Stanley</v>
      </c>
      <c r="D23" s="32">
        <f>(D15/AVERAGE(Financials!AK6:AO6))*AVERAGE(DCF!AP6:AU6)</f>
        <v>3769.761040011128</v>
      </c>
    </row>
    <row r="24" spans="1:9" x14ac:dyDescent="0.3">
      <c r="A24" s="68" t="str">
        <f t="shared" si="5"/>
        <v>2025-30</v>
      </c>
      <c r="B24" s="68" t="s">
        <v>160</v>
      </c>
      <c r="C24" s="68" t="str">
        <f t="shared" si="6"/>
        <v>Wells fargo</v>
      </c>
      <c r="D24" s="32">
        <f>(D16/AVERAGE(Financials!AR6:AV6))*AVERAGE(DCF!AX6:BC6)</f>
        <v>1061.6385779487775</v>
      </c>
    </row>
    <row r="25" spans="1:9" x14ac:dyDescent="0.3">
      <c r="B25" s="70" t="s">
        <v>164</v>
      </c>
      <c r="C25" s="70" t="s">
        <v>163</v>
      </c>
      <c r="D25" s="62">
        <f>AVERAGE(D18:D24)</f>
        <v>3210.7784302116379</v>
      </c>
    </row>
    <row r="26" spans="1:9" x14ac:dyDescent="0.3">
      <c r="A26" s="68" t="str">
        <f t="shared" ref="A26:A32" si="7">A10</f>
        <v>2020-24</v>
      </c>
      <c r="B26" s="68" t="s">
        <v>161</v>
      </c>
      <c r="C26" s="68" t="str">
        <f t="shared" ref="C26:C32" si="8">C18</f>
        <v>JPMC</v>
      </c>
      <c r="D26" s="23">
        <f>(Financials!F11-Financials!B11)/Financials!B11</f>
        <v>1.1176420815117754</v>
      </c>
    </row>
    <row r="27" spans="1:9" x14ac:dyDescent="0.3">
      <c r="A27" s="68" t="str">
        <f t="shared" si="7"/>
        <v>2020-24</v>
      </c>
      <c r="B27" s="68" t="s">
        <v>161</v>
      </c>
      <c r="C27" s="68" t="str">
        <f t="shared" si="8"/>
        <v>BOA</v>
      </c>
      <c r="D27" s="23">
        <f>(Financials!M11-Financials!I11)/Financials!I11</f>
        <v>0.51626243433553143</v>
      </c>
    </row>
    <row r="28" spans="1:9" x14ac:dyDescent="0.3">
      <c r="A28" s="68" t="str">
        <f t="shared" si="7"/>
        <v>2020-24</v>
      </c>
      <c r="B28" s="68" t="s">
        <v>161</v>
      </c>
      <c r="C28" s="68" t="str">
        <f t="shared" si="8"/>
        <v>Amex</v>
      </c>
      <c r="D28" s="23">
        <f>(Financials!T11-Financials!P11)/Financials!P11</f>
        <v>2.34017142832352</v>
      </c>
    </row>
    <row r="29" spans="1:9" x14ac:dyDescent="0.3">
      <c r="A29" s="68" t="str">
        <f t="shared" si="7"/>
        <v>2020-24</v>
      </c>
      <c r="B29" s="68" t="s">
        <v>161</v>
      </c>
      <c r="C29" s="68" t="str">
        <f t="shared" si="8"/>
        <v>Blackrock</v>
      </c>
      <c r="D29" s="23">
        <f>(Financials!AA11-Financials!W11)/Financials!W11</f>
        <v>0.23193340900491866</v>
      </c>
    </row>
    <row r="30" spans="1:9" x14ac:dyDescent="0.3">
      <c r="A30" s="68" t="str">
        <f t="shared" si="7"/>
        <v>2020-24</v>
      </c>
      <c r="B30" s="68" t="s">
        <v>161</v>
      </c>
      <c r="C30" s="68" t="str">
        <f t="shared" si="8"/>
        <v>Goldman</v>
      </c>
      <c r="D30" s="23">
        <f>(Financials!AH11-Financials!AD11)/Financials!AD11</f>
        <v>0.5792614970459079</v>
      </c>
    </row>
    <row r="31" spans="1:9" x14ac:dyDescent="0.3">
      <c r="A31" s="68" t="str">
        <f t="shared" si="7"/>
        <v>2020-24</v>
      </c>
      <c r="B31" s="68" t="s">
        <v>161</v>
      </c>
      <c r="C31" s="68" t="str">
        <f t="shared" si="8"/>
        <v>Morgan Stanley</v>
      </c>
      <c r="D31" s="23">
        <f>(Financials!AO11-Financials!AK11)/Financials!AK11</f>
        <v>0.28842351907446717</v>
      </c>
    </row>
    <row r="32" spans="1:9" x14ac:dyDescent="0.3">
      <c r="A32" s="68" t="str">
        <f t="shared" si="7"/>
        <v>2020-24</v>
      </c>
      <c r="B32" s="68" t="s">
        <v>161</v>
      </c>
      <c r="C32" s="68" t="str">
        <f t="shared" si="8"/>
        <v>Wells fargo</v>
      </c>
      <c r="D32" s="23">
        <f>(Financials!AV11-AVERAGE(Financials!AR11:AS11))/AVERAGE(Financials!AR11:AS11)</f>
        <v>0.63025418474891504</v>
      </c>
    </row>
    <row r="33" spans="1:4" x14ac:dyDescent="0.3">
      <c r="B33" s="70" t="s">
        <v>165</v>
      </c>
      <c r="C33" s="70" t="s">
        <v>163</v>
      </c>
      <c r="D33" s="73">
        <f>AVERAGE(D26:D32)</f>
        <v>0.81484979343500508</v>
      </c>
    </row>
    <row r="34" spans="1:4" x14ac:dyDescent="0.3">
      <c r="A34" s="68" t="str">
        <f t="shared" ref="A34:A40" si="9">A18</f>
        <v>2025-30</v>
      </c>
      <c r="B34" s="68" t="s">
        <v>161</v>
      </c>
      <c r="C34" s="68" t="str">
        <f t="shared" ref="C34:C40" si="10">C26</f>
        <v>JPMC</v>
      </c>
      <c r="D34" s="23">
        <f>(DCF!G11-DCF!B11)/DCF!B11</f>
        <v>0.31987315280108281</v>
      </c>
    </row>
    <row r="35" spans="1:4" x14ac:dyDescent="0.3">
      <c r="A35" s="68" t="str">
        <f t="shared" si="9"/>
        <v>2025-30</v>
      </c>
      <c r="B35" s="68" t="s">
        <v>161</v>
      </c>
      <c r="C35" s="68" t="str">
        <f t="shared" si="10"/>
        <v>BOA</v>
      </c>
      <c r="D35" s="23">
        <f>(DCF!O11-DCF!J11)/DCF!J11</f>
        <v>8.3099572185785384E-2</v>
      </c>
    </row>
    <row r="36" spans="1:4" x14ac:dyDescent="0.3">
      <c r="A36" s="68" t="str">
        <f t="shared" si="9"/>
        <v>2025-30</v>
      </c>
      <c r="B36" s="68" t="s">
        <v>161</v>
      </c>
      <c r="C36" s="68" t="str">
        <f t="shared" si="10"/>
        <v>Amex</v>
      </c>
      <c r="D36" s="23">
        <f>(DCF!W11-DCF!R11)/DCF!R11</f>
        <v>0.79783606384717187</v>
      </c>
    </row>
    <row r="37" spans="1:4" x14ac:dyDescent="0.3">
      <c r="A37" s="68" t="str">
        <f t="shared" si="9"/>
        <v>2025-30</v>
      </c>
      <c r="B37" s="68" t="s">
        <v>161</v>
      </c>
      <c r="C37" s="68" t="str">
        <f t="shared" si="10"/>
        <v>Blackrock</v>
      </c>
      <c r="D37" s="23">
        <f>(DCF!AM6-DCF!AH6)/DCF!AH6</f>
        <v>0.25930268435667986</v>
      </c>
    </row>
    <row r="38" spans="1:4" x14ac:dyDescent="0.3">
      <c r="A38" s="68" t="str">
        <f t="shared" si="9"/>
        <v>2025-30</v>
      </c>
      <c r="B38" s="68" t="s">
        <v>161</v>
      </c>
      <c r="C38" s="68" t="str">
        <f t="shared" si="10"/>
        <v>Goldman</v>
      </c>
      <c r="D38" s="23">
        <f>(DCF!AE11-DCF!Z11)/DCF!Z11</f>
        <v>0.1663503133554986</v>
      </c>
    </row>
    <row r="39" spans="1:4" x14ac:dyDescent="0.3">
      <c r="A39" s="68" t="str">
        <f t="shared" si="9"/>
        <v>2025-30</v>
      </c>
      <c r="B39" s="68" t="s">
        <v>161</v>
      </c>
      <c r="C39" s="68" t="str">
        <f t="shared" si="10"/>
        <v>Morgan Stanley</v>
      </c>
      <c r="D39" s="23">
        <f>(DCF!AU11-DCF!AP11)/DCF!AP11</f>
        <v>0.31155257923594787</v>
      </c>
    </row>
    <row r="40" spans="1:4" x14ac:dyDescent="0.3">
      <c r="A40" s="68" t="str">
        <f t="shared" si="9"/>
        <v>2025-30</v>
      </c>
      <c r="B40" s="68" t="s">
        <v>161</v>
      </c>
      <c r="C40" s="68" t="str">
        <f t="shared" si="10"/>
        <v>Wells fargo</v>
      </c>
      <c r="D40" s="23">
        <f>(DCF!BC11-DCF!AX11)/DCF!AX11</f>
        <v>1.1961398179511439E-2</v>
      </c>
    </row>
    <row r="41" spans="1:4" x14ac:dyDescent="0.3">
      <c r="B41" s="70" t="s">
        <v>165</v>
      </c>
      <c r="C41" s="70" t="s">
        <v>163</v>
      </c>
      <c r="D41" s="35">
        <f>AVERAGE(D34:D40)</f>
        <v>0.27856796628023972</v>
      </c>
    </row>
    <row r="42" spans="1:4" x14ac:dyDescent="0.3">
      <c r="A42" s="68" t="s">
        <v>170</v>
      </c>
      <c r="B42" s="68" t="s">
        <v>135</v>
      </c>
      <c r="C42" s="68" t="str">
        <f>C34</f>
        <v>JPMC</v>
      </c>
      <c r="D42" s="23">
        <f>(Financials!F6/Financials!B6)^(1/5)-1</f>
        <v>8.159904700807008E-2</v>
      </c>
    </row>
    <row r="43" spans="1:4" x14ac:dyDescent="0.3">
      <c r="A43" s="68" t="s">
        <v>170</v>
      </c>
      <c r="B43" s="68" t="s">
        <v>135</v>
      </c>
      <c r="C43" s="68" t="str">
        <f t="shared" ref="C43:C49" si="11">C35</f>
        <v>BOA</v>
      </c>
      <c r="D43" s="23">
        <f>(Financials!M6/Financials!I6)^(1/5)-1</f>
        <v>3.5623964858233714E-2</v>
      </c>
    </row>
    <row r="44" spans="1:4" x14ac:dyDescent="0.3">
      <c r="A44" s="68" t="s">
        <v>170</v>
      </c>
      <c r="B44" s="68" t="s">
        <v>135</v>
      </c>
      <c r="C44" s="68" t="str">
        <f t="shared" si="11"/>
        <v>Amex</v>
      </c>
      <c r="D44" s="23">
        <f>(Financials!T6/Financials!P6)^(1/5)-1</f>
        <v>0.12816205131783676</v>
      </c>
    </row>
    <row r="45" spans="1:4" x14ac:dyDescent="0.3">
      <c r="A45" s="68" t="s">
        <v>170</v>
      </c>
      <c r="B45" s="68" t="s">
        <v>135</v>
      </c>
      <c r="C45" s="68" t="str">
        <f t="shared" si="11"/>
        <v>Blackrock</v>
      </c>
      <c r="D45" s="23">
        <f>'Assumptions &amp; WACC'!J2</f>
        <v>4.7191300858955509E-2</v>
      </c>
    </row>
    <row r="46" spans="1:4" x14ac:dyDescent="0.3">
      <c r="A46" s="68" t="s">
        <v>170</v>
      </c>
      <c r="B46" s="68" t="s">
        <v>135</v>
      </c>
      <c r="C46" s="68" t="str">
        <f t="shared" si="11"/>
        <v>Goldman</v>
      </c>
      <c r="D46" s="23">
        <f>(Financials!AH6/Financials!AD6)^(1/5)-1</f>
        <v>3.7292410086832817E-2</v>
      </c>
    </row>
    <row r="47" spans="1:4" x14ac:dyDescent="0.3">
      <c r="A47" s="68" t="s">
        <v>170</v>
      </c>
      <c r="B47" s="68" t="s">
        <v>135</v>
      </c>
      <c r="C47" s="68" t="str">
        <f t="shared" si="11"/>
        <v>Morgan Stanley</v>
      </c>
      <c r="D47" s="23">
        <f>(Financials!AO6/Financials!AK6)^(1/5)-1</f>
        <v>5.0841124226132406E-2</v>
      </c>
    </row>
    <row r="48" spans="1:4" x14ac:dyDescent="0.3">
      <c r="A48" s="68" t="s">
        <v>170</v>
      </c>
      <c r="B48" s="68" t="s">
        <v>135</v>
      </c>
      <c r="C48" s="68" t="str">
        <f t="shared" si="11"/>
        <v>Wells fargo</v>
      </c>
      <c r="D48" s="23">
        <f>(Financials!AV6/Financials!AR6)^(1/5)-1</f>
        <v>2.0649938160472781E-2</v>
      </c>
    </row>
    <row r="49" spans="1:4" x14ac:dyDescent="0.3">
      <c r="A49" s="70" t="s">
        <v>170</v>
      </c>
      <c r="B49" s="70" t="s">
        <v>135</v>
      </c>
      <c r="C49" s="70" t="str">
        <f t="shared" si="11"/>
        <v>Avg</v>
      </c>
      <c r="D49" s="35">
        <f>AVERAGE(D42:D48)</f>
        <v>5.7337119502362012E-2</v>
      </c>
    </row>
    <row r="50" spans="1:4" x14ac:dyDescent="0.3">
      <c r="A50" s="68" t="s">
        <v>159</v>
      </c>
      <c r="B50" s="68" t="s">
        <v>171</v>
      </c>
      <c r="C50" s="68" t="str">
        <f>C42</f>
        <v>JPMC</v>
      </c>
      <c r="D50" s="23">
        <f>AVERAGE(Financials!B8:F8)/AVERAGE(Financials!B6:F6)</f>
        <v>0.44315430870239608</v>
      </c>
    </row>
    <row r="51" spans="1:4" x14ac:dyDescent="0.3">
      <c r="A51" s="68" t="s">
        <v>159</v>
      </c>
      <c r="B51" s="68" t="s">
        <v>171</v>
      </c>
      <c r="C51" s="68" t="str">
        <f t="shared" ref="C51:C57" si="12">C43</f>
        <v>BOA</v>
      </c>
      <c r="D51" s="23">
        <f>AVERAGE(Financials!I8:M8)/AVERAGE(Financials!I6:M6)</f>
        <v>0.34255274337902264</v>
      </c>
    </row>
    <row r="52" spans="1:4" x14ac:dyDescent="0.3">
      <c r="A52" s="68" t="s">
        <v>159</v>
      </c>
      <c r="B52" s="68" t="s">
        <v>171</v>
      </c>
      <c r="C52" s="68" t="str">
        <f t="shared" si="12"/>
        <v>Amex</v>
      </c>
      <c r="D52" s="23">
        <f>AVERAGE(Financials!P8:T8)/AVERAGE(Financials!P6:T6)</f>
        <v>0.24662810859875947</v>
      </c>
    </row>
    <row r="53" spans="1:4" x14ac:dyDescent="0.3">
      <c r="A53" s="68" t="s">
        <v>159</v>
      </c>
      <c r="B53" s="68" t="s">
        <v>177</v>
      </c>
      <c r="C53" s="68" t="str">
        <f t="shared" si="12"/>
        <v>Blackrock</v>
      </c>
      <c r="D53" s="23">
        <f>(AVERAGE(Financials!W6:AA6)+AVERAGE(Financials!W7:AA7))/AVERAGE(Financials!W4:AA4)</f>
        <v>0.38237859525938206</v>
      </c>
    </row>
    <row r="54" spans="1:4" x14ac:dyDescent="0.3">
      <c r="A54" s="68" t="s">
        <v>159</v>
      </c>
      <c r="B54" s="68" t="s">
        <v>171</v>
      </c>
      <c r="C54" s="68" t="str">
        <f t="shared" si="12"/>
        <v>Goldman</v>
      </c>
      <c r="D54" s="23">
        <f>AVERAGE(Financials!AD8:AH8)/AVERAGE(Financials!AD6:AH6)</f>
        <v>0.36127554475560691</v>
      </c>
    </row>
    <row r="55" spans="1:4" x14ac:dyDescent="0.3">
      <c r="A55" s="68" t="s">
        <v>159</v>
      </c>
      <c r="B55" s="68" t="s">
        <v>171</v>
      </c>
      <c r="C55" s="68" t="str">
        <f t="shared" si="12"/>
        <v>Morgan Stanley</v>
      </c>
      <c r="D55" s="23">
        <f>AVERAGE(Financials!AK8:AO8)/AVERAGE(Financials!AK6:AO6)</f>
        <v>0.28344833798756869</v>
      </c>
    </row>
    <row r="56" spans="1:4" x14ac:dyDescent="0.3">
      <c r="A56" s="68" t="s">
        <v>159</v>
      </c>
      <c r="B56" s="68" t="s">
        <v>171</v>
      </c>
      <c r="C56" s="68" t="str">
        <f t="shared" si="12"/>
        <v>Wells fargo</v>
      </c>
      <c r="D56" s="23">
        <f>AVERAGE(Financials!AR8:AV8)/AVERAGE(Financials!AR6:AV6)</f>
        <v>0.31016632376606706</v>
      </c>
    </row>
    <row r="57" spans="1:4" x14ac:dyDescent="0.3">
      <c r="A57" s="68" t="s">
        <v>159</v>
      </c>
      <c r="B57" s="70" t="s">
        <v>171</v>
      </c>
      <c r="C57" s="70" t="str">
        <f t="shared" si="12"/>
        <v>Avg</v>
      </c>
      <c r="D57" s="35">
        <f>AVERAGE(D50:D56)</f>
        <v>0.33851485177840035</v>
      </c>
    </row>
    <row r="58" spans="1:4" x14ac:dyDescent="0.3">
      <c r="A58" s="68" t="s">
        <v>159</v>
      </c>
      <c r="B58" s="68" t="s">
        <v>172</v>
      </c>
      <c r="C58" s="68" t="str">
        <f>C50</f>
        <v>JPMC</v>
      </c>
      <c r="D58" s="23">
        <f>Financials!F11/Financials!F6</f>
        <v>0.34336081011061304</v>
      </c>
    </row>
    <row r="59" spans="1:4" x14ac:dyDescent="0.3">
      <c r="A59" s="68" t="s">
        <v>159</v>
      </c>
      <c r="B59" s="68" t="s">
        <v>172</v>
      </c>
      <c r="C59" s="68" t="str">
        <f t="shared" ref="C59:C65" si="13">C51</f>
        <v>BOA</v>
      </c>
      <c r="D59" s="23">
        <f>Financials!M11/Financials!M6</f>
        <v>0.26629501310275111</v>
      </c>
    </row>
    <row r="60" spans="1:4" x14ac:dyDescent="0.3">
      <c r="A60" s="68" t="s">
        <v>159</v>
      </c>
      <c r="B60" s="68" t="s">
        <v>172</v>
      </c>
      <c r="C60" s="68" t="str">
        <f t="shared" si="13"/>
        <v>Amex</v>
      </c>
      <c r="D60" s="23">
        <f>Financials!T11/Financials!T6</f>
        <v>0.15877026186902002</v>
      </c>
    </row>
    <row r="61" spans="1:4" x14ac:dyDescent="0.3">
      <c r="A61" s="68" t="s">
        <v>159</v>
      </c>
      <c r="B61" s="68" t="s">
        <v>172</v>
      </c>
      <c r="C61" s="68" t="str">
        <f t="shared" si="13"/>
        <v>Blackrock</v>
      </c>
      <c r="D61" s="23">
        <f>AVERAGE(Financials!W11:AA11)/AVERAGE(Financials!W4:AA4)</f>
        <v>0.31262129571076563</v>
      </c>
    </row>
    <row r="62" spans="1:4" x14ac:dyDescent="0.3">
      <c r="A62" s="68" t="s">
        <v>159</v>
      </c>
      <c r="B62" s="68" t="s">
        <v>172</v>
      </c>
      <c r="C62" s="68" t="str">
        <f t="shared" si="13"/>
        <v>Goldman</v>
      </c>
      <c r="D62" s="23">
        <f>Financials!AH11/Financials!AH6</f>
        <v>0.27915914187471974</v>
      </c>
    </row>
    <row r="63" spans="1:4" x14ac:dyDescent="0.3">
      <c r="A63" s="68" t="s">
        <v>159</v>
      </c>
      <c r="B63" s="68" t="s">
        <v>172</v>
      </c>
      <c r="C63" s="68" t="str">
        <f t="shared" si="13"/>
        <v>Morgan Stanley</v>
      </c>
      <c r="D63" s="23">
        <f>Financials!AO11/Financials!AO6</f>
        <v>0.22091511471640679</v>
      </c>
    </row>
    <row r="64" spans="1:4" x14ac:dyDescent="0.3">
      <c r="A64" s="68" t="s">
        <v>159</v>
      </c>
      <c r="B64" s="68" t="s">
        <v>172</v>
      </c>
      <c r="C64" s="68" t="str">
        <f t="shared" si="13"/>
        <v>Wells fargo</v>
      </c>
      <c r="D64" s="23">
        <f>Financials!AV11/Financials!AV6</f>
        <v>0.23964712744240305</v>
      </c>
    </row>
    <row r="65" spans="1:4" x14ac:dyDescent="0.3">
      <c r="A65" s="68" t="s">
        <v>159</v>
      </c>
      <c r="B65" s="70" t="s">
        <v>172</v>
      </c>
      <c r="C65" s="70" t="str">
        <f t="shared" si="13"/>
        <v>Avg</v>
      </c>
      <c r="D65" s="35">
        <f>AVERAGE(D58:D64)</f>
        <v>0.26010982354666845</v>
      </c>
    </row>
    <row r="66" spans="1:4" x14ac:dyDescent="0.3">
      <c r="A66" s="68" t="s">
        <v>159</v>
      </c>
      <c r="B66" s="68" t="s">
        <v>173</v>
      </c>
      <c r="C66" s="68" t="str">
        <f>C58</f>
        <v>JPMC</v>
      </c>
      <c r="D66" s="29">
        <f>AVERAGE(DCF!B6:G6)</f>
        <v>211236.56294329313</v>
      </c>
    </row>
    <row r="67" spans="1:4" x14ac:dyDescent="0.3">
      <c r="A67" s="68" t="s">
        <v>159</v>
      </c>
      <c r="B67" s="68" t="s">
        <v>173</v>
      </c>
      <c r="C67" s="68" t="str">
        <f t="shared" ref="C67:C72" si="14">C59</f>
        <v>BOA</v>
      </c>
      <c r="D67" s="29">
        <f>AVERAGE(DCF!J6:O6)</f>
        <v>104615.25139706246</v>
      </c>
    </row>
    <row r="68" spans="1:4" x14ac:dyDescent="0.3">
      <c r="A68" s="68" t="s">
        <v>159</v>
      </c>
      <c r="B68" s="68" t="s">
        <v>173</v>
      </c>
      <c r="C68" s="68" t="str">
        <f t="shared" si="14"/>
        <v>Amex</v>
      </c>
      <c r="D68" s="29">
        <f>AVERAGE(DCF!R6:W6)</f>
        <v>96860.563218307405</v>
      </c>
    </row>
    <row r="69" spans="1:4" x14ac:dyDescent="0.3">
      <c r="A69" s="68" t="s">
        <v>159</v>
      </c>
      <c r="B69" s="68" t="s">
        <v>173</v>
      </c>
      <c r="C69" s="68" t="str">
        <f t="shared" si="14"/>
        <v>Blackrock</v>
      </c>
      <c r="D69" s="29">
        <f>AVERAGE(DCF!Z6:AE6)</f>
        <v>61430.842935136541</v>
      </c>
    </row>
    <row r="70" spans="1:4" x14ac:dyDescent="0.3">
      <c r="A70" s="68" t="s">
        <v>159</v>
      </c>
      <c r="B70" s="68" t="s">
        <v>173</v>
      </c>
      <c r="C70" s="68" t="str">
        <f t="shared" si="14"/>
        <v>Goldman</v>
      </c>
      <c r="D70" s="29">
        <f>AVERAGE(DCF!AH3:AM3)</f>
        <v>24055.591804543899</v>
      </c>
    </row>
    <row r="71" spans="1:4" x14ac:dyDescent="0.3">
      <c r="A71" s="68" t="s">
        <v>159</v>
      </c>
      <c r="B71" s="68" t="s">
        <v>173</v>
      </c>
      <c r="C71" s="68" t="str">
        <f t="shared" si="14"/>
        <v>Morgan Stanley</v>
      </c>
      <c r="D71" s="29">
        <f>AVERAGE(DCF!AP6:AU6)</f>
        <v>76342.887669956821</v>
      </c>
    </row>
    <row r="72" spans="1:4" x14ac:dyDescent="0.3">
      <c r="A72" s="68" t="s">
        <v>159</v>
      </c>
      <c r="B72" s="68" t="s">
        <v>173</v>
      </c>
      <c r="C72" s="68" t="str">
        <f t="shared" si="14"/>
        <v>Wells fargo</v>
      </c>
      <c r="D72" s="29">
        <f>AVERAGE(DCF!AX6:BC6)</f>
        <v>80149.018731385528</v>
      </c>
    </row>
    <row r="73" spans="1:4" x14ac:dyDescent="0.3">
      <c r="A73" s="70" t="s">
        <v>159</v>
      </c>
      <c r="B73" s="70" t="s">
        <v>173</v>
      </c>
      <c r="C73" s="70" t="str">
        <f>C65</f>
        <v>Avg</v>
      </c>
      <c r="D73" s="30">
        <f>AVERAGE(D66:D72)</f>
        <v>93527.245528526531</v>
      </c>
    </row>
    <row r="74" spans="1:4" x14ac:dyDescent="0.3">
      <c r="A74" s="68" t="str">
        <f>A34</f>
        <v>2025-30</v>
      </c>
      <c r="B74" s="68" t="s">
        <v>174</v>
      </c>
      <c r="C74" s="68" t="str">
        <f>C66</f>
        <v>JPMC</v>
      </c>
      <c r="D74" s="23">
        <f>D18/D66</f>
        <v>3.1659241736371302E-2</v>
      </c>
    </row>
    <row r="75" spans="1:4" x14ac:dyDescent="0.3">
      <c r="A75" s="68" t="str">
        <f t="shared" ref="A75:A80" si="15">A35</f>
        <v>2025-30</v>
      </c>
      <c r="B75" s="68" t="s">
        <v>174</v>
      </c>
      <c r="C75" s="68" t="str">
        <f t="shared" ref="C75:C80" si="16">C67</f>
        <v>BOA</v>
      </c>
      <c r="D75" s="23">
        <f t="shared" ref="D75:D80" si="17">D19/D67</f>
        <v>2.5786124720513805E-2</v>
      </c>
    </row>
    <row r="76" spans="1:4" x14ac:dyDescent="0.3">
      <c r="A76" s="68" t="str">
        <f t="shared" si="15"/>
        <v>2025-30</v>
      </c>
      <c r="B76" s="68" t="s">
        <v>174</v>
      </c>
      <c r="C76" s="68" t="str">
        <f t="shared" si="16"/>
        <v>Amex</v>
      </c>
      <c r="D76" s="23">
        <f t="shared" si="17"/>
        <v>3.2417482243505449E-2</v>
      </c>
    </row>
    <row r="77" spans="1:4" x14ac:dyDescent="0.3">
      <c r="A77" s="68" t="str">
        <f t="shared" si="15"/>
        <v>2025-30</v>
      </c>
      <c r="B77" s="68" t="s">
        <v>174</v>
      </c>
      <c r="C77" s="68" t="str">
        <f t="shared" si="16"/>
        <v>Blackrock</v>
      </c>
      <c r="D77" s="23">
        <f t="shared" si="17"/>
        <v>7.1172233506629221E-3</v>
      </c>
    </row>
    <row r="78" spans="1:4" x14ac:dyDescent="0.3">
      <c r="A78" s="68" t="str">
        <f t="shared" si="15"/>
        <v>2025-30</v>
      </c>
      <c r="B78" s="68" t="s">
        <v>174</v>
      </c>
      <c r="C78" s="68" t="str">
        <f t="shared" si="16"/>
        <v>Goldman</v>
      </c>
      <c r="D78" s="23">
        <f t="shared" si="17"/>
        <v>0.19461776220564528</v>
      </c>
    </row>
    <row r="79" spans="1:4" x14ac:dyDescent="0.3">
      <c r="A79" s="68" t="str">
        <f t="shared" si="15"/>
        <v>2025-30</v>
      </c>
      <c r="B79" s="68" t="s">
        <v>174</v>
      </c>
      <c r="C79" s="68" t="str">
        <f t="shared" si="16"/>
        <v>Morgan Stanley</v>
      </c>
      <c r="D79" s="23">
        <f t="shared" si="17"/>
        <v>4.9379335195027477E-2</v>
      </c>
    </row>
    <row r="80" spans="1:4" x14ac:dyDescent="0.3">
      <c r="A80" s="68" t="str">
        <f t="shared" si="15"/>
        <v>2025-30</v>
      </c>
      <c r="B80" s="68" t="s">
        <v>174</v>
      </c>
      <c r="C80" s="68" t="str">
        <f t="shared" si="16"/>
        <v>Wells fargo</v>
      </c>
      <c r="D80" s="23">
        <f t="shared" si="17"/>
        <v>1.324580880405777E-2</v>
      </c>
    </row>
    <row r="81" spans="1:4" x14ac:dyDescent="0.3">
      <c r="A81" s="70" t="s">
        <v>89</v>
      </c>
      <c r="B81" s="70" t="s">
        <v>174</v>
      </c>
      <c r="C81" s="70" t="str">
        <f>C73</f>
        <v>Avg</v>
      </c>
      <c r="D81" s="35">
        <f>AVERAGE(D74:D80)</f>
        <v>5.0603282607969147E-2</v>
      </c>
    </row>
    <row r="82" spans="1:4" x14ac:dyDescent="0.3">
      <c r="A82" s="68" t="str">
        <f>A66</f>
        <v>2020-24</v>
      </c>
      <c r="B82" s="68" t="str">
        <f>B2</f>
        <v>Earnings CAGR</v>
      </c>
      <c r="C82" s="68" t="str">
        <f>C2</f>
        <v>JPMC</v>
      </c>
      <c r="D82" s="23">
        <f>(Financials!F11/Financials!B11)^(1/5)-1</f>
        <v>0.16190470871770102</v>
      </c>
    </row>
    <row r="83" spans="1:4" x14ac:dyDescent="0.3">
      <c r="A83" s="68" t="str">
        <f t="shared" ref="A83:A89" si="18">A67</f>
        <v>2020-24</v>
      </c>
      <c r="B83" s="68" t="str">
        <f t="shared" ref="B83:C83" si="19">B3</f>
        <v>Earnings CAGR</v>
      </c>
      <c r="C83" s="68" t="str">
        <f t="shared" si="19"/>
        <v>BOA</v>
      </c>
      <c r="D83" s="23">
        <f>(Financials!M11/Financials!I11)^(1/5)-1</f>
        <v>8.6813126255815831E-2</v>
      </c>
    </row>
    <row r="84" spans="1:4" x14ac:dyDescent="0.3">
      <c r="A84" s="68" t="str">
        <f t="shared" si="18"/>
        <v>2020-24</v>
      </c>
      <c r="B84" s="68" t="str">
        <f t="shared" ref="B84:C84" si="20">B4</f>
        <v>Earnings CAGR</v>
      </c>
      <c r="C84" s="68" t="str">
        <f t="shared" si="20"/>
        <v>Amex</v>
      </c>
      <c r="D84" s="23">
        <f>(Financials!T11/Financials!Q11)^(1/4)-1</f>
        <v>4.8023611822865186E-2</v>
      </c>
    </row>
    <row r="85" spans="1:4" x14ac:dyDescent="0.3">
      <c r="A85" s="68" t="str">
        <f t="shared" si="18"/>
        <v>2020-24</v>
      </c>
      <c r="B85" s="68" t="str">
        <f t="shared" ref="B85:C85" si="21">B5</f>
        <v>Earnings CAGR</v>
      </c>
      <c r="C85" s="68" t="str">
        <f t="shared" si="21"/>
        <v>Blackrock</v>
      </c>
      <c r="D85" s="23">
        <f>(Financials!AA11/Financials!W11)^(1/5)-1</f>
        <v>4.2599342277832353E-2</v>
      </c>
    </row>
    <row r="86" spans="1:4" x14ac:dyDescent="0.3">
      <c r="A86" s="68" t="str">
        <f t="shared" si="18"/>
        <v>2020-24</v>
      </c>
      <c r="B86" s="68" t="str">
        <f t="shared" ref="B86:C86" si="22">B6</f>
        <v>Earnings CAGR</v>
      </c>
      <c r="C86" s="68" t="str">
        <f t="shared" si="22"/>
        <v>Goldman</v>
      </c>
      <c r="D86" s="23">
        <f>(Financials!AH11/Financials!AD11)^(1/5)-1</f>
        <v>9.5697849951895231E-2</v>
      </c>
    </row>
    <row r="87" spans="1:4" x14ac:dyDescent="0.3">
      <c r="A87" s="68" t="str">
        <f t="shared" si="18"/>
        <v>2020-24</v>
      </c>
      <c r="B87" s="68" t="str">
        <f t="shared" ref="B87:C87" si="23">B7</f>
        <v>Earnings CAGR</v>
      </c>
      <c r="C87" s="68" t="str">
        <f t="shared" si="23"/>
        <v>Morgan Stanley</v>
      </c>
      <c r="D87" s="23">
        <f>(Financials!AO11/Financials!AK11)^(1/5)-1</f>
        <v>5.1990284027997324E-2</v>
      </c>
    </row>
    <row r="88" spans="1:4" x14ac:dyDescent="0.3">
      <c r="A88" s="68" t="str">
        <f t="shared" si="18"/>
        <v>2020-24</v>
      </c>
      <c r="B88" s="68" t="str">
        <f t="shared" ref="B88:C88" si="24">B8</f>
        <v>Earnings CAGR</v>
      </c>
      <c r="C88" s="68" t="str">
        <f t="shared" si="24"/>
        <v>Wells fargo</v>
      </c>
      <c r="D88" s="23">
        <f>(Financials!AV11/Financials!AR11)^(1/5)-1</f>
        <v>0.42325913110640867</v>
      </c>
    </row>
    <row r="89" spans="1:4" x14ac:dyDescent="0.3">
      <c r="A89" s="70" t="str">
        <f t="shared" si="18"/>
        <v>2020-24</v>
      </c>
      <c r="B89" s="70" t="str">
        <f t="shared" ref="B89:C89" si="25">B9</f>
        <v>Average CAGR</v>
      </c>
      <c r="C89" s="70" t="str">
        <f t="shared" si="25"/>
        <v>Avg</v>
      </c>
      <c r="D89" s="35">
        <f>AVERAGE(D82:D88)</f>
        <v>0.13004115059435936</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Company Profile</vt:lpstr>
      <vt:lpstr>Financials</vt:lpstr>
      <vt:lpstr>Assumptions &amp; WACC</vt:lpstr>
      <vt:lpstr>DCF</vt:lpstr>
      <vt:lpstr>Relative Valuation</vt:lpstr>
      <vt:lpstr>Calc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Akshat Gupta</dc:creator>
  <cp:lastModifiedBy>Akshat Gupta</cp:lastModifiedBy>
  <dcterms:created xsi:type="dcterms:W3CDTF">2015-06-05T18:17:20Z</dcterms:created>
  <dcterms:modified xsi:type="dcterms:W3CDTF">2025-11-18T17:32:02Z</dcterms:modified>
</cp:coreProperties>
</file>