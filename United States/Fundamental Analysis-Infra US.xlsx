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43890392-289E-4FE2-A4A1-A86FD347EE3D}" xr6:coauthVersionLast="47" xr6:coauthVersionMax="47" xr10:uidLastSave="{00000000-0000-0000-0000-000000000000}"/>
  <bookViews>
    <workbookView xWindow="13728" yWindow="0" windowWidth="9408" windowHeight="12336" firstSheet="3" activeTab="3" xr2:uid="{00000000-000D-0000-FFFF-FFFF00000000}"/>
  </bookViews>
  <sheets>
    <sheet name="Profile" sheetId="1" r:id="rId1"/>
    <sheet name="Financials" sheetId="2" r:id="rId2"/>
    <sheet name="Assumptions &amp; WACC"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8" i="2" l="1"/>
  <c r="AH38" i="2"/>
  <c r="AI38" i="2"/>
  <c r="AJ38" i="2"/>
  <c r="AK38" i="2"/>
  <c r="AG39" i="2"/>
  <c r="AH39" i="2"/>
  <c r="AI39" i="2"/>
  <c r="AJ39" i="2"/>
  <c r="AK39" i="2"/>
  <c r="AG40" i="2"/>
  <c r="AH40" i="2"/>
  <c r="AI40" i="2"/>
  <c r="AJ40" i="2"/>
  <c r="AK40" i="2"/>
  <c r="AF39" i="2"/>
  <c r="AF40" i="2"/>
  <c r="AF38" i="2"/>
  <c r="AG33" i="2"/>
  <c r="AH33" i="2"/>
  <c r="AI33" i="2"/>
  <c r="AJ33" i="2"/>
  <c r="AG34" i="2"/>
  <c r="AH34" i="2"/>
  <c r="AI34" i="2"/>
  <c r="AJ34" i="2"/>
  <c r="AG35" i="2"/>
  <c r="AH35" i="2"/>
  <c r="AI35" i="2"/>
  <c r="AJ35" i="2"/>
  <c r="AF35" i="2"/>
  <c r="AF34" i="2"/>
  <c r="AF33" i="2"/>
  <c r="Y38" i="2"/>
  <c r="Z38" i="2"/>
  <c r="AA38" i="2"/>
  <c r="AB38" i="2"/>
  <c r="AC38" i="2"/>
  <c r="Y39" i="2"/>
  <c r="Z39" i="2"/>
  <c r="AA39" i="2"/>
  <c r="AB39" i="2"/>
  <c r="AC39" i="2"/>
  <c r="Y40" i="2"/>
  <c r="Z40" i="2"/>
  <c r="AA40" i="2"/>
  <c r="AB40" i="2"/>
  <c r="AC40" i="2"/>
  <c r="X39" i="2"/>
  <c r="X40" i="2"/>
  <c r="X38" i="2"/>
  <c r="Y33" i="2"/>
  <c r="Z33" i="2"/>
  <c r="AA33" i="2"/>
  <c r="AB33" i="2"/>
  <c r="Y34" i="2"/>
  <c r="Z34" i="2"/>
  <c r="AA34" i="2"/>
  <c r="AB34" i="2"/>
  <c r="Y35" i="2"/>
  <c r="Z35" i="2"/>
  <c r="AA35" i="2"/>
  <c r="AB35" i="2"/>
  <c r="X35" i="2"/>
  <c r="X34" i="2"/>
  <c r="X33" i="2"/>
  <c r="Q33" i="2"/>
  <c r="R33" i="2"/>
  <c r="S33" i="2"/>
  <c r="T33" i="2"/>
  <c r="Q34" i="2"/>
  <c r="R34" i="2"/>
  <c r="S34" i="2"/>
  <c r="T34" i="2"/>
  <c r="Q35" i="2"/>
  <c r="R35" i="2"/>
  <c r="S35" i="2"/>
  <c r="T35" i="2"/>
  <c r="Q38" i="2"/>
  <c r="R38" i="2"/>
  <c r="S38" i="2"/>
  <c r="T38" i="2"/>
  <c r="U38" i="2"/>
  <c r="Q39" i="2"/>
  <c r="R39" i="2"/>
  <c r="S39" i="2"/>
  <c r="T39" i="2"/>
  <c r="U39" i="2"/>
  <c r="Q40" i="2"/>
  <c r="R40" i="2"/>
  <c r="S40" i="2"/>
  <c r="T40" i="2"/>
  <c r="U40" i="2"/>
  <c r="P39" i="2"/>
  <c r="P40" i="2"/>
  <c r="P38" i="2"/>
  <c r="P35" i="2"/>
  <c r="P34" i="2"/>
  <c r="P33" i="2"/>
  <c r="C73" i="6"/>
  <c r="B73" i="6"/>
  <c r="A73" i="6"/>
  <c r="C72" i="6"/>
  <c r="B72" i="6"/>
  <c r="A72" i="6"/>
  <c r="C71" i="6"/>
  <c r="B71" i="6"/>
  <c r="A71" i="6"/>
  <c r="C70" i="6"/>
  <c r="B70" i="6"/>
  <c r="A70" i="6"/>
  <c r="C69" i="6"/>
  <c r="B69" i="6"/>
  <c r="A69" i="6"/>
  <c r="C68" i="6"/>
  <c r="B68" i="6"/>
  <c r="A68" i="6"/>
  <c r="H6" i="6" l="1"/>
  <c r="H5" i="6"/>
  <c r="H4" i="6"/>
  <c r="F4" i="6"/>
  <c r="F5" i="6"/>
  <c r="F6" i="6"/>
  <c r="I12" i="6"/>
  <c r="D6" i="6"/>
  <c r="D5" i="6"/>
  <c r="D4" i="6"/>
  <c r="B67" i="6"/>
  <c r="B66" i="6"/>
  <c r="B65" i="6"/>
  <c r="B64" i="6"/>
  <c r="B63" i="6"/>
  <c r="B62" i="6"/>
  <c r="A38" i="6"/>
  <c r="A56" i="6" s="1"/>
  <c r="A36" i="6"/>
  <c r="A37" i="6" s="1"/>
  <c r="A35" i="6"/>
  <c r="A34" i="6"/>
  <c r="A42" i="6" s="1"/>
  <c r="A33" i="6"/>
  <c r="A41" i="6" s="1"/>
  <c r="A59" i="6" s="1"/>
  <c r="A32" i="6"/>
  <c r="A40" i="6" s="1"/>
  <c r="A58" i="6" s="1"/>
  <c r="A30" i="6"/>
  <c r="A48" i="6" s="1"/>
  <c r="A54" i="6" s="1"/>
  <c r="A66" i="6" s="1"/>
  <c r="A26" i="6"/>
  <c r="A44" i="6" s="1"/>
  <c r="A50" i="6" s="1"/>
  <c r="A62" i="6" s="1"/>
  <c r="A25" i="6"/>
  <c r="A31" i="6" s="1"/>
  <c r="A49" i="6" s="1"/>
  <c r="A55" i="6" s="1"/>
  <c r="A67" i="6" s="1"/>
  <c r="A24" i="6"/>
  <c r="A23" i="6"/>
  <c r="A29" i="6" s="1"/>
  <c r="A47" i="6" s="1"/>
  <c r="A53" i="6" s="1"/>
  <c r="A65" i="6" s="1"/>
  <c r="A22" i="6"/>
  <c r="A28" i="6" s="1"/>
  <c r="A46" i="6" s="1"/>
  <c r="A52" i="6" s="1"/>
  <c r="A64" i="6" s="1"/>
  <c r="A21" i="6"/>
  <c r="A27" i="6" s="1"/>
  <c r="A45" i="6" s="1"/>
  <c r="A51" i="6" s="1"/>
  <c r="A63" i="6" s="1"/>
  <c r="A20" i="6"/>
  <c r="C19" i="6"/>
  <c r="C25" i="6" s="1"/>
  <c r="C31" i="6" s="1"/>
  <c r="C37" i="6" s="1"/>
  <c r="C43" i="6" s="1"/>
  <c r="C49" i="6" s="1"/>
  <c r="C55" i="6" s="1"/>
  <c r="C61" i="6" s="1"/>
  <c r="C67" i="6" s="1"/>
  <c r="C18" i="6"/>
  <c r="C24" i="6" s="1"/>
  <c r="C30" i="6" s="1"/>
  <c r="C36" i="6" s="1"/>
  <c r="C42" i="6" s="1"/>
  <c r="C48" i="6" s="1"/>
  <c r="C54" i="6" s="1"/>
  <c r="C60" i="6" s="1"/>
  <c r="C66" i="6" s="1"/>
  <c r="C13" i="6"/>
  <c r="C12" i="6"/>
  <c r="C11" i="6"/>
  <c r="C17" i="6" s="1"/>
  <c r="C23" i="6" s="1"/>
  <c r="C29" i="6" s="1"/>
  <c r="C35" i="6" s="1"/>
  <c r="C41" i="6" s="1"/>
  <c r="C47" i="6" s="1"/>
  <c r="C53" i="6" s="1"/>
  <c r="C59" i="6" s="1"/>
  <c r="C65" i="6" s="1"/>
  <c r="C10" i="6"/>
  <c r="C16" i="6" s="1"/>
  <c r="C22" i="6" s="1"/>
  <c r="C28" i="6" s="1"/>
  <c r="C34" i="6" s="1"/>
  <c r="C40" i="6" s="1"/>
  <c r="C46" i="6" s="1"/>
  <c r="C52" i="6" s="1"/>
  <c r="C58" i="6" s="1"/>
  <c r="C64" i="6" s="1"/>
  <c r="C9" i="6"/>
  <c r="C15" i="6" s="1"/>
  <c r="C21" i="6" s="1"/>
  <c r="C27" i="6" s="1"/>
  <c r="C33" i="6" s="1"/>
  <c r="C39" i="6" s="1"/>
  <c r="C45" i="6" s="1"/>
  <c r="C51" i="6" s="1"/>
  <c r="C57" i="6" s="1"/>
  <c r="C63" i="6" s="1"/>
  <c r="C8" i="6"/>
  <c r="C14" i="6" s="1"/>
  <c r="C20" i="6" s="1"/>
  <c r="C26" i="6" s="1"/>
  <c r="C32" i="6" s="1"/>
  <c r="C38" i="6" s="1"/>
  <c r="C44" i="6" s="1"/>
  <c r="C50" i="6" s="1"/>
  <c r="C56" i="6" s="1"/>
  <c r="C62" i="6" s="1"/>
  <c r="C5" i="6"/>
  <c r="C6" i="6"/>
  <c r="C4" i="6"/>
  <c r="E26" i="5"/>
  <c r="E25" i="5"/>
  <c r="E24" i="5"/>
  <c r="D26" i="5"/>
  <c r="D25" i="5"/>
  <c r="D24" i="5"/>
  <c r="H17" i="5"/>
  <c r="H16" i="5"/>
  <c r="H6" i="5"/>
  <c r="H7" i="5"/>
  <c r="H15" i="5" s="1"/>
  <c r="H5" i="5"/>
  <c r="F6" i="3"/>
  <c r="E6" i="3"/>
  <c r="D6" i="3"/>
  <c r="J5" i="3"/>
  <c r="K5" i="3"/>
  <c r="L5" i="3"/>
  <c r="M5" i="3"/>
  <c r="J6" i="3"/>
  <c r="K6" i="3"/>
  <c r="L6" i="3"/>
  <c r="M6" i="3"/>
  <c r="J7" i="3"/>
  <c r="F7" i="3" s="1"/>
  <c r="K7" i="3"/>
  <c r="L7" i="3"/>
  <c r="M7" i="3"/>
  <c r="I7" i="3"/>
  <c r="I6" i="3"/>
  <c r="I5" i="3"/>
  <c r="H14" i="3"/>
  <c r="H15" i="3"/>
  <c r="H13" i="3"/>
  <c r="F5" i="3"/>
  <c r="D5" i="3"/>
  <c r="F3" i="3"/>
  <c r="AH3" i="4" s="1"/>
  <c r="E3" i="3"/>
  <c r="F24" i="3"/>
  <c r="E24" i="3"/>
  <c r="D24" i="3"/>
  <c r="E16" i="3"/>
  <c r="D2" i="1" a="1"/>
  <c r="D2" i="1" s="1"/>
  <c r="E2" i="1" a="1"/>
  <c r="E2" i="1" s="1"/>
  <c r="F2" i="1" a="1"/>
  <c r="F2" i="1" s="1"/>
  <c r="D3" i="1" a="1"/>
  <c r="D3" i="1" s="1"/>
  <c r="R21" i="4" s="1"/>
  <c r="E3" i="1" a="1"/>
  <c r="E3" i="1" s="1"/>
  <c r="Z21" i="4" s="1"/>
  <c r="F3" i="1" a="1"/>
  <c r="F3" i="1" s="1"/>
  <c r="AH21" i="4" s="1"/>
  <c r="D4" i="1" a="1"/>
  <c r="D4" i="1" s="1"/>
  <c r="E4" i="1" a="1"/>
  <c r="E4" i="1" s="1"/>
  <c r="F4" i="1" a="1"/>
  <c r="F4" i="1" s="1"/>
  <c r="D5" i="1" a="1"/>
  <c r="D5" i="1" s="1"/>
  <c r="D6" i="1" s="1"/>
  <c r="D26" i="3" s="1"/>
  <c r="R19" i="4" s="1"/>
  <c r="E5" i="1" a="1"/>
  <c r="E5" i="1" s="1"/>
  <c r="E6" i="1" s="1"/>
  <c r="E26" i="3" s="1"/>
  <c r="Z19" i="4" s="1"/>
  <c r="F5" i="1" a="1"/>
  <c r="F5" i="1" s="1"/>
  <c r="F6" i="1" s="1"/>
  <c r="F26" i="3" s="1"/>
  <c r="AH19" i="4" s="1"/>
  <c r="D7" i="1" a="1"/>
  <c r="D7" i="1" s="1"/>
  <c r="D8" i="1" s="1"/>
  <c r="D17" i="3" s="1"/>
  <c r="E7" i="1" a="1"/>
  <c r="E7" i="1" s="1"/>
  <c r="E8" i="1" s="1"/>
  <c r="E17" i="3" s="1"/>
  <c r="F7" i="1" a="1"/>
  <c r="F7" i="1" s="1"/>
  <c r="F8" i="1" s="1"/>
  <c r="F17" i="3" s="1"/>
  <c r="D9" i="1" a="1"/>
  <c r="D9" i="1" s="1"/>
  <c r="D11" i="3" s="1"/>
  <c r="D12" i="3" s="1"/>
  <c r="E9" i="1" a="1"/>
  <c r="E9" i="1" s="1"/>
  <c r="E11" i="3" s="1"/>
  <c r="E12" i="3" s="1"/>
  <c r="F9" i="1" a="1"/>
  <c r="F9" i="1" s="1"/>
  <c r="F11" i="3" s="1"/>
  <c r="F12" i="3" s="1"/>
  <c r="D10" i="1" a="1"/>
  <c r="D10" i="1" s="1"/>
  <c r="E10" i="1" a="1"/>
  <c r="E10" i="1" s="1"/>
  <c r="F10" i="1" a="1"/>
  <c r="F10" i="1" s="1"/>
  <c r="D11" i="1" a="1"/>
  <c r="D11" i="1" s="1"/>
  <c r="E11" i="1" a="1"/>
  <c r="E11" i="1" s="1"/>
  <c r="F11" i="1" a="1"/>
  <c r="F11" i="1" s="1"/>
  <c r="D3" i="3"/>
  <c r="AJ29" i="2"/>
  <c r="AI29" i="2"/>
  <c r="AJ21" i="2"/>
  <c r="F16" i="3" s="1"/>
  <c r="AI21" i="2"/>
  <c r="AJ9" i="2"/>
  <c r="AI9" i="2"/>
  <c r="AI5" i="2"/>
  <c r="AI6" i="2" s="1"/>
  <c r="AJ5" i="2"/>
  <c r="AJ6" i="2" s="1"/>
  <c r="AH29" i="2"/>
  <c r="AG29" i="2"/>
  <c r="AH21" i="2"/>
  <c r="AG21" i="2"/>
  <c r="F13" i="3" s="1"/>
  <c r="F15" i="3" s="1"/>
  <c r="AH9" i="2"/>
  <c r="AG9" i="2"/>
  <c r="AH5" i="2"/>
  <c r="AH6" i="2" s="1"/>
  <c r="AG5" i="2"/>
  <c r="AG6" i="2" s="1"/>
  <c r="AF29" i="2"/>
  <c r="AF21" i="2"/>
  <c r="AF9" i="2"/>
  <c r="AF5" i="2"/>
  <c r="AF6" i="2" s="1"/>
  <c r="AF10" i="2" s="1"/>
  <c r="AA21" i="2"/>
  <c r="AB5" i="2"/>
  <c r="AB6" i="2" s="1"/>
  <c r="AA5" i="2"/>
  <c r="AA6" i="2" s="1"/>
  <c r="AA10" i="2" s="1"/>
  <c r="Z21" i="2"/>
  <c r="Y21" i="2"/>
  <c r="Z5" i="2"/>
  <c r="Z6" i="2" s="1"/>
  <c r="Z10" i="2" s="1"/>
  <c r="Y5" i="2"/>
  <c r="Y6" i="2" s="1"/>
  <c r="Y10" i="2" s="1"/>
  <c r="X7" i="2"/>
  <c r="X21" i="2"/>
  <c r="E13" i="3" s="1"/>
  <c r="E15" i="3" s="1"/>
  <c r="X5" i="2"/>
  <c r="X6" i="2" s="1"/>
  <c r="T5" i="2"/>
  <c r="T6" i="2" s="1"/>
  <c r="S5" i="2"/>
  <c r="S6" i="2" s="1"/>
  <c r="S10" i="2" s="1"/>
  <c r="T21" i="2"/>
  <c r="D16" i="3" s="1"/>
  <c r="S21" i="2"/>
  <c r="R22" i="2"/>
  <c r="R21" i="2"/>
  <c r="Q21" i="2"/>
  <c r="R5" i="2"/>
  <c r="Q5" i="2"/>
  <c r="Q6" i="2" s="1"/>
  <c r="Q10" i="2" s="1"/>
  <c r="P21" i="2"/>
  <c r="P5" i="2"/>
  <c r="P6" i="2" s="1"/>
  <c r="R6" i="2"/>
  <c r="R10" i="2" s="1"/>
  <c r="R2" i="6" a="1"/>
  <c r="R2" i="6" s="1"/>
  <c r="R11" i="6" a="1"/>
  <c r="R11" i="6" s="1"/>
  <c r="R8" i="6" a="1"/>
  <c r="R8" i="6" s="1"/>
  <c r="R5" i="6" a="1"/>
  <c r="R5" i="6" s="1"/>
  <c r="AA3" i="6"/>
  <c r="AA2" i="6"/>
  <c r="E7" i="3" l="1"/>
  <c r="AH17" i="4"/>
  <c r="D7" i="3"/>
  <c r="R17" i="4"/>
  <c r="D13" i="3"/>
  <c r="D15" i="3" s="1"/>
  <c r="AJ10" i="2"/>
  <c r="D60" i="6" s="1"/>
  <c r="AG10" i="2"/>
  <c r="D42" i="6" s="1"/>
  <c r="AH10" i="2"/>
  <c r="Z17" i="4"/>
  <c r="P10" i="2"/>
  <c r="D34" i="6"/>
  <c r="D4" i="3"/>
  <c r="T10" i="2"/>
  <c r="G4" i="6"/>
  <c r="I4" i="6" s="1"/>
  <c r="B24" i="5"/>
  <c r="AB10" i="2"/>
  <c r="G5" i="6"/>
  <c r="I5" i="6" s="1"/>
  <c r="B25" i="5"/>
  <c r="Z3" i="4"/>
  <c r="D35" i="6"/>
  <c r="G6" i="6"/>
  <c r="I6" i="6" s="1"/>
  <c r="AA3" i="4"/>
  <c r="AB3" i="4" s="1"/>
  <c r="C26" i="5"/>
  <c r="D36" i="6"/>
  <c r="E4" i="3"/>
  <c r="AI3" i="4"/>
  <c r="AH6" i="4"/>
  <c r="B26" i="5"/>
  <c r="F4" i="3"/>
  <c r="AH4" i="4" s="1"/>
  <c r="AH5" i="4" s="1"/>
  <c r="AH9" i="4" s="1"/>
  <c r="AH7" i="4"/>
  <c r="I15" i="3"/>
  <c r="AH8" i="4" s="1"/>
  <c r="R3" i="4"/>
  <c r="D37" i="6"/>
  <c r="A43" i="6"/>
  <c r="A60" i="6"/>
  <c r="A61" i="6" s="1"/>
  <c r="A39" i="6"/>
  <c r="A57" i="6" s="1"/>
  <c r="J15" i="5"/>
  <c r="J16" i="5"/>
  <c r="J17" i="5"/>
  <c r="M5" i="5"/>
  <c r="M6" i="5"/>
  <c r="M7" i="5"/>
  <c r="E18" i="3"/>
  <c r="E19" i="3" s="1"/>
  <c r="F18" i="3"/>
  <c r="F19" i="3" s="1"/>
  <c r="D18" i="3"/>
  <c r="D19" i="3" s="1"/>
  <c r="AI10" i="2"/>
  <c r="X10" i="2"/>
  <c r="D41" i="6" s="1"/>
  <c r="H3" i="6"/>
  <c r="H2" i="6"/>
  <c r="D3" i="6"/>
  <c r="D2" i="6"/>
  <c r="D7" i="6" s="1"/>
  <c r="H12" i="6"/>
  <c r="H10" i="6"/>
  <c r="D72" i="6" l="1"/>
  <c r="K14" i="3"/>
  <c r="AB7" i="4"/>
  <c r="AB4" i="4"/>
  <c r="AC3" i="4"/>
  <c r="Z4" i="4"/>
  <c r="Z5" i="4" s="1"/>
  <c r="I14" i="3"/>
  <c r="Z7" i="4"/>
  <c r="R6" i="4"/>
  <c r="R7" i="4"/>
  <c r="I13" i="3"/>
  <c r="R8" i="4" s="1"/>
  <c r="R4" i="4"/>
  <c r="R5" i="4" s="1"/>
  <c r="R9" i="4" s="1"/>
  <c r="S3" i="4"/>
  <c r="AI7" i="4"/>
  <c r="AI4" i="4"/>
  <c r="AI6" i="4"/>
  <c r="J15" i="3"/>
  <c r="AI8" i="4" s="1"/>
  <c r="D70" i="6"/>
  <c r="C24" i="5"/>
  <c r="D58" i="6"/>
  <c r="D71" i="6"/>
  <c r="D59" i="6"/>
  <c r="C25" i="5"/>
  <c r="D40" i="6"/>
  <c r="AA7" i="4"/>
  <c r="AA4" i="4"/>
  <c r="AA5" i="4" s="1"/>
  <c r="J14" i="3"/>
  <c r="E5" i="3" a="1"/>
  <c r="E5" i="3" s="1"/>
  <c r="AB6" i="4" s="1"/>
  <c r="AJ3" i="4"/>
  <c r="I7" i="5"/>
  <c r="K7" i="5"/>
  <c r="L7" i="5"/>
  <c r="I6" i="5"/>
  <c r="K6" i="5"/>
  <c r="L6" i="5"/>
  <c r="I5" i="5"/>
  <c r="K5" i="5"/>
  <c r="L5" i="5"/>
  <c r="AI5" i="4"/>
  <c r="AB5" i="4"/>
  <c r="D20" i="3"/>
  <c r="D21" i="3" s="1"/>
  <c r="E20" i="3"/>
  <c r="E21" i="3" s="1"/>
  <c r="F20" i="3"/>
  <c r="F21" i="3" s="1"/>
  <c r="Z6" i="4" l="1"/>
  <c r="AA6" i="4"/>
  <c r="AA9" i="4" s="1"/>
  <c r="AD3" i="4"/>
  <c r="AC4" i="4"/>
  <c r="AC5" i="4" s="1"/>
  <c r="L14" i="3"/>
  <c r="AC8" i="4" s="1"/>
  <c r="AC7" i="4"/>
  <c r="AC6" i="4"/>
  <c r="S4" i="4"/>
  <c r="S5" i="4" s="1"/>
  <c r="S6" i="4"/>
  <c r="S7" i="4"/>
  <c r="J13" i="3"/>
  <c r="S8" i="4" s="1"/>
  <c r="T3" i="4"/>
  <c r="AK3" i="4"/>
  <c r="AJ7" i="4"/>
  <c r="AJ6" i="4"/>
  <c r="K15" i="3"/>
  <c r="AJ8" i="4" s="1"/>
  <c r="AJ4" i="4"/>
  <c r="AA8" i="4"/>
  <c r="Z8" i="4"/>
  <c r="AB8" i="4"/>
  <c r="AB9" i="4" s="1"/>
  <c r="F23" i="3"/>
  <c r="E23" i="3"/>
  <c r="D23" i="3"/>
  <c r="AI9" i="4"/>
  <c r="AJ5" i="4"/>
  <c r="E23" i="5"/>
  <c r="E22" i="5"/>
  <c r="D23" i="5"/>
  <c r="D22" i="5"/>
  <c r="C3" i="5" a="1"/>
  <c r="C3" i="5" s="1"/>
  <c r="C4" i="5" a="1"/>
  <c r="C4" i="5" s="1"/>
  <c r="C5" i="5" a="1"/>
  <c r="C5" i="5" s="1"/>
  <c r="C6" i="5" a="1"/>
  <c r="C6" i="5" s="1"/>
  <c r="C7" i="5" a="1"/>
  <c r="C7" i="5" s="1"/>
  <c r="C8" i="5" a="1"/>
  <c r="C8" i="5" s="1"/>
  <c r="C9" i="5" a="1"/>
  <c r="C9" i="5" s="1"/>
  <c r="C10" i="5" a="1"/>
  <c r="C10" i="5" s="1"/>
  <c r="C11" i="5" a="1"/>
  <c r="C11" i="5" s="1"/>
  <c r="C12" i="5" a="1"/>
  <c r="C12" i="5" s="1"/>
  <c r="C13" i="5" a="1"/>
  <c r="C13" i="5" s="1"/>
  <c r="C14" i="5" a="1"/>
  <c r="C14" i="5" s="1"/>
  <c r="C15" i="5" a="1"/>
  <c r="C15" i="5" s="1"/>
  <c r="C16" i="5" a="1"/>
  <c r="C16" i="5" s="1"/>
  <c r="C17" i="5" a="1"/>
  <c r="C17" i="5" s="1"/>
  <c r="C2" i="5" a="1"/>
  <c r="C2" i="5" s="1"/>
  <c r="M7" i="2"/>
  <c r="L7" i="2"/>
  <c r="K7" i="2"/>
  <c r="J7" i="2"/>
  <c r="I7" i="2"/>
  <c r="M29" i="2"/>
  <c r="L29" i="2"/>
  <c r="M28" i="2"/>
  <c r="L28" i="2"/>
  <c r="M21" i="2"/>
  <c r="C16" i="3" s="1"/>
  <c r="L21" i="2"/>
  <c r="J29" i="2"/>
  <c r="K29" i="2"/>
  <c r="K28" i="2"/>
  <c r="J28" i="2"/>
  <c r="K21" i="2"/>
  <c r="J21" i="2"/>
  <c r="I29" i="2"/>
  <c r="I21" i="2"/>
  <c r="F29" i="2"/>
  <c r="E29" i="2"/>
  <c r="F21" i="2"/>
  <c r="B16" i="3" s="1"/>
  <c r="E21" i="2"/>
  <c r="F15" i="2"/>
  <c r="E15" i="2"/>
  <c r="F8" i="2"/>
  <c r="E8" i="2"/>
  <c r="F5" i="2"/>
  <c r="E5" i="2"/>
  <c r="D29" i="2"/>
  <c r="C29" i="2"/>
  <c r="D21" i="2"/>
  <c r="C21" i="2"/>
  <c r="D15" i="2"/>
  <c r="C15" i="2"/>
  <c r="D5" i="2"/>
  <c r="D8" i="2"/>
  <c r="C8" i="2"/>
  <c r="B8" i="2"/>
  <c r="B5" i="2"/>
  <c r="B6" i="2" s="1"/>
  <c r="C5" i="2"/>
  <c r="C6" i="2" s="1"/>
  <c r="B29" i="2"/>
  <c r="B21" i="2"/>
  <c r="B15" i="2"/>
  <c r="A23" i="5"/>
  <c r="A22" i="5"/>
  <c r="E19" i="5"/>
  <c r="D19" i="5"/>
  <c r="B19" i="5"/>
  <c r="H14" i="5"/>
  <c r="H13" i="5"/>
  <c r="C6" i="3"/>
  <c r="B6" i="3"/>
  <c r="B5" i="3"/>
  <c r="C3" i="3"/>
  <c r="J3" i="4" s="1"/>
  <c r="B3" i="3"/>
  <c r="B3" i="4" s="1"/>
  <c r="J3" i="3"/>
  <c r="K3" i="3"/>
  <c r="L3" i="3"/>
  <c r="M3" i="3"/>
  <c r="J4" i="3"/>
  <c r="K4" i="3"/>
  <c r="L4" i="3"/>
  <c r="M4" i="3"/>
  <c r="I4" i="3"/>
  <c r="I3" i="3"/>
  <c r="C24" i="3"/>
  <c r="B24" i="3"/>
  <c r="H12" i="3"/>
  <c r="H11" i="3"/>
  <c r="E6" i="2"/>
  <c r="D6" i="2"/>
  <c r="D10" i="2" s="1"/>
  <c r="M6" i="2"/>
  <c r="L6" i="2"/>
  <c r="F6" i="2"/>
  <c r="K6" i="2"/>
  <c r="J6" i="2"/>
  <c r="J10" i="2" s="1"/>
  <c r="I6" i="2"/>
  <c r="C2" i="1" a="1"/>
  <c r="C2" i="1" s="1"/>
  <c r="C3" i="1" a="1"/>
  <c r="C3" i="1" s="1"/>
  <c r="J21" i="4" s="1"/>
  <c r="AD3" i="6" s="1"/>
  <c r="C4" i="1" a="1"/>
  <c r="C4" i="1" s="1"/>
  <c r="C5" i="1" a="1"/>
  <c r="C5" i="1" s="1"/>
  <c r="C6" i="1" s="1"/>
  <c r="C26" i="3" s="1"/>
  <c r="C7" i="1" a="1"/>
  <c r="C7" i="1" s="1"/>
  <c r="C8" i="1" s="1"/>
  <c r="C17" i="3" s="1"/>
  <c r="C9" i="1" a="1"/>
  <c r="C9" i="1" s="1"/>
  <c r="C11" i="3" s="1"/>
  <c r="C12" i="3" s="1"/>
  <c r="AB3" i="6" s="1"/>
  <c r="C10" i="1" a="1"/>
  <c r="C10" i="1" s="1"/>
  <c r="C11" i="1" a="1"/>
  <c r="C11" i="1" s="1"/>
  <c r="B11" i="1" a="1"/>
  <c r="B11" i="1" s="1"/>
  <c r="B10" i="1" a="1"/>
  <c r="B10" i="1" s="1"/>
  <c r="B9" i="1" a="1"/>
  <c r="B9" i="1" s="1"/>
  <c r="B11" i="3" s="1"/>
  <c r="B7" i="1" a="1"/>
  <c r="B7" i="1" s="1"/>
  <c r="B8" i="1" s="1"/>
  <c r="B17" i="3" s="1"/>
  <c r="B5" i="1" a="1"/>
  <c r="B5" i="1" s="1"/>
  <c r="B6" i="1" s="1"/>
  <c r="B26" i="3" s="1"/>
  <c r="B4" i="1" a="1"/>
  <c r="B4" i="1" s="1"/>
  <c r="B3" i="1" a="1"/>
  <c r="B3" i="1" s="1"/>
  <c r="B21" i="4" s="1"/>
  <c r="AD2" i="6" s="1"/>
  <c r="B2" i="1" a="1"/>
  <c r="B2" i="1" s="1"/>
  <c r="E10" i="2" l="1"/>
  <c r="C5" i="3"/>
  <c r="B13" i="3"/>
  <c r="B15" i="3" s="1"/>
  <c r="Z9" i="4"/>
  <c r="K10" i="2"/>
  <c r="D33" i="6"/>
  <c r="D32" i="6"/>
  <c r="AE3" i="4"/>
  <c r="AD6" i="4"/>
  <c r="AD4" i="4"/>
  <c r="M14" i="3"/>
  <c r="AD8" i="4" s="1"/>
  <c r="AD7" i="4"/>
  <c r="S9" i="4"/>
  <c r="L10" i="2"/>
  <c r="AL3" i="4"/>
  <c r="AK7" i="4"/>
  <c r="AK6" i="4"/>
  <c r="L15" i="3"/>
  <c r="AK8" i="4" s="1"/>
  <c r="AK4" i="4"/>
  <c r="AK5" i="4" s="1"/>
  <c r="U3" i="4"/>
  <c r="K13" i="3"/>
  <c r="T8" i="4" s="1"/>
  <c r="T4" i="4"/>
  <c r="T5" i="4" s="1"/>
  <c r="T6" i="4"/>
  <c r="T7" i="4"/>
  <c r="B12" i="3"/>
  <c r="AB2" i="6" s="1"/>
  <c r="J19" i="4"/>
  <c r="M4" i="5"/>
  <c r="B19" i="4"/>
  <c r="M3" i="5"/>
  <c r="F3" i="6"/>
  <c r="F2" i="6"/>
  <c r="T9" i="4"/>
  <c r="AJ9" i="4"/>
  <c r="AC9" i="4"/>
  <c r="AD5" i="4"/>
  <c r="B10" i="2"/>
  <c r="R3" i="6" a="1"/>
  <c r="R3" i="6" s="1"/>
  <c r="M10" i="2"/>
  <c r="G3" i="6"/>
  <c r="I3" i="6" s="1"/>
  <c r="I10" i="2"/>
  <c r="R9" i="6" a="1"/>
  <c r="R9" i="6" s="1"/>
  <c r="C13" i="3"/>
  <c r="C15" i="3" s="1"/>
  <c r="F10" i="2"/>
  <c r="G2" i="6"/>
  <c r="I2" i="6" s="1"/>
  <c r="B22" i="5"/>
  <c r="J17" i="4"/>
  <c r="B23" i="5"/>
  <c r="J13" i="5"/>
  <c r="J14" i="5"/>
  <c r="C7" i="3"/>
  <c r="I12" i="3" s="1"/>
  <c r="J8" i="4" s="1"/>
  <c r="J7" i="4"/>
  <c r="J6" i="4"/>
  <c r="C4" i="3"/>
  <c r="J4" i="4" s="1"/>
  <c r="K3" i="4"/>
  <c r="B17" i="4"/>
  <c r="B7" i="3"/>
  <c r="I11" i="3" s="1"/>
  <c r="B8" i="4" s="1"/>
  <c r="C10" i="2"/>
  <c r="B4" i="3"/>
  <c r="B4" i="4" s="1"/>
  <c r="B6" i="4"/>
  <c r="C3" i="4"/>
  <c r="B7" i="4"/>
  <c r="C19" i="5"/>
  <c r="B18" i="3"/>
  <c r="B19" i="3" s="1"/>
  <c r="C18" i="3"/>
  <c r="C19" i="3" s="1"/>
  <c r="AK9" i="4" l="1"/>
  <c r="I7" i="6"/>
  <c r="D38" i="6"/>
  <c r="D43" i="6" s="1"/>
  <c r="AE6" i="4"/>
  <c r="L5" i="6" s="1"/>
  <c r="AE4" i="4"/>
  <c r="J5" i="6" s="1"/>
  <c r="N14" i="3"/>
  <c r="AE8" i="4" s="1"/>
  <c r="AE7" i="4"/>
  <c r="D17" i="6" s="1"/>
  <c r="D23" i="6" s="1"/>
  <c r="D29" i="6" s="1"/>
  <c r="D68" i="6"/>
  <c r="D56" i="6"/>
  <c r="V3" i="4"/>
  <c r="U6" i="4"/>
  <c r="L13" i="3"/>
  <c r="U8" i="4" s="1"/>
  <c r="U4" i="4"/>
  <c r="U5" i="4" s="1"/>
  <c r="U9" i="4" s="1"/>
  <c r="U7" i="4"/>
  <c r="D47" i="6"/>
  <c r="D69" i="6"/>
  <c r="D57" i="6"/>
  <c r="D39" i="6"/>
  <c r="AM3" i="4"/>
  <c r="M15" i="3"/>
  <c r="AL8" i="4" s="1"/>
  <c r="AL4" i="4"/>
  <c r="AL5" i="4" s="1"/>
  <c r="AL7" i="4"/>
  <c r="AL6" i="4"/>
  <c r="L3" i="5"/>
  <c r="K3" i="5"/>
  <c r="I4" i="5"/>
  <c r="K4" i="5"/>
  <c r="L4" i="5"/>
  <c r="J4" i="5"/>
  <c r="J6" i="5"/>
  <c r="I16" i="5" s="1"/>
  <c r="K16" i="5" s="1"/>
  <c r="J7" i="5"/>
  <c r="I17" i="5" s="1"/>
  <c r="K17" i="5" s="1"/>
  <c r="J5" i="5"/>
  <c r="I15" i="5" s="1"/>
  <c r="K15" i="5" s="1"/>
  <c r="I3" i="5"/>
  <c r="AD9" i="4"/>
  <c r="R10" i="6" a="1"/>
  <c r="R10" i="6" s="1"/>
  <c r="C23" i="5"/>
  <c r="C22" i="5"/>
  <c r="J3" i="5" s="1"/>
  <c r="R4" i="6" a="1"/>
  <c r="R4" i="6" s="1"/>
  <c r="B5" i="4"/>
  <c r="B9" i="4" s="1"/>
  <c r="J5" i="4"/>
  <c r="K7" i="4"/>
  <c r="K6" i="4"/>
  <c r="J12" i="3"/>
  <c r="K8" i="4" s="1"/>
  <c r="K4" i="4"/>
  <c r="K5" i="4" s="1"/>
  <c r="L3" i="4"/>
  <c r="J11" i="3"/>
  <c r="D3" i="4"/>
  <c r="C4" i="4"/>
  <c r="C5" i="4" s="1"/>
  <c r="C6" i="4"/>
  <c r="C7" i="4"/>
  <c r="C20" i="3"/>
  <c r="C21" i="3" s="1"/>
  <c r="Z3" i="6" s="1"/>
  <c r="B20" i="3"/>
  <c r="D61" i="6" l="1"/>
  <c r="H13" i="6" s="1"/>
  <c r="D73" i="6"/>
  <c r="N15" i="3"/>
  <c r="AM8" i="4" s="1"/>
  <c r="AM4" i="4"/>
  <c r="J6" i="6" s="1"/>
  <c r="AM7" i="4"/>
  <c r="D18" i="6" s="1"/>
  <c r="D24" i="6" s="1"/>
  <c r="D30" i="6" s="1"/>
  <c r="AM6" i="4"/>
  <c r="L6" i="6" s="1"/>
  <c r="AE5" i="4"/>
  <c r="D48" i="6"/>
  <c r="D11" i="6"/>
  <c r="W3" i="4"/>
  <c r="V7" i="4"/>
  <c r="M13" i="3"/>
  <c r="V8" i="4" s="1"/>
  <c r="V4" i="4"/>
  <c r="V5" i="4" s="1"/>
  <c r="V6" i="4"/>
  <c r="B21" i="3"/>
  <c r="B23" i="3" s="1"/>
  <c r="I13" i="5"/>
  <c r="K13" i="5" s="1"/>
  <c r="I14" i="5"/>
  <c r="K14" i="5" s="1"/>
  <c r="AL9" i="4"/>
  <c r="J9" i="4"/>
  <c r="M3" i="4"/>
  <c r="L6" i="4"/>
  <c r="L7" i="4"/>
  <c r="K12" i="3"/>
  <c r="L8" i="4" s="1"/>
  <c r="L4" i="4"/>
  <c r="K9" i="4"/>
  <c r="E3" i="4"/>
  <c r="K11" i="3"/>
  <c r="D8" i="4" s="1"/>
  <c r="D4" i="4"/>
  <c r="D6" i="4"/>
  <c r="D7" i="4"/>
  <c r="C8" i="4"/>
  <c r="C9" i="4" s="1"/>
  <c r="C23" i="3"/>
  <c r="V9" i="4" l="1"/>
  <c r="AM5" i="4"/>
  <c r="D66" i="6" s="1"/>
  <c r="D53" i="6"/>
  <c r="K5" i="6"/>
  <c r="M5" i="6" s="1"/>
  <c r="N5" i="6" s="1"/>
  <c r="O5" i="6" s="1"/>
  <c r="D12" i="6"/>
  <c r="L4" i="6"/>
  <c r="AE9" i="4"/>
  <c r="D65" i="6"/>
  <c r="W7" i="4"/>
  <c r="N13" i="3"/>
  <c r="W8" i="4" s="1"/>
  <c r="W4" i="4"/>
  <c r="W6" i="4"/>
  <c r="D46" i="6"/>
  <c r="Z2" i="6"/>
  <c r="AM9" i="4"/>
  <c r="AH13" i="4" s="1"/>
  <c r="AH14" i="4" s="1"/>
  <c r="D5" i="4"/>
  <c r="D9" i="4" s="1"/>
  <c r="L5" i="4"/>
  <c r="N3" i="4"/>
  <c r="M4" i="4"/>
  <c r="M5" i="4" s="1"/>
  <c r="M7" i="4"/>
  <c r="M6" i="4"/>
  <c r="L12" i="3"/>
  <c r="M8" i="4" s="1"/>
  <c r="L11" i="3"/>
  <c r="E8" i="4" s="1"/>
  <c r="F3" i="4"/>
  <c r="E7" i="4"/>
  <c r="E4" i="4"/>
  <c r="E5" i="4" s="1"/>
  <c r="E6" i="4"/>
  <c r="AH15" i="4" l="1"/>
  <c r="J4" i="6"/>
  <c r="W5" i="4"/>
  <c r="K6" i="6"/>
  <c r="M6" i="6" s="1"/>
  <c r="N6" i="6" s="1"/>
  <c r="O6" i="6" s="1"/>
  <c r="D54" i="6"/>
  <c r="Z13" i="4"/>
  <c r="Z14" i="4" s="1"/>
  <c r="Z15" i="4"/>
  <c r="D16" i="6"/>
  <c r="D22" i="6" s="1"/>
  <c r="D28" i="6" s="1"/>
  <c r="D10" i="6"/>
  <c r="K4" i="6" s="1"/>
  <c r="M4" i="6" s="1"/>
  <c r="L9" i="4"/>
  <c r="M9" i="4"/>
  <c r="O3" i="4"/>
  <c r="N7" i="4"/>
  <c r="N4" i="4"/>
  <c r="N5" i="4" s="1"/>
  <c r="M12" i="3"/>
  <c r="N8" i="4" s="1"/>
  <c r="N6" i="4"/>
  <c r="M11" i="3"/>
  <c r="F8" i="4" s="1"/>
  <c r="F6" i="4"/>
  <c r="F7" i="4"/>
  <c r="G3" i="4"/>
  <c r="F4" i="4"/>
  <c r="E9" i="4"/>
  <c r="R14" i="6" l="1" a="1"/>
  <c r="R14" i="6" s="1"/>
  <c r="D44" i="6"/>
  <c r="R21" i="6" a="1"/>
  <c r="R21" i="6" s="1"/>
  <c r="D45" i="6"/>
  <c r="W9" i="4"/>
  <c r="D64" i="6"/>
  <c r="D9" i="6"/>
  <c r="Z16" i="4"/>
  <c r="Z18" i="4" s="1"/>
  <c r="Z20" i="4" s="1"/>
  <c r="Z22" i="4" s="1"/>
  <c r="D52" i="6"/>
  <c r="N4" i="6"/>
  <c r="O4" i="6" s="1"/>
  <c r="F5" i="4"/>
  <c r="F9" i="4" s="1"/>
  <c r="N9" i="4"/>
  <c r="O6" i="4"/>
  <c r="L3" i="6" s="1"/>
  <c r="O7" i="4"/>
  <c r="O4" i="4"/>
  <c r="R22" i="6" s="1" a="1"/>
  <c r="R22" i="6" s="1"/>
  <c r="N12" i="3"/>
  <c r="O8" i="4" s="1"/>
  <c r="N11" i="3"/>
  <c r="G8" i="4" s="1"/>
  <c r="G7" i="4"/>
  <c r="G6" i="4"/>
  <c r="L2" i="6" s="1"/>
  <c r="G4" i="4"/>
  <c r="R15" i="6" s="1" a="1"/>
  <c r="R15" i="6" s="1"/>
  <c r="K3" i="6" l="1"/>
  <c r="D51" i="6"/>
  <c r="R24" i="6" a="1"/>
  <c r="R24" i="6" s="1"/>
  <c r="D15" i="6"/>
  <c r="D21" i="6" s="1"/>
  <c r="D27" i="6" s="1"/>
  <c r="R13" i="4"/>
  <c r="R14" i="4" s="1"/>
  <c r="R15" i="4"/>
  <c r="R17" i="6" a="1"/>
  <c r="R17" i="6" s="1"/>
  <c r="D14" i="6"/>
  <c r="D8" i="6"/>
  <c r="D49" i="6"/>
  <c r="O5" i="4"/>
  <c r="J3" i="6"/>
  <c r="G5" i="4"/>
  <c r="J2" i="6"/>
  <c r="M3" i="6"/>
  <c r="R16" i="4" l="1"/>
  <c r="R18" i="4" s="1"/>
  <c r="R20" i="4" s="1"/>
  <c r="R22" i="4" s="1"/>
  <c r="D20" i="6"/>
  <c r="D19" i="6"/>
  <c r="D55" i="6"/>
  <c r="R16" i="6" a="1"/>
  <c r="R16" i="6" s="1"/>
  <c r="D62" i="6"/>
  <c r="R23" i="6" a="1"/>
  <c r="R23" i="6" s="1"/>
  <c r="D63" i="6"/>
  <c r="K2" i="6"/>
  <c r="D50" i="6"/>
  <c r="D13" i="6"/>
  <c r="G9" i="4"/>
  <c r="R18" i="6" s="1" a="1"/>
  <c r="R18" i="6" s="1"/>
  <c r="O9" i="4"/>
  <c r="R25" i="6" s="1" a="1"/>
  <c r="R25" i="6" s="1"/>
  <c r="N3" i="6"/>
  <c r="O3" i="6" s="1"/>
  <c r="M2" i="6"/>
  <c r="N2" i="6" s="1"/>
  <c r="N7" i="6" s="1"/>
  <c r="D67" i="6" l="1"/>
  <c r="I13" i="6" s="1"/>
  <c r="D26" i="6"/>
  <c r="D31" i="6" s="1"/>
  <c r="D25" i="6"/>
  <c r="J13" i="4"/>
  <c r="J14" i="4" s="1"/>
  <c r="J15" i="4"/>
  <c r="B15" i="4"/>
  <c r="B13" i="4"/>
  <c r="B14" i="4" s="1"/>
  <c r="J16" i="4"/>
  <c r="J18" i="4" s="1"/>
  <c r="J20" i="4" s="1"/>
  <c r="AC3" i="6" s="1"/>
  <c r="AE3" i="6" s="1"/>
  <c r="O2" i="6"/>
  <c r="O7" i="6" s="1"/>
  <c r="B16" i="4" l="1"/>
  <c r="B18" i="4" s="1"/>
  <c r="B20" i="4" s="1"/>
  <c r="AC2" i="6" s="1"/>
  <c r="AE2" i="6" s="1"/>
  <c r="J22" i="4"/>
  <c r="B22" i="4" l="1"/>
  <c r="AH16" i="4" l="1"/>
  <c r="AH18" i="4" s="1"/>
  <c r="AH20" i="4" s="1"/>
  <c r="AH2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futureMetadata>
  <cellMetadata count="1">
    <bk>
      <rc t="1" v="0"/>
    </bk>
  </cellMetadata>
  <valueMetadata count="17">
    <bk>
      <rc t="2" v="0"/>
    </bk>
    <bk>
      <rc t="2" v="1"/>
    </bk>
    <bk>
      <rc t="2" v="2"/>
    </bk>
    <bk>
      <rc t="2" v="3"/>
    </bk>
    <bk>
      <rc t="2" v="4"/>
    </bk>
    <bk>
      <rc t="2" v="5"/>
    </bk>
    <bk>
      <rc t="2" v="6"/>
    </bk>
    <bk>
      <rc t="2" v="7"/>
    </bk>
    <bk>
      <rc t="2" v="8"/>
    </bk>
    <bk>
      <rc t="2" v="9"/>
    </bk>
    <bk>
      <rc t="2" v="10"/>
    </bk>
    <bk>
      <rc t="2" v="11"/>
    </bk>
    <bk>
      <rc t="2" v="12"/>
    </bk>
    <bk>
      <rc t="2" v="13"/>
    </bk>
    <bk>
      <rc t="2" v="14"/>
    </bk>
    <bk>
      <rc t="2" v="15"/>
    </bk>
    <bk>
      <rc t="2" v="16"/>
    </bk>
  </valueMetadata>
</metadata>
</file>

<file path=xl/sharedStrings.xml><?xml version="1.0" encoding="utf-8"?>
<sst xmlns="http://schemas.openxmlformats.org/spreadsheetml/2006/main" count="630" uniqueCount="134">
  <si>
    <t>Company</t>
  </si>
  <si>
    <t>Name</t>
  </si>
  <si>
    <t>Share price</t>
  </si>
  <si>
    <t>Change</t>
  </si>
  <si>
    <t>Shares outstanding</t>
  </si>
  <si>
    <t>in mn</t>
  </si>
  <si>
    <t>Market cap</t>
  </si>
  <si>
    <t>Beta</t>
  </si>
  <si>
    <t>P/E</t>
  </si>
  <si>
    <t>Year</t>
  </si>
  <si>
    <t>INCOME STATEMENT</t>
  </si>
  <si>
    <t>Particulars</t>
  </si>
  <si>
    <t>2020</t>
  </si>
  <si>
    <t>2021</t>
  </si>
  <si>
    <t>2022</t>
  </si>
  <si>
    <t>2023</t>
  </si>
  <si>
    <t>2024</t>
  </si>
  <si>
    <t>Revenue</t>
  </si>
  <si>
    <t>Cost of sales</t>
  </si>
  <si>
    <t>Opex</t>
  </si>
  <si>
    <t>Operating income (EBIT)</t>
  </si>
  <si>
    <t>Depreciation &amp; Amortization</t>
  </si>
  <si>
    <t>Interest expense</t>
  </si>
  <si>
    <t>Income tax</t>
  </si>
  <si>
    <t>Net income</t>
  </si>
  <si>
    <t>BALANCE SHEET</t>
  </si>
  <si>
    <t>Cash &amp; Cash equivalents</t>
  </si>
  <si>
    <t>Accounts receivables</t>
  </si>
  <si>
    <t>Inventories</t>
  </si>
  <si>
    <t>Total current assets</t>
  </si>
  <si>
    <t>PPE</t>
  </si>
  <si>
    <t>Accounts payables</t>
  </si>
  <si>
    <t>Total current liabilities</t>
  </si>
  <si>
    <t>Total debt</t>
  </si>
  <si>
    <t>Shareholder's equity</t>
  </si>
  <si>
    <t>CASH FLOW STATEMENT</t>
  </si>
  <si>
    <t>Cash flow from operating activities</t>
  </si>
  <si>
    <t>Capex</t>
  </si>
  <si>
    <t>Dividends paid</t>
  </si>
  <si>
    <t>Debt repaid</t>
  </si>
  <si>
    <t>Caterpillar</t>
  </si>
  <si>
    <t>Jacobs</t>
  </si>
  <si>
    <t>Assumptions</t>
  </si>
  <si>
    <t>Metric</t>
  </si>
  <si>
    <t>Current</t>
  </si>
  <si>
    <t>Revenue CAGR</t>
  </si>
  <si>
    <t>Operating margin (EBIT)</t>
  </si>
  <si>
    <t>Depreciation rate</t>
  </si>
  <si>
    <t>CapEx</t>
  </si>
  <si>
    <t>Forecast</t>
  </si>
  <si>
    <t>2025</t>
  </si>
  <si>
    <t>2026</t>
  </si>
  <si>
    <t>2027</t>
  </si>
  <si>
    <t>2028</t>
  </si>
  <si>
    <t>2029</t>
  </si>
  <si>
    <t>2030</t>
  </si>
  <si>
    <t>Working capital</t>
  </si>
  <si>
    <t>Forecast horizon (yrs)</t>
  </si>
  <si>
    <t>Risk-free rate</t>
  </si>
  <si>
    <t>Equity risk premium</t>
  </si>
  <si>
    <t>Cost of equity</t>
  </si>
  <si>
    <t>Kd (pre-tax)</t>
  </si>
  <si>
    <t>Tax rate</t>
  </si>
  <si>
    <t>Kd (after tax)</t>
  </si>
  <si>
    <t>Total capital</t>
  </si>
  <si>
    <t>Debt weight</t>
  </si>
  <si>
    <t>Equity weight</t>
  </si>
  <si>
    <t>WACC</t>
  </si>
  <si>
    <t>Terminal year</t>
  </si>
  <si>
    <t>PV discount rate (terminal year)</t>
  </si>
  <si>
    <t>Cash &amp; cash equivalents</t>
  </si>
  <si>
    <t>Terminal growth rate</t>
  </si>
  <si>
    <t>Shares Outstanding</t>
  </si>
  <si>
    <t>WC-Caterpillar</t>
  </si>
  <si>
    <t>WC-Jacobs</t>
  </si>
  <si>
    <t>DCF</t>
  </si>
  <si>
    <t>EBIT</t>
  </si>
  <si>
    <t>NOPAT</t>
  </si>
  <si>
    <t>Depreciation</t>
  </si>
  <si>
    <t xml:space="preserve"> Change in Working capital</t>
  </si>
  <si>
    <t>FCFF</t>
  </si>
  <si>
    <t>Metrics</t>
  </si>
  <si>
    <t>Value</t>
  </si>
  <si>
    <t>Terminal Value</t>
  </si>
  <si>
    <t>PV of Terminal value</t>
  </si>
  <si>
    <t>PV of FCFF</t>
  </si>
  <si>
    <t>Total enterprise value</t>
  </si>
  <si>
    <t>Net debt</t>
  </si>
  <si>
    <t>Total equity value</t>
  </si>
  <si>
    <t>Outstanding shares</t>
  </si>
  <si>
    <t>Intrinsic value</t>
  </si>
  <si>
    <t>Current market price</t>
  </si>
  <si>
    <t>Upside/Downside</t>
  </si>
  <si>
    <t>EV/EBITDA</t>
  </si>
  <si>
    <t>P/S</t>
  </si>
  <si>
    <t>P/B</t>
  </si>
  <si>
    <t>Target Price</t>
  </si>
  <si>
    <t>CMP</t>
  </si>
  <si>
    <t>U/D</t>
  </si>
  <si>
    <t>Average</t>
  </si>
  <si>
    <t>EBITDA</t>
  </si>
  <si>
    <t>Net Income</t>
  </si>
  <si>
    <t>Book Value</t>
  </si>
  <si>
    <t>.</t>
  </si>
  <si>
    <t>Change in EBIT (historical)</t>
  </si>
  <si>
    <t>Change in CE</t>
  </si>
  <si>
    <t>Incremental ROCE (Historical)</t>
  </si>
  <si>
    <t>Change in EBIT (Forecast)</t>
  </si>
  <si>
    <t>Effective capital</t>
  </si>
  <si>
    <t>Raw ROCE</t>
  </si>
  <si>
    <t>Adjusted ROCE (Forecast)</t>
  </si>
  <si>
    <t>2020-24</t>
  </si>
  <si>
    <t>Avg Capex</t>
  </si>
  <si>
    <t>2025-30</t>
  </si>
  <si>
    <t>Capex CAGR</t>
  </si>
  <si>
    <t>GDP</t>
  </si>
  <si>
    <t>Earnings CAGR</t>
  </si>
  <si>
    <t>Sensitivity</t>
  </si>
  <si>
    <t>Earnings Growth</t>
  </si>
  <si>
    <t>EBITDA Margin</t>
  </si>
  <si>
    <t>NPM</t>
  </si>
  <si>
    <t>Operating income</t>
  </si>
  <si>
    <t>Terminal growth</t>
  </si>
  <si>
    <t>Intrinsic Value</t>
  </si>
  <si>
    <t>AECOM</t>
  </si>
  <si>
    <t>Fluor</t>
  </si>
  <si>
    <t>Vulcan</t>
  </si>
  <si>
    <t>Total assets</t>
  </si>
  <si>
    <t>WC-AECOM</t>
  </si>
  <si>
    <t>WC-Fluor</t>
  </si>
  <si>
    <t>WC-Vulcan</t>
  </si>
  <si>
    <t>Shares</t>
  </si>
  <si>
    <t>Avg Revenue (Exp)</t>
  </si>
  <si>
    <t>Capex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</si>
</sst>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409]* #,##0.00_);_([$$-409]* \(#,##0.00\);_([$$-409]* &quot;-&quot;??_);_(@_)"/>
    <numFmt numFmtId="165" formatCode="_([$$-409]* #,##0_);_([$$-409]* \(#,##0\);_([$$-409]* &quot;-&quot;_);_(@_)"/>
    <numFmt numFmtId="166" formatCode="_-[$$-409]* #,##0.00_ ;_-[$$-409]* \-#,##0.00\ ;_-[$$-409]* &quot;-&quot;??_ ;_-@_ "/>
  </numFmts>
  <fonts count="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FF00"/>
      <name val="Calibri"/>
      <family val="2"/>
      <scheme val="minor"/>
    </font>
    <font>
      <sz val="11"/>
      <color theme="0"/>
      <name val="Calibri"/>
      <family val="2"/>
      <scheme val="minor"/>
    </font>
    <font>
      <sz val="8"/>
      <name val="Calibri"/>
      <family val="2"/>
      <scheme val="minor"/>
    </font>
  </fonts>
  <fills count="7">
    <fill>
      <patternFill patternType="none"/>
    </fill>
    <fill>
      <patternFill patternType="gray125"/>
    </fill>
    <fill>
      <patternFill patternType="solid">
        <fgColor theme="1"/>
        <bgColor indexed="64"/>
      </patternFill>
    </fill>
    <fill>
      <patternFill patternType="solid">
        <fgColor rgb="FF0070C0"/>
        <bgColor indexed="64"/>
      </patternFill>
    </fill>
    <fill>
      <patternFill patternType="solid">
        <fgColor theme="0" tint="-4.9989318521683403E-2"/>
        <bgColor indexed="64"/>
      </patternFill>
    </fill>
    <fill>
      <patternFill patternType="solid">
        <fgColor theme="8" tint="0.59999389629810485"/>
        <bgColor theme="8" tint="0.59999389629810485"/>
      </patternFill>
    </fill>
    <fill>
      <patternFill patternType="solid">
        <fgColor theme="8" tint="0.79998168889431442"/>
        <bgColor theme="8"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5">
    <xf numFmtId="0" fontId="0" fillId="0" borderId="0" xfId="0"/>
    <xf numFmtId="0" fontId="0" fillId="0" borderId="0" xfId="0" applyAlignment="1">
      <alignment vertical="center" wrapText="1"/>
    </xf>
    <xf numFmtId="0" fontId="0" fillId="0" borderId="0" xfId="0" applyAlignment="1">
      <alignment horizontal="right" vertical="center" wrapText="1"/>
    </xf>
    <xf numFmtId="0" fontId="4" fillId="2" borderId="2" xfId="0" applyFont="1" applyFill="1" applyBorder="1" applyAlignment="1">
      <alignment vertical="center" wrapText="1"/>
    </xf>
    <xf numFmtId="0" fontId="4" fillId="2" borderId="3" xfId="0" applyFont="1" applyFill="1" applyBorder="1" applyAlignment="1">
      <alignment horizontal="right" vertical="center" wrapText="1"/>
    </xf>
    <xf numFmtId="0" fontId="4" fillId="2" borderId="4" xfId="0" applyFont="1" applyFill="1" applyBorder="1" applyAlignment="1">
      <alignment horizontal="right" vertical="center" wrapText="1"/>
    </xf>
    <xf numFmtId="0" fontId="0" fillId="0" borderId="1" xfId="0" applyBorder="1" applyAlignment="1">
      <alignment vertical="center" wrapText="1"/>
    </xf>
    <xf numFmtId="0" fontId="0" fillId="0" borderId="1" xfId="0" applyBorder="1" applyAlignment="1">
      <alignment horizontal="right" vertical="center" wrapText="1"/>
    </xf>
    <xf numFmtId="164" fontId="0" fillId="0" borderId="1" xfId="0" applyNumberFormat="1" applyBorder="1" applyAlignment="1">
      <alignment horizontal="right" vertical="center" wrapText="1"/>
    </xf>
    <xf numFmtId="10" fontId="0" fillId="0" borderId="1" xfId="0" applyNumberFormat="1" applyBorder="1" applyAlignment="1">
      <alignment horizontal="right" vertical="center" wrapText="1"/>
    </xf>
    <xf numFmtId="3" fontId="0" fillId="0" borderId="1" xfId="0" applyNumberFormat="1" applyBorder="1" applyAlignment="1">
      <alignment horizontal="right" vertical="center" wrapText="1"/>
    </xf>
    <xf numFmtId="43" fontId="0" fillId="0" borderId="1" xfId="1" applyFont="1" applyBorder="1" applyAlignment="1">
      <alignment horizontal="right" vertical="center" wrapText="1"/>
    </xf>
    <xf numFmtId="165" fontId="0" fillId="0" borderId="1" xfId="0" applyNumberFormat="1" applyBorder="1" applyAlignment="1">
      <alignment horizontal="right" vertical="center" wrapText="1"/>
    </xf>
    <xf numFmtId="166" fontId="0" fillId="0" borderId="1" xfId="0" applyNumberFormat="1" applyBorder="1" applyAlignment="1">
      <alignment horizontal="right" vertical="center" wrapText="1"/>
    </xf>
    <xf numFmtId="4" fontId="0" fillId="0" borderId="1" xfId="0" applyNumberFormat="1" applyBorder="1" applyAlignment="1">
      <alignment horizontal="right" vertical="center" wrapText="1"/>
    </xf>
    <xf numFmtId="1" fontId="0" fillId="0" borderId="1" xfId="0" applyNumberFormat="1" applyBorder="1" applyAlignment="1">
      <alignment horizontal="right" vertical="center" wrapText="1"/>
    </xf>
    <xf numFmtId="0" fontId="3" fillId="0" borderId="0" xfId="0" applyFont="1" applyAlignment="1">
      <alignment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horizontal="center" vertical="center"/>
    </xf>
    <xf numFmtId="43" fontId="0" fillId="0" borderId="0" xfId="1" applyFont="1" applyAlignment="1">
      <alignment horizontal="right" vertical="center"/>
    </xf>
    <xf numFmtId="43" fontId="3" fillId="0" borderId="0" xfId="1" applyFont="1" applyAlignment="1">
      <alignment horizontal="right" vertical="center"/>
    </xf>
    <xf numFmtId="0" fontId="0" fillId="0" borderId="0" xfId="0" applyAlignment="1">
      <alignment horizontal="right" vertical="center"/>
    </xf>
    <xf numFmtId="0" fontId="2" fillId="3" borderId="2" xfId="0" applyFont="1" applyFill="1" applyBorder="1" applyAlignment="1">
      <alignment vertical="center"/>
    </xf>
    <xf numFmtId="0" fontId="2" fillId="3" borderId="3" xfId="0" applyFont="1" applyFill="1" applyBorder="1" applyAlignment="1">
      <alignment horizontal="right" vertical="center"/>
    </xf>
    <xf numFmtId="0" fontId="2" fillId="3" borderId="4" xfId="0" applyFont="1" applyFill="1" applyBorder="1" applyAlignment="1">
      <alignment horizontal="right" vertical="center"/>
    </xf>
    <xf numFmtId="0" fontId="0" fillId="3" borderId="8" xfId="0" applyFill="1" applyBorder="1" applyAlignment="1">
      <alignment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4" borderId="1" xfId="0" applyFill="1" applyBorder="1" applyAlignment="1">
      <alignment vertical="center"/>
    </xf>
    <xf numFmtId="10" fontId="0" fillId="4" borderId="1" xfId="2" applyNumberFormat="1" applyFont="1" applyFill="1" applyBorder="1" applyAlignment="1">
      <alignment horizontal="right" vertical="center"/>
    </xf>
    <xf numFmtId="0" fontId="0" fillId="0" borderId="7" xfId="0" applyBorder="1" applyAlignment="1">
      <alignment vertical="center"/>
    </xf>
    <xf numFmtId="43" fontId="0" fillId="0" borderId="11" xfId="0" applyNumberFormat="1" applyBorder="1" applyAlignment="1">
      <alignment vertical="center"/>
    </xf>
    <xf numFmtId="0" fontId="0" fillId="0" borderId="4" xfId="0" applyBorder="1" applyAlignment="1">
      <alignment vertical="center"/>
    </xf>
    <xf numFmtId="43" fontId="0" fillId="0" borderId="12" xfId="0" applyNumberFormat="1" applyBorder="1" applyAlignment="1">
      <alignment vertical="center"/>
    </xf>
    <xf numFmtId="0" fontId="0" fillId="4" borderId="1" xfId="0" applyFill="1" applyBorder="1" applyAlignment="1">
      <alignment horizontal="right" vertical="center"/>
    </xf>
    <xf numFmtId="4" fontId="0" fillId="4" borderId="1" xfId="0" applyNumberFormat="1" applyFill="1" applyBorder="1" applyAlignment="1">
      <alignment horizontal="right" vertical="center"/>
    </xf>
    <xf numFmtId="0" fontId="3" fillId="4" borderId="1" xfId="0" applyFont="1" applyFill="1" applyBorder="1" applyAlignment="1">
      <alignment vertical="center"/>
    </xf>
    <xf numFmtId="10" fontId="3" fillId="4" borderId="1" xfId="2" applyNumberFormat="1" applyFont="1" applyFill="1" applyBorder="1" applyAlignment="1">
      <alignment horizontal="right" vertical="center"/>
    </xf>
    <xf numFmtId="43" fontId="0" fillId="4" borderId="1" xfId="1" applyFont="1" applyFill="1" applyBorder="1" applyAlignment="1">
      <alignment horizontal="right" vertical="center"/>
    </xf>
    <xf numFmtId="0" fontId="0" fillId="0" borderId="0" xfId="2" applyNumberFormat="1" applyFont="1" applyAlignment="1">
      <alignment horizontal="center" vertical="center"/>
    </xf>
    <xf numFmtId="0" fontId="0" fillId="0" borderId="0" xfId="2" applyNumberFormat="1" applyFont="1" applyBorder="1" applyAlignment="1">
      <alignment horizontal="center" vertical="center"/>
    </xf>
    <xf numFmtId="0" fontId="0" fillId="0" borderId="1" xfId="0" applyBorder="1" applyAlignment="1">
      <alignment vertical="center"/>
    </xf>
    <xf numFmtId="43" fontId="0" fillId="0" borderId="1" xfId="1" applyFont="1" applyBorder="1" applyAlignment="1">
      <alignment horizontal="right" vertical="center"/>
    </xf>
    <xf numFmtId="49" fontId="0" fillId="0" borderId="0" xfId="1" applyNumberFormat="1" applyFont="1" applyAlignment="1">
      <alignment horizontal="left" vertical="center"/>
    </xf>
    <xf numFmtId="0" fontId="3" fillId="0" borderId="12" xfId="0" applyFont="1" applyBorder="1" applyAlignment="1">
      <alignment vertical="center"/>
    </xf>
    <xf numFmtId="43" fontId="3" fillId="0" borderId="12" xfId="1" applyFont="1" applyBorder="1" applyAlignment="1">
      <alignment horizontal="right" vertical="center"/>
    </xf>
    <xf numFmtId="43" fontId="3" fillId="0" borderId="0" xfId="0" applyNumberFormat="1" applyFont="1" applyAlignment="1">
      <alignment horizontal="center" vertical="center"/>
    </xf>
    <xf numFmtId="43" fontId="3" fillId="0" borderId="0" xfId="1" applyFont="1" applyBorder="1" applyAlignment="1">
      <alignment horizontal="right" vertical="center"/>
    </xf>
    <xf numFmtId="10" fontId="0" fillId="0" borderId="0" xfId="2" applyNumberFormat="1" applyFont="1" applyAlignment="1">
      <alignment horizontal="right" vertical="center"/>
    </xf>
    <xf numFmtId="10" fontId="0" fillId="0" borderId="1" xfId="2" applyNumberFormat="1" applyFont="1" applyBorder="1" applyAlignment="1">
      <alignment horizontal="right" vertical="center"/>
    </xf>
    <xf numFmtId="0" fontId="0" fillId="0" borderId="1" xfId="1" applyNumberFormat="1" applyFont="1" applyBorder="1" applyAlignment="1">
      <alignment horizontal="right" vertical="center"/>
    </xf>
    <xf numFmtId="0" fontId="2" fillId="3" borderId="0" xfId="0" applyFont="1" applyFill="1" applyAlignment="1">
      <alignment vertical="center"/>
    </xf>
    <xf numFmtId="0" fontId="2" fillId="3" borderId="0" xfId="0" applyFont="1" applyFill="1" applyAlignment="1">
      <alignment horizontal="right" vertical="center"/>
    </xf>
    <xf numFmtId="0" fontId="0" fillId="0" borderId="0" xfId="0" applyAlignment="1">
      <alignment horizontal="left" vertical="center"/>
    </xf>
    <xf numFmtId="10" fontId="0" fillId="0" borderId="0" xfId="2" applyNumberFormat="1" applyFont="1" applyBorder="1" applyAlignment="1">
      <alignment horizontal="right" vertical="center"/>
    </xf>
    <xf numFmtId="0" fontId="0" fillId="3" borderId="0" xfId="0" applyFill="1" applyAlignment="1">
      <alignment horizontal="left" vertical="center"/>
    </xf>
    <xf numFmtId="0" fontId="0" fillId="3" borderId="0" xfId="0" applyFill="1" applyAlignment="1">
      <alignment horizontal="right" vertical="center"/>
    </xf>
    <xf numFmtId="43" fontId="0" fillId="0" borderId="0" xfId="0" applyNumberFormat="1" applyAlignment="1">
      <alignment horizontal="right" vertical="center"/>
    </xf>
    <xf numFmtId="0" fontId="0" fillId="4" borderId="5" xfId="0" applyFill="1" applyBorder="1" applyAlignment="1">
      <alignment vertical="center"/>
    </xf>
    <xf numFmtId="43" fontId="0" fillId="4" borderId="0" xfId="1" applyFont="1" applyFill="1" applyBorder="1" applyAlignment="1">
      <alignment horizontal="right" vertical="center"/>
    </xf>
    <xf numFmtId="43" fontId="0" fillId="4" borderId="6" xfId="1" applyFont="1" applyFill="1" applyBorder="1" applyAlignment="1">
      <alignment horizontal="right" vertical="center"/>
    </xf>
    <xf numFmtId="43" fontId="3" fillId="4" borderId="1" xfId="1" applyFont="1" applyFill="1" applyBorder="1" applyAlignment="1">
      <alignment horizontal="right" vertical="center"/>
    </xf>
    <xf numFmtId="0" fontId="2" fillId="3" borderId="0" xfId="0" applyFont="1" applyFill="1" applyAlignment="1">
      <alignment vertical="center" wrapText="1"/>
    </xf>
    <xf numFmtId="0" fontId="2" fillId="3" borderId="0" xfId="0" applyFont="1" applyFill="1" applyAlignment="1">
      <alignment horizontal="right" vertical="center" wrapText="1"/>
    </xf>
    <xf numFmtId="0" fontId="0" fillId="0" borderId="0" xfId="0" applyAlignment="1">
      <alignment horizontal="left" vertical="center" wrapText="1"/>
    </xf>
    <xf numFmtId="43" fontId="0" fillId="0" borderId="1" xfId="0" applyNumberFormat="1" applyBorder="1" applyAlignment="1">
      <alignment horizontal="right" vertical="center"/>
    </xf>
    <xf numFmtId="43" fontId="0" fillId="0" borderId="0" xfId="1" applyFont="1" applyAlignment="1">
      <alignment vertical="center"/>
    </xf>
    <xf numFmtId="43" fontId="3" fillId="0" borderId="0" xfId="1" applyFont="1" applyAlignment="1">
      <alignment vertical="center"/>
    </xf>
    <xf numFmtId="10" fontId="0" fillId="0" borderId="0" xfId="0" applyNumberFormat="1" applyAlignment="1">
      <alignment horizontal="right" vertical="center"/>
    </xf>
    <xf numFmtId="0" fontId="3" fillId="0" borderId="0" xfId="0" applyFont="1" applyAlignment="1">
      <alignment horizontal="right" vertical="center"/>
    </xf>
    <xf numFmtId="43" fontId="3" fillId="0" borderId="0" xfId="0" applyNumberFormat="1" applyFont="1" applyAlignment="1">
      <alignment horizontal="right" vertical="center"/>
    </xf>
    <xf numFmtId="10" fontId="3" fillId="0" borderId="0" xfId="0" applyNumberFormat="1" applyFont="1" applyAlignment="1">
      <alignment horizontal="right" vertical="center"/>
    </xf>
    <xf numFmtId="10" fontId="3" fillId="0" borderId="0" xfId="2" applyNumberFormat="1" applyFont="1" applyAlignment="1">
      <alignment horizontal="right" vertical="center"/>
    </xf>
    <xf numFmtId="0" fontId="2" fillId="2" borderId="1" xfId="0" applyFont="1" applyFill="1" applyBorder="1" applyAlignment="1">
      <alignment vertical="center"/>
    </xf>
    <xf numFmtId="0" fontId="2" fillId="2" borderId="1" xfId="0" applyFont="1" applyFill="1" applyBorder="1" applyAlignment="1">
      <alignment horizontal="right" vertical="center"/>
    </xf>
    <xf numFmtId="10" fontId="0" fillId="0" borderId="1" xfId="0" applyNumberFormat="1" applyBorder="1" applyAlignment="1">
      <alignment vertical="center"/>
    </xf>
    <xf numFmtId="43" fontId="0" fillId="0" borderId="1" xfId="0" applyNumberFormat="1" applyBorder="1" applyAlignment="1">
      <alignment vertical="center"/>
    </xf>
    <xf numFmtId="10" fontId="0" fillId="0" borderId="1" xfId="2" applyNumberFormat="1" applyFont="1" applyBorder="1" applyAlignment="1">
      <alignment vertical="center"/>
    </xf>
    <xf numFmtId="0" fontId="0" fillId="0" borderId="0" xfId="0" applyAlignment="1">
      <alignment horizontal="right"/>
    </xf>
    <xf numFmtId="0" fontId="4" fillId="2" borderId="1" xfId="0" applyFont="1" applyFill="1" applyBorder="1" applyAlignment="1">
      <alignment vertical="center" wrapText="1"/>
    </xf>
    <xf numFmtId="43" fontId="0" fillId="4" borderId="1" xfId="0" applyNumberFormat="1" applyFill="1" applyBorder="1" applyAlignment="1">
      <alignment horizontal="right"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43" fontId="0" fillId="0" borderId="1" xfId="1" applyFont="1" applyBorder="1" applyAlignment="1">
      <alignment vertical="center"/>
    </xf>
    <xf numFmtId="43" fontId="1" fillId="0" borderId="1" xfId="1" applyFont="1" applyBorder="1" applyAlignment="1">
      <alignment vertical="center"/>
    </xf>
    <xf numFmtId="0" fontId="3" fillId="0" borderId="1" xfId="0" applyFont="1" applyBorder="1" applyAlignment="1">
      <alignment vertical="center"/>
    </xf>
    <xf numFmtId="0" fontId="0" fillId="0" borderId="12" xfId="0" applyBorder="1" applyAlignment="1">
      <alignment vertical="center"/>
    </xf>
    <xf numFmtId="43" fontId="0" fillId="0" borderId="12" xfId="0" applyNumberFormat="1" applyBorder="1" applyAlignment="1">
      <alignment horizontal="right" vertical="center"/>
    </xf>
    <xf numFmtId="0" fontId="2" fillId="3" borderId="2" xfId="0" applyFont="1" applyFill="1" applyBorder="1" applyAlignment="1">
      <alignment horizontal="left" vertical="center"/>
    </xf>
    <xf numFmtId="0" fontId="0" fillId="5" borderId="2" xfId="0" applyFill="1" applyBorder="1" applyAlignment="1">
      <alignment horizontal="left" vertical="center"/>
    </xf>
    <xf numFmtId="43" fontId="0" fillId="5" borderId="2" xfId="1" applyFont="1" applyFill="1" applyBorder="1" applyAlignment="1">
      <alignment horizontal="right" vertical="center"/>
    </xf>
    <xf numFmtId="0" fontId="0" fillId="6" borderId="2" xfId="0" applyFill="1" applyBorder="1" applyAlignment="1">
      <alignment horizontal="left" vertical="center"/>
    </xf>
    <xf numFmtId="0" fontId="0" fillId="5" borderId="8" xfId="0" applyFill="1" applyBorder="1" applyAlignment="1">
      <alignment horizontal="left" vertical="center"/>
    </xf>
    <xf numFmtId="43" fontId="0" fillId="5" borderId="13" xfId="0" applyNumberFormat="1" applyFill="1" applyBorder="1"/>
    <xf numFmtId="43" fontId="0" fillId="6" borderId="12" xfId="0" applyNumberFormat="1" applyFill="1" applyBorder="1"/>
    <xf numFmtId="43" fontId="0" fillId="5" borderId="12" xfId="0" applyNumberFormat="1" applyFill="1" applyBorder="1"/>
    <xf numFmtId="43" fontId="0" fillId="5" borderId="1" xfId="0" applyNumberFormat="1" applyFill="1" applyBorder="1"/>
    <xf numFmtId="0" fontId="5" fillId="2" borderId="1" xfId="0" applyFont="1" applyFill="1" applyBorder="1" applyAlignment="1">
      <alignment vertical="center"/>
    </xf>
    <xf numFmtId="10" fontId="1" fillId="0" borderId="0" xfId="2" applyNumberFormat="1" applyFont="1" applyAlignment="1">
      <alignment horizontal="right" vertical="center"/>
    </xf>
    <xf numFmtId="0" fontId="3" fillId="0" borderId="0" xfId="0" applyFont="1"/>
    <xf numFmtId="43" fontId="1" fillId="0" borderId="0" xfId="2" applyNumberFormat="1" applyFont="1" applyAlignment="1">
      <alignment horizontal="right" vertical="center"/>
    </xf>
    <xf numFmtId="10" fontId="3" fillId="0" borderId="0" xfId="1" applyNumberFormat="1" applyFont="1" applyAlignment="1">
      <alignment horizontal="right" vertical="center"/>
    </xf>
    <xf numFmtId="10" fontId="1" fillId="0" borderId="0" xfId="1" applyNumberFormat="1" applyFont="1" applyAlignment="1">
      <alignment horizontal="right" vertical="center"/>
    </xf>
    <xf numFmtId="43" fontId="3" fillId="0" borderId="1" xfId="1" applyFont="1" applyBorder="1" applyAlignment="1">
      <alignment horizontal="right" vertical="center"/>
    </xf>
  </cellXfs>
  <cellStyles count="3">
    <cellStyle name="Comma" xfId="1" builtinId="3"/>
    <cellStyle name="Normal" xfId="0" builtinId="0"/>
    <cellStyle name="Percent" xfId="2" builtinId="5"/>
  </cellStyles>
  <dxfs count="279">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right" vertical="center" textRotation="0" wrapText="0" indent="0" justifyLastLine="0" shrinkToFit="0" readingOrder="0"/>
    </dxf>
    <dxf>
      <fill>
        <patternFill patternType="solid">
          <fgColor indexed="64"/>
          <bgColor rgb="FF0070C0"/>
        </patternFill>
      </fill>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right" vertical="center" textRotation="0" wrapText="1"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0">
  <rv s="0">
    <v>https://www.bing.com/financeapi/forcetrigger?t=a1p7zr&amp;q=XNYS%3aCAT&amp;form=skydnc</v>
    <v>Learn more on Bing</v>
  </rv>
  <rv s="1">
    <v>en-IN</v>
    <v>a1p7zr</v>
    <v>268435456</v>
    <v>1</v>
    <v>Powered by Refinitiv</v>
    <v>0</v>
    <v>CATERPILLAR INC. (XNYS:CAT)</v>
    <v>2</v>
    <v>3</v>
    <v>Finance</v>
    <v>4</v>
    <v>596.21</v>
    <v>267.3</v>
    <v>1.5679000000000001</v>
    <v>9.0299999999999994</v>
    <v>1.6511999999999999E-2</v>
    <v>USD</v>
    <v>Caterpillar Inc. is a manufacturer of construction and mining equipment, off-highway diesel and natural gas engines, industrial gas turbines and diesel-electric locomotives. The Company operates through its various segments, namely Construction Industries, Resource Industries, and Energy &amp; Transportation. It also provides financing and related services through its Financial Products segment. The Construction Industries segment is primarily responsible for supporting customers using machinery in infrastructure and building construction applications. The Resource Industries segment develops and manufactures high productivity equipment for both surface and underground mining operations, as well as provide hydraulic systems, electronics and software for its machines and engines. The Energy &amp; Transportation segment offers product and services that includes reciprocating engines, generator sets, integrated systems and solutions, turbines and turbine-related services.</v>
    <v>112900</v>
    <v>New York Stock Exchange</v>
    <v>XNYS</v>
    <v>XNYS</v>
    <v>5205 N. O'connor Boulevard, Suite 100, IRVING, TX, 75039 US</v>
    <v>560.91</v>
    <v>Machinery, Equipment &amp; Components</v>
    <v>Stock</v>
    <v>45980.794518529685</v>
    <v>0</v>
    <v>547.63499999999999</v>
    <v>260154539436</v>
    <v>CATERPILLAR INC.</v>
    <v>CATERPILLAR INC.</v>
    <v>548.85</v>
    <v>28.523599999999998</v>
    <v>546.88</v>
    <v>555.91</v>
    <v>467979600</v>
    <v>CAT</v>
    <v>CATERPILLAR INC. (XNYS:CAT)</v>
    <v>950634</v>
    <v>2812308</v>
    <v>1986</v>
  </rv>
  <rv s="2">
    <v>1</v>
  </rv>
  <rv s="0">
    <v>https://www.bing.com/financeapi/forcetrigger?t=a1w36h&amp;q=XNYS%3aJ&amp;form=skydnc</v>
    <v>Learn more on Bing</v>
  </rv>
  <rv s="1">
    <v>en-IN</v>
    <v>a1w36h</v>
    <v>268435456</v>
    <v>1</v>
    <v>Powered by Refinitiv</v>
    <v>0</v>
    <v>JACOBS SOLUTIONS INC. (XNYS:J)</v>
    <v>2</v>
    <v>3</v>
    <v>Finance</v>
    <v>4</v>
    <v>168.44</v>
    <v>105.14619999999999</v>
    <v>0.80010000000000003</v>
    <v>-1.56</v>
    <v>-1.0348E-2</v>
    <v>USD</v>
    <v>Jacobs Solutions Inc. provides end-to-end services in advanced manufacturing, cities and places, energy, environmental, life sciences, transportation and water. The Company’s segments include Infrastructure and Advanced Facilities (I&amp;AF) and PA Consulting. The I&amp;AF segment provides end-to-end solutions for its client’s complex challenges related to climate change, energy transition, connected mobility, buildings and infrastructure, integrated water management and biopharmaceutical manufacturing. It uses data science and technology-enabled expertise to deliver outcomes for its clients and communities. Its clients include national, state and local governments in Europe, the Middle East, and others. The PA Consulting segment has a diverse mix of private and public sector clients. Private sector clients include global household names like Unilever, Microsoft, and Pret A Manger, and start-ups like PulPac, which converts plant fibers into sustainable packaging to reduce single-use plastic.</v>
    <v>45000</v>
    <v>New York Stock Exchange</v>
    <v>XNYS</v>
    <v>XNYS</v>
    <v>1999 Bryan Street, Suite 3500, DALLAS, TX, 75201 US</v>
    <v>150.89500000000001</v>
    <v>Professional &amp; Commercial Services</v>
    <v>Stock</v>
    <v>45980.794508622654</v>
    <v>3</v>
    <v>147.91999999999999</v>
    <v>17834845800</v>
    <v>JACOBS SOLUTIONS INC.</v>
    <v>JACOBS SOLUTIONS INC.</v>
    <v>150.29</v>
    <v>59.35</v>
    <v>150.76</v>
    <v>149.19999999999999</v>
    <v>119536500</v>
    <v>J</v>
    <v>JACOBS SOLUTIONS INC. (XNYS:J)</v>
    <v>525886</v>
    <v>1140436</v>
    <v>2022</v>
  </rv>
  <rv s="2">
    <v>4</v>
  </rv>
  <rv s="0">
    <v>https://www.bing.com/financeapi/forcetrigger?t=a1mtc7&amp;q=XNYS%3aACM&amp;form=skydnc</v>
    <v>Learn more on Bing</v>
  </rv>
  <rv s="1">
    <v>en-IN</v>
    <v>a1mtc7</v>
    <v>268435456</v>
    <v>1</v>
    <v>Powered by Refinitiv</v>
    <v>0</v>
    <v>AECOM (XNYS:ACM)</v>
    <v>2</v>
    <v>3</v>
    <v>Finance</v>
    <v>4</v>
    <v>135.52000000000001</v>
    <v>85</v>
    <v>1.0415000000000001</v>
    <v>-10.9</v>
    <v>-8.5732000000000003E-2</v>
    <v>USD</v>
    <v>AECOM is a global provider of professional infrastructure consulting and advisory services for governments, businesses and organizations throughout the world. It provides advisory, planning, consulting, architectural and engineering design, construction and program management services, and investment and development services to public and private clients worldwide in major end markets, such as transportation, facilities, water, environmental, and energy. Its Americas segment provides planning, consulting, architectural and engineering design, construction management and program management services to public and private clients in the United States, Canada, and Latin America. Its International segment provides planning, consulting, architectural and engineering design services and program management to public and private clients in Europe, the Middle East, India, Africa, and the Asia-Australia-Pacific regions. Its ACAP segment primarily invests in and develops real estate projects.</v>
    <v>51000</v>
    <v>New York Stock Exchange</v>
    <v>XNYS</v>
    <v>XNYS</v>
    <v>13355 Noel Road, Suite 400, DALLAS, TX, 75240 US</v>
    <v>127</v>
    <v>Construction &amp; Engineering</v>
    <v>Stock</v>
    <v>45980.794536712499</v>
    <v>6</v>
    <v>115.79</v>
    <v>15395534664</v>
    <v>AECOM</v>
    <v>AECOM</v>
    <v>126.295</v>
    <v>24.278400000000001</v>
    <v>127.14</v>
    <v>116.24</v>
    <v>132446100</v>
    <v>ACM</v>
    <v>AECOM (XNYS:ACM)</v>
    <v>1440936</v>
    <v>825869</v>
    <v>1980</v>
  </rv>
  <rv s="2">
    <v>7</v>
  </rv>
  <rv s="0">
    <v>https://www.bing.com/financeapi/forcetrigger?t=a1t2ur&amp;q=XNYS%3aFLR&amp;form=skydnc</v>
    <v>Learn more on Bing</v>
  </rv>
  <rv s="1">
    <v>en-IN</v>
    <v>a1t2ur</v>
    <v>268435456</v>
    <v>1</v>
    <v>Powered by Refinitiv</v>
    <v>0</v>
    <v>FLUOR CORPORATION. (XNYS:FLR)</v>
    <v>2</v>
    <v>3</v>
    <v>Finance</v>
    <v>4</v>
    <v>57.5</v>
    <v>29.2</v>
    <v>1.3441000000000001</v>
    <v>0.9</v>
    <v>2.1882000000000002E-2</v>
    <v>USD</v>
    <v>Fluor Corporation is a holding company that provides engineering, procurement, construction (EPC), fabrication and modularization, and project management services. The Company's segments include Energy Solutions, Urban Solutions and Mission Solutions. The Energy Solutions segment provides EPC services for traditional oil and gas markets, including the production and fuels, chemicals, LNG and power markets. The segment serves these industries with comprehensive project life-cycle services. The Urban Solutions segment provides EPC and project management services to the advanced technologies and manufacturing, life sciences, mining and metals, infrastructure industries and professional staffing services. The Mission Solutions segment provides high-end technical solutions to the United States and other governments. These include, among others, the DOE, the Department of Defense, FEMA and intelligence agencies. The segment also provides services to commercial nuclear clients.</v>
    <v>26866</v>
    <v>New York Stock Exchange</v>
    <v>XNYS</v>
    <v>XNYS</v>
    <v>6700 Las Colinas Blvd, IRVING, TX, 75039 US</v>
    <v>42.15</v>
    <v>Construction &amp; Engineering</v>
    <v>Stock</v>
    <v>45980.794521122654</v>
    <v>9</v>
    <v>41.174999999999997</v>
    <v>6774500475</v>
    <v>FLUOR CORPORATION.</v>
    <v>FLUOR CORPORATION.</v>
    <v>41.5</v>
    <v>2.1295999999999999</v>
    <v>41.13</v>
    <v>42.03</v>
    <v>161182500</v>
    <v>FLR</v>
    <v>FLUOR CORPORATION. (XNYS:FLR)</v>
    <v>962630</v>
    <v>4073795</v>
    <v>2000</v>
  </rv>
  <rv s="2">
    <v>10</v>
  </rv>
  <rv s="0">
    <v>https://www.bing.com/financeapi/forcetrigger?t=a25f6h&amp;q=XNYS%3aVMC&amp;form=skydnc</v>
    <v>Learn more on Bing</v>
  </rv>
  <rv s="1">
    <v>en-IN</v>
    <v>a25f6h</v>
    <v>268435456</v>
    <v>1</v>
    <v>Powered by Refinitiv</v>
    <v>0</v>
    <v>VULCAN MATERIALS COMPANY (XNYS:VMC)</v>
    <v>2</v>
    <v>3</v>
    <v>Finance</v>
    <v>4</v>
    <v>311.74</v>
    <v>215.08</v>
    <v>1.0667</v>
    <v>2</v>
    <v>7.0950000000000006E-3</v>
    <v>USD</v>
    <v>Vulcan Materials Company is a supplier of construction aggregates and producer of aggregates-based construction materials. The Company’s segments include Aggregates, Asphalt and Concrete. The Aggregates segment produces and sells aggregates, such as crushed stone, sand and gravel, sand, and other aggregates and related products and services. This segment also includes a production stage and leased calcium operation located in Brooksville, Florida. This limestone quarry produces a supplement for end-use products such as animal feed and plastics. The Asphalt segment produces and sells asphalt mix in Alabama, Arizona, California, New Mexico, Tennessee and Texas and provides asphalt construction paving services in Alabama, Tennessee and Texas. The Concrete segment produces and sells ready-mixed concrete in California, Maryland and Virginia. The Company provides the basic materials for the infrastructure delivered by trucks, ships, barges, and trains.</v>
    <v>11436</v>
    <v>New York Stock Exchange</v>
    <v>XNYS</v>
    <v>XNYS</v>
    <v>1200 Urban Center Drive, BIRMINGHAM, AL, 35242 US</v>
    <v>284</v>
    <v>Construction Materials</v>
    <v>Stock</v>
    <v>45980.794551863284</v>
    <v>12</v>
    <v>280.1001</v>
    <v>37507998583</v>
    <v>VULCAN MATERIALS COMPANY</v>
    <v>VULCAN MATERIALS COMPANY</v>
    <v>282.435</v>
    <v>33.544899999999998</v>
    <v>281.87</v>
    <v>283.87</v>
    <v>132130900</v>
    <v>VMC</v>
    <v>VULCAN MATERIALS COMPANY (XNYS:VMC)</v>
    <v>357532</v>
    <v>1160405</v>
    <v>2007</v>
  </rv>
  <rv s="2">
    <v>13</v>
  </rv>
  <rv s="0">
    <v>https://www.bing.com/financeapi/forcetrigger?t=ae8cjc&amp;q=XPAR%3aDG&amp;form=skydnc</v>
    <v>Learn more on Bing</v>
  </rv>
  <rv s="1">
    <v>en-IN</v>
    <v>ae8cjc</v>
    <v>268435456</v>
    <v>1</v>
    <v>Powered by Refinitiv</v>
    <v>0</v>
    <v>Vinci SA (XPAR:DG)</v>
    <v>2</v>
    <v>5</v>
    <v>Finance</v>
    <v>6</v>
    <v>130.19999999999999</v>
    <v>96.26</v>
    <v>0.93879999999999997</v>
    <v>1.1499999999999999</v>
    <v>9.8539999999999999E-3</v>
    <v>EUR</v>
    <v>Vinci SA is a France-based company active in the concessions and construction industry worldwide. It manages four segments: Design and construction of infrastructure, Design, execution, and maintenance of energy and telecom infrastructures, Sub-contracted infrastructure management and Other. The Design and construction of infrastructure (VINCI Construction): primarily in the fields of building, civil engineering, and hydraulics. In addition, the group is developing a business in the construction, renovation and maintenance of transport infrastructure (roads, freeways and railroads; Eurovia), in the production of aggregates and in urban development; Design, execution, and maintenance of energy and telecom infrastructures (VINCI Energies and Cobra IS); Sub-contracted infrastructure management (VINCI Concessions): primarily managing roads and highways (mainly through Autoroutes du Sud de la France and Cofiroute), parking areas, airport activities; Other: primarily property development.</v>
    <v>282481</v>
    <v>Euronext Paris</v>
    <v>XPAR</v>
    <v>XPAR</v>
    <v>1973 boulevard de la Defense, NANTERRE, ILE-DE-FRANCE, 92000 FR</v>
    <v>118.8</v>
    <v>Construction &amp; Engineering</v>
    <v>Stock</v>
    <v>45980.708333333336</v>
    <v>15</v>
    <v>115.4</v>
    <v>68495170000</v>
    <v>Vinci SA</v>
    <v>Vinci SA</v>
    <v>117</v>
    <v>13.9998</v>
    <v>116.7</v>
    <v>117.85</v>
    <v>586933800</v>
    <v>DG</v>
    <v>Vinci SA (XPAR:DG)</v>
    <v>731245</v>
    <v>615270</v>
    <v>1955</v>
  </rv>
  <rv s="2">
    <v>16</v>
  </rv>
  <rv s="0">
    <v>https://www.bing.com/financeapi/forcetrigger?t=a2ovh7&amp;q=OTCM%3aMPRG&amp;form=skydnc</v>
    <v>Learn more on Bing</v>
  </rv>
  <rv s="3">
    <v>en-IN</v>
    <v>a2ovh7</v>
    <v>268435456</v>
    <v>1</v>
    <v>Powered by Refinitiv</v>
    <v>7</v>
    <v>ABS Group Inc (OTCM:MPRG)</v>
    <v>2</v>
    <v>8</v>
    <v>Finance</v>
    <v>9</v>
    <v>1E-4</v>
    <v>1E-4</v>
    <v>0</v>
    <v>USD</v>
    <v>OTC Markets</v>
    <v>OTCM</v>
    <v>OTCM</v>
    <v>2936 Sierra Point Plane, SALT LAKE CITY, UT, 84109-1944 US</v>
    <v>1E-4</v>
    <v>Stock</v>
    <v>45702.048611111109</v>
    <v>18</v>
    <v>1E-4</v>
    <v>ABS Group Inc</v>
    <v>ABS Group Inc</v>
    <v>1E-4</v>
    <v>0</v>
    <v>1E-4</v>
    <v>1E-4</v>
    <v>MPRG</v>
    <v>ABS Group Inc (OTCM:MPRG)</v>
    <v>33000</v>
  </rv>
  <rv s="2">
    <v>19</v>
  </rv>
  <rv s="0">
    <v>https://www.bing.com/financeapi/forcetrigger?t=ae8itc&amp;q=XPAR%3aEN&amp;form=skydnc</v>
    <v>Learn more on Bing</v>
  </rv>
  <rv s="4">
    <v>en-IN</v>
    <v>ae8itc</v>
    <v>268435456</v>
    <v>1</v>
    <v>Powered by Refinitiv</v>
    <v>10</v>
    <v>Bouygues SA (XPAR:EN)</v>
    <v>2</v>
    <v>11</v>
    <v>Finance</v>
    <v>6</v>
    <v>42.43</v>
    <v>27.47</v>
    <v>0.71760000000000002</v>
    <v>-0.02</v>
    <v>-4.84E-4</v>
    <v>EUR</v>
    <v>Bouygues SA is a France-based diversified services group. The Company operates activities such as, construction, telecommunication , media etc. It offers construction and maintenance of transportation, leisure, and urban development infrastructures, building and public works activities concerning networks, electrical and thermal engineering, and facility maintenance, and real estate development. It provides mobile telephony, fixed telephony, Internet access, etc. It provides relevant decision support for many of the Group's businesses. For example, from the analysis of the physical data of a site, regulations and environmental factors, artificial intelligence makes it possible to optimize the constructive potential of a land and to facilitate interactions between the different stakeholders. a real estate project (developers, architects, design offices and communities).</v>
    <v>200862</v>
    <v>Euronext Paris</v>
    <v>XPAR</v>
    <v>XPAR</v>
    <v>32 avenue Hoche, PARIS, ILE-DE-FRANCE, 75008 FR</v>
    <v>41.53</v>
    <v>Construction &amp; Engineering</v>
    <v>Stock</v>
    <v>45980.708333333336</v>
    <v>21</v>
    <v>40.72</v>
    <v>15851190000</v>
    <v>Bouygues SA</v>
    <v>Bouygues SA</v>
    <v>41.24</v>
    <v>14.823600000000001</v>
    <v>41.32</v>
    <v>41.3</v>
    <v>383620200</v>
    <v>EN</v>
    <v>Bouygues SA (XPAR:EN)</v>
    <v>669437</v>
    <v>844370</v>
  </rv>
  <rv s="2">
    <v>22</v>
  </rv>
  <rv s="0">
    <v>https://www.bing.com/financeapi/forcetrigger?t=a1wf3m&amp;q=XNYS%3aKBR&amp;form=skydnc</v>
    <v>Learn more on Bing</v>
  </rv>
  <rv s="1">
    <v>en-IN</v>
    <v>a1wf3m</v>
    <v>268435456</v>
    <v>1</v>
    <v>Powered by Refinitiv</v>
    <v>0</v>
    <v>KBR, INC. (XNYS:KBR)</v>
    <v>2</v>
    <v>3</v>
    <v>Finance</v>
    <v>4</v>
    <v>62.14</v>
    <v>40.039299999999997</v>
    <v>0.54859999999999998</v>
    <v>-0.25</v>
    <v>-6.1289999999999999E-3</v>
    <v>USD</v>
    <v>KBR, Inc. is engaged in delivering science, technology, and engineering solutions to governments and companies around the world. The Company’s segments include Mission Technology Solutions and Sustainable Technology Solutions. The Mission Technology Solutions segment provides full life-cycle support solutions to defense, intelligence, space, aviation and other programs and missions for military and other government agencies, primarily in the United States, United Kingdom and Australia. The Sustainable Technology Solutions business segment is anchored by its portfolio of approximately 85 proprietary, sustainability-focused process technologies that reduce emissions, increase efficiency and/or accelerate and enable energy transition across the industrial base in four primary verticals: ammonia/syngas, chemical/petrochemicals, clean refining and circular process/circular economy solutions. It also offers services including advisory and consulting focused on energy security.</v>
    <v>38000</v>
    <v>New York Stock Exchange</v>
    <v>XNYS</v>
    <v>XNYS</v>
    <v>SUITE 3400, 601 JEFFERSON STREET, HOUSTON, TX, 77002 US</v>
    <v>40.869999999999997</v>
    <v>Software &amp; IT Services</v>
    <v>Stock</v>
    <v>45980.794550312501</v>
    <v>24</v>
    <v>40.039299999999997</v>
    <v>5148158384</v>
    <v>KBR, INC.</v>
    <v>KBR, INC.</v>
    <v>40.869999999999997</v>
    <v>12.804</v>
    <v>40.79</v>
    <v>40.54</v>
    <v>126989600</v>
    <v>KBR</v>
    <v>KBR, INC. (XNYS:KBR)</v>
    <v>280397</v>
    <v>1309956</v>
    <v>2006</v>
  </rv>
  <rv s="2">
    <v>25</v>
  </rv>
  <rv s="0">
    <v>https://www.bing.com/financeapi/forcetrigger?t=a21gh7&amp;q=XNYS%3aPWR&amp;form=skydnc</v>
    <v>Learn more on Bing</v>
  </rv>
  <rv s="1">
    <v>en-IN</v>
    <v>a21gh7</v>
    <v>268435456</v>
    <v>1</v>
    <v>Powered by Refinitiv</v>
    <v>0</v>
    <v>QUANTA SERVICES, INC. (XNYS:PWR)</v>
    <v>2</v>
    <v>3</v>
    <v>Finance</v>
    <v>4</v>
    <v>469.43</v>
    <v>227.08</v>
    <v>1.1477999999999999</v>
    <v>5.48</v>
    <v>1.2475E-2</v>
    <v>USD</v>
    <v>Quanta Services, Inc. provides specialized infrastructure solutions to the utility, renewable energy, technology, communications, pipeline, and energy industries in the United States, Canada, Australia and other international markets. Its segments include Electric Infrastructure Solutions (Electric) and Underground Utility and Infrastructure Solutions (Underground and Infrastructure). Electric provides comprehensive services for electric power, renewable energy, technology and communications markets. Services include design, procurement, new construction, upgrade and repair and maintenance services for electric power transmission and distribution infrastructure, both overhead and underground, and substation facilities, along with other engineering and technical services. The Underground and Infrastructure provides comprehensive infrastructure solutions to customers involved in the transportation, distribution, storage, development and processing of natural gas, oil and other products.</v>
    <v>58400</v>
    <v>New York Stock Exchange</v>
    <v>XNYS</v>
    <v>XNYS</v>
    <v>2727 NORTH LOOP WEST, HOUSTON, TX, 77008 US</v>
    <v>449.82</v>
    <v>Construction &amp; Engineering</v>
    <v>Stock</v>
    <v>45980.794530161722</v>
    <v>27</v>
    <v>439.27</v>
    <v>66322278843</v>
    <v>QUANTA SERVICES, INC.</v>
    <v>QUANTA SERVICES, INC.</v>
    <v>440.81</v>
    <v>65.965100000000007</v>
    <v>439.29</v>
    <v>444.77</v>
    <v>149115900</v>
    <v>PWR</v>
    <v>QUANTA SERVICES, INC. (XNYS:PWR)</v>
    <v>691759</v>
    <v>1064936</v>
    <v>1997</v>
  </rv>
  <rv s="2">
    <v>28</v>
  </rv>
  <rv s="0">
    <v>https://www.bing.com/financeapi/forcetrigger?t=ahirxm&amp;q=XNSE%3aLT&amp;form=skydnc</v>
    <v>Learn more on Bing</v>
  </rv>
  <rv s="1">
    <v>en-IN</v>
    <v>ahirxm</v>
    <v>268435456</v>
    <v>1</v>
    <v>Powered by Refinitiv</v>
    <v>0</v>
    <v>LARSEN AND TOUBRO LIMITED (XNSE:LT)</v>
    <v>2</v>
    <v>12</v>
    <v>Finance</v>
    <v>13</v>
    <v>4062.6</v>
    <v>2965.3</v>
    <v>1.0741000000000001</v>
    <v>20</v>
    <v>5.0010000000000002E-3</v>
    <v>INR</v>
    <v>Larsen and Toubro Limited is an India-based multinational company, which is engaged in engineering, procurement, and construction (EPC) projects, hi-tech manufacturing and services. The Company's segments include Infrastructure Projects, Energy Projects, Hi-Tech Manufacturing, IT &amp; Technology Services, Financial Services, Development Projects and Others. Energy Projects segment comprises EPC/turnkey solutions in hydrocarbon business, power business and EPC solutions in green energy space. Hi-Tech Manufacturing segment comprises design, manufacture/construct, supply and revamp/retrofit of custom designed, engineered critical equipment &amp; systems to the process plants, nuclear energy &amp; green hydrogen sectors, marine and land platforms, and electrolysers. IT &amp; Technology Services segment comprises information technology and integrated engineering services (including smart world and communication projects), e-commerce/digital platforms &amp; data centers, and semiconductor chip design.</v>
    <v>58244</v>
    <v>National Stock Exchange of India</v>
    <v>XNSE</v>
    <v>XNSE</v>
    <v>L&amp;T House, Ballard Estate, P. O. Box: 278, MUMBAI, MAHARASHTRA, 400001 IN</v>
    <v>4026.5</v>
    <v>Construction &amp; Engineering</v>
    <v>Stock</v>
    <v>45980.492881944447</v>
    <v>30</v>
    <v>3980.3</v>
    <v>5501774000000</v>
    <v>LARSEN AND TOUBRO LIMITED</v>
    <v>LARSEN AND TOUBRO LIMITED</v>
    <v>4007</v>
    <v>33.54</v>
    <v>3999.6</v>
    <v>4019.6</v>
    <v>1375581000</v>
    <v>LT</v>
    <v>LARSEN AND TOUBRO LIMITED (XNSE:LT)</v>
    <v>923032</v>
    <v>1623020</v>
    <v>1946</v>
  </rv>
  <rv s="2">
    <v>31</v>
  </rv>
  <rv s="0">
    <v>https://www.bing.com/financeapi/forcetrigger?t=bxo83m&amp;q=XPAR%3aTE&amp;form=skydnc</v>
    <v>Learn more on Bing</v>
  </rv>
  <rv s="1">
    <v>en-IN</v>
    <v>bxo83m</v>
    <v>268435456</v>
    <v>1</v>
    <v>Powered by Refinitiv</v>
    <v>0</v>
    <v>Technip Energies NV (XPAR:TE)</v>
    <v>2</v>
    <v>5</v>
    <v>Finance</v>
    <v>6</v>
    <v>42.82</v>
    <v>22.22</v>
    <v>0.89390000000000003</v>
    <v>-0.28000000000000003</v>
    <v>-8.1069999999999996E-3</v>
    <v>EUR</v>
    <v>Technip Energies NV is a France-based company. The Company is specialized in providing projects, technologies, products and services on energy infrastructure both onshore and offshore (LNG, downstream, sustainable chemistry, hydrogen, CO2 management and marine infrastructure). Its expertise includes a full range of design and project development services, from early engagement to delivery. It combines the E&amp;C capabilities with its technological expertise to develop new solutions that will support the world's energy transition and is a pioneer in LNG, a critical transition fuel. In addition, it offers a range of design, construction and industrial solutions that will become more prominent as the world transitions to a less carbon-reliant economy.</v>
    <v>15105</v>
    <v>Euronext Paris</v>
    <v>XPAR</v>
    <v>XPAR</v>
    <v>2126 boulevard de la Defense, Nanterre CEDEX, NANTERRE, ILE-DE-FRANCE, 92741 FR</v>
    <v>34.880000000000003</v>
    <v>Oil &amp; Gas Related Equipment and Services</v>
    <v>Stock</v>
    <v>45980.708333333336</v>
    <v>33</v>
    <v>34.26</v>
    <v>6161201000</v>
    <v>Technip Energies NV</v>
    <v>Technip Energies NV</v>
    <v>34.68</v>
    <v>15.270099999999999</v>
    <v>34.54</v>
    <v>34.26</v>
    <v>178378700</v>
    <v>TE</v>
    <v>Technip Energies NV (XPAR:TE)</v>
    <v>239908</v>
    <v>326660</v>
    <v>2019</v>
  </rv>
  <rv s="2">
    <v>34</v>
  </rv>
  <rv s="5">
    <v>en-IN</v>
    <v>ca2b5r</v>
    <v>268435456</v>
    <v>1</v>
    <v>Powered by Refinitiv</v>
    <v>14</v>
    <v>Ferrovial SE (XAMS:FER)</v>
    <v>15</v>
    <v>11</v>
    <v>Finance</v>
    <v>6</v>
    <v>57</v>
    <v>35.14</v>
    <v>0.76539999999999997</v>
    <v>0.66</v>
    <v>1.23E-2</v>
    <v>EUR</v>
    <v>Ferrovial SE is a Netherlands-based company. The Company operates across four business segments: Construction, Toll Roads, Airports as well as Energy Infrastructure and Mobility. Construction segment consists of design and execution of all manner of public and private works, including most notably the construction of public infrastructure. Toll roads segment includes development, financing and operation of toll roads. Airports segment consists of development, financing and operation of airports. Energy Infrastructures and Mobility segment focuses on development, financing and operation of power transmission lines and renewable energy generation plants, mobility, waste management plants and services to the mining industry in Chile.</v>
    <v>22029</v>
    <v>Euronext Amsterdam</v>
    <v>XAMS</v>
    <v>XAMS</v>
    <v>Gustav Mahlerplein 61-63, Symphony Towers, 14Th Floor, AMSTERDAM, NOORD-HOLLAND, 1082 MS NL</v>
    <v>54.46</v>
    <v>Construction &amp; Engineering</v>
    <v>Stock</v>
    <v>45980.708333333336</v>
    <v>53.7</v>
    <v>39432020000</v>
    <v>Ferrovial SE</v>
    <v>Ferrovial SE</v>
    <v>53.86</v>
    <v>11.6744</v>
    <v>53.66</v>
    <v>54.32</v>
    <v>733755400</v>
    <v>FER</v>
    <v>Ferrovial SE (XAMS:FER)</v>
    <v>2605</v>
    <v>684650</v>
  </rv>
  <rv s="2">
    <v>36</v>
  </rv>
  <rv s="0">
    <v>https://www.bing.com/financeapi/forcetrigger?t=a2vwr7&amp;q=OTCM%3aSKSBF&amp;form=skydnc</v>
    <v>Learn more on Bing</v>
  </rv>
  <rv s="1">
    <v>en-IN</v>
    <v>a2vwr7</v>
    <v>268435456</v>
    <v>1</v>
    <v>Powered by Refinitiv</v>
    <v>0</v>
    <v>Skanska AB (OTCM:SKSBF)</v>
    <v>2</v>
    <v>16</v>
    <v>Finance</v>
    <v>6</v>
    <v>28.01</v>
    <v>18.45</v>
    <v>0.95320000000000005</v>
    <v>-1.82</v>
    <v>-6.6789000000000001E-2</v>
    <v>USD</v>
    <v>Skanska AB is a Sweden-based construction and project development company. The Company’s operations are divided into four operating segments: Construction, which includes both building construction and civil construction; Residential Development, which develops residential projects for immediate sale; Commercial Property Development, which initiates, develops, leases and divests commercial property projects, and Infrastructure Development, which specializes in identifying, developing and investing in privately financed infrastructure projects, such as highways, hospitals and power generating plants. Skanska AB has operations in the Nordic countries, Poland, the Czech Republic, Hungary and the United States, among others.</v>
    <v>26206</v>
    <v>OTC Markets</v>
    <v>OTCM</v>
    <v>OTCM</v>
    <v>Warfvinges vag 25, STOCKHOLM, STOCKHOLM, 112 74 SE</v>
    <v>25.43</v>
    <v>Construction &amp; Engineering</v>
    <v>Stock</v>
    <v>45971.858201885938</v>
    <v>38</v>
    <v>25.43</v>
    <v>96931320000</v>
    <v>Skanska AB</v>
    <v>Skanska AB</v>
    <v>25.43</v>
    <v>15.9221</v>
    <v>27.25</v>
    <v>25.43</v>
    <v>400377200</v>
    <v>SKSBF</v>
    <v>Skanska AB (OTCM:SKSBF)</v>
    <v>2</v>
    <v>858840</v>
    <v>1897</v>
  </rv>
  <rv s="2">
    <v>39</v>
  </rv>
  <rv s="0">
    <v>https://www.bing.com/financeapi/forcetrigger?t=afc81h&amp;q=XFRA%3aHOT&amp;form=skydnc</v>
    <v>Learn more on Bing</v>
  </rv>
  <rv s="1">
    <v>en-IN</v>
    <v>afc81h</v>
    <v>268435456</v>
    <v>1</v>
    <v>Powered by Refinitiv</v>
    <v>0</v>
    <v>Hochtief AG (XFRA:HOT)</v>
    <v>2</v>
    <v>5</v>
    <v>Finance</v>
    <v>6</v>
    <v>289.60000000000002</v>
    <v>42.04</v>
    <v>0.75509999999999999</v>
    <v>-2.4</v>
    <v>-8.4450000000000011E-3</v>
    <v>EUR</v>
    <v>Hochtief AG is a Germany-based holding company engaged in the construction industry. Through its subsidiaries, Hochtief delivers construction and civil engineering projects for the transportation, energy and urban infrastructure industries, as well as the mining industry. It operates three business divisions: Hochtief Americas coordinates construction activities in the United States, Canada and Brazil; Hochtief Asia Pacific covers construction activities in Asia and Australia involving building, infrastructure and contract mining projects, and Hochtief Europe conducts construction projects in Europe and select regions worldwide, involving real estate and transport infrastructure, such as tunnels, bridges, airports, marine ports and sports stadiums. The Company operates a number of subsidiaries, notably Turner Construction Co., Flatiron Construction Corp., CIMIC Group Ltd., and Hochtief Infrastructure GmbH, It operates as a subsidiary of Actividades de Construccion y Servicios SA.</v>
    <v>63194</v>
    <v>Deutsche Boerse AG</v>
    <v>XFRA</v>
    <v>XFRA</v>
    <v>Alfredstrasse 236, ESSEN, NORDRHEIN-WESTFALEN, 45133 DE</v>
    <v>282.39999999999998</v>
    <v>Construction &amp; Engineering</v>
    <v>Stock</v>
    <v>45980.783333333333</v>
    <v>41</v>
    <v>281.60000000000002</v>
    <v>21961210000</v>
    <v>Hochtief AG</v>
    <v>Hochtief AG</v>
    <v>282.39999999999998</v>
    <v>24.893999999999998</v>
    <v>284.2</v>
    <v>281.8</v>
    <v>77711300</v>
    <v>HOT</v>
    <v>Hochtief AG (XFRA:HOT)</v>
    <v>30</v>
    <v>74940</v>
    <v>2001</v>
  </rv>
  <rv s="2">
    <v>42</v>
  </rv>
  <rv s="0">
    <v>https://www.bing.com/financeapi/forcetrigger?t=ahgr6h&amp;q=XNSE%3aADANIPORTS&amp;form=skydnc</v>
    <v>Learn more on Bing</v>
  </rv>
  <rv s="1">
    <v>en-IN</v>
    <v>ahgr6h</v>
    <v>268435456</v>
    <v>1</v>
    <v>Powered by Refinitiv</v>
    <v>0</v>
    <v>ADANI PORTS AND SPECIAL ECONOMIC ZONE LIMITED (XNSE:ADANIPORTS)</v>
    <v>2</v>
    <v>12</v>
    <v>Finance</v>
    <v>13</v>
    <v>1523.6</v>
    <v>995.65</v>
    <v>1.4608000000000001</v>
    <v>-10.8</v>
    <v>-7.2240000000000004E-3</v>
    <v>INR</v>
    <v>Adani Ports and Special Economic Zone Limited is an India-based integrated ports and logistics company. The Company's segments include port and special economic zone (SEZ) activities, and other. The port and SEZ activities segment, which includes developing, operating and maintaining the port services, port related infrastructure development activities and development of infrastructure in a contiguous special economic zone. The Other Segment mainly includes Aircraft Operating Income, Warehousing and transportation of food grains. Its presence across 13 domestic ports in seven maritime states of Gujarat, Maharashtra, Goa, Kerala, Andhra Pradesh, Tamil Nadu and Odisha. The ports are equipped to handle diverse cargos, from dry cargo, liquid cargo, and crude to containers. Its ports &amp; terminals include Gangavaram Port, Karaikal Port, Krishnapatnam Port, Mundra Port, Gopalpur Port, Tuna Terminal, Dahej Port, Hazira Port, Mormugao, Vizhinjam Port, among others.</v>
    <v>3118</v>
    <v>National Stock Exchange of India</v>
    <v>XNSE</v>
    <v>XNSE</v>
    <v>Adani Corporate House, Shantigram, Near Vaishno Devi Circle, S. G. Highway, Khodiyar, AHMEDABAD, GUJARAT, 382421 IN</v>
    <v>1499.5</v>
    <v>Transport Infrastructure</v>
    <v>Stock</v>
    <v>45980.492858796293</v>
    <v>44</v>
    <v>1478</v>
    <v>3229408000000</v>
    <v>ADANI PORTS AND SPECIAL ECONOMIC ZONE LIMITED</v>
    <v>ADANI PORTS AND SPECIAL ECONOMIC ZONE LIMITED</v>
    <v>1499</v>
    <v>27.01</v>
    <v>1495</v>
    <v>1484.2</v>
    <v>2160139000</v>
    <v>ADANIPORTS</v>
    <v>ADANI PORTS AND SPECIAL ECONOMIC ZONE LIMITED (XNSE:ADANIPORTS)</v>
    <v>1746304</v>
    <v>2476600</v>
    <v>1998</v>
  </rv>
  <rv s="2">
    <v>45</v>
  </rv>
  <rv s="0">
    <v>https://www.bing.com/financeapi/forcetrigger?t=a2d5gh&amp;q=OTCM%3aCRHCF&amp;form=skydnc</v>
    <v>Learn more on Bing</v>
  </rv>
  <rv s="1">
    <v>en-IN</v>
    <v>a2d5gh</v>
    <v>268435456</v>
    <v>1</v>
    <v>Powered by Refinitiv</v>
    <v>0</v>
    <v>CRH PUBLIC LIMITED COMPANY (XNYS:CRH)</v>
    <v>2</v>
    <v>3</v>
    <v>Finance</v>
    <v>4</v>
    <v>121.99</v>
    <v>76.75</v>
    <v>1.2143999999999999</v>
    <v>1.38</v>
    <v>1.2676E-2</v>
    <v>USD</v>
    <v>CRH PLC is an Ireland-based company. The Company manufactures and distributes a diverse range of superior building materials and products, which are used in construction projects of all sizes. It operates in three segments across two divisions. Its divisions include Americas and International. Its Americas Division comprises two segments: Americas Materials Solutions and Americas Building Solutions. Americas Materials Solutions provides building materials for the construction and maintenance of public infrastructure and commercial and residential buildings in North America. The primary materials produced by this segment include aggregates, cement, readymixed concrete and asphalt. Americas Building Solutions manufactures, supplies and delivers solutions for the built environment in communities across North America. Its International Division, which comprises one segment, International Solutions, is a provider of integrated building solutions primarily across Europe and Australia.</v>
    <v>79800</v>
    <v>New York Stock Exchange</v>
    <v>XNYS</v>
    <v>XNYS</v>
    <v>Stonemason's Way, Rathfarnham, DUBLIN, DUBLIN, D16 KH51 IE</v>
    <v>111.59</v>
    <v>Construction Materials</v>
    <v>Stock</v>
    <v>45980.794547812497</v>
    <v>47</v>
    <v>109.51</v>
    <v>73829121975</v>
    <v>CRH PUBLIC LIMITED COMPANY</v>
    <v>CRH PUBLIC LIMITED COMPANY</v>
    <v>110.46</v>
    <v>21.814800000000002</v>
    <v>108.87</v>
    <v>110.25</v>
    <v>669651900</v>
    <v>CRH</v>
    <v>CRH PUBLIC LIMITED COMPANY (XNYS:CRH)</v>
    <v>1738050</v>
    <v>3592895</v>
    <v>1949</v>
  </rv>
  <rv s="2">
    <v>48</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s>
</rvStructures>
</file>

<file path=xl/richData/rdsupportingpropertybag.xml><?xml version="1.0" encoding="utf-8"?>
<supportingPropertyBags xmlns="http://schemas.microsoft.com/office/spreadsheetml/2017/richdata2">
  <spbArrays count="4">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_SubLabel</v>
      <v t="s">Price</v>
      <v t="s">Exchange</v>
      <v t="s">Official name</v>
      <v t="s">Last trade time</v>
      <v t="s">Ticker symbol</v>
      <v t="s">Exchange abbreviation</v>
      <v t="s">Change</v>
      <v t="s">Currency</v>
      <v t="s">Previous close</v>
      <v t="s">Open</v>
      <v t="s">High</v>
      <v t="s">Low</v>
      <v t="s">52 week high</v>
      <v t="s">52 week low</v>
      <v t="s">Volume</v>
      <v t="s">P/E</v>
      <v t="s">Headquarters</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ExchangeID</v>
      <v t="s">%ProviderInfo</v>
    </a>
  </spbArrays>
  <spbData count="17">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3">
      <v>10</v>
      <v>2</v>
      <v>2</v>
      <v>10</v>
      <v>3</v>
      <v>10</v>
      <v>10</v>
      <v>10</v>
      <v>4</v>
      <v>4</v>
      <v>5</v>
      <v>11</v>
      <v>10</v>
      <v>10</v>
      <v>10</v>
      <v>4</v>
      <v>7</v>
      <v>8</v>
      <v>9</v>
      <v>4</v>
    </spb>
    <spb s="5">
      <v>Delayed 15 minutes</v>
      <v>from previous close</v>
      <v>from previous close</v>
      <v>GMT</v>
    </spb>
    <spb s="0">
      <v>1</v>
      <v>Name</v>
      <v>LearnMoreOnLink</v>
    </spb>
    <spb s="6">
      <v>1</v>
      <v>2</v>
      <v>1</v>
      <v>3</v>
      <v>1</v>
      <v>1</v>
      <v>1</v>
      <v>4</v>
      <v>1</v>
      <v>1</v>
      <v>1</v>
      <v>7</v>
      <v>9</v>
    </spb>
    <spb s="7">
      <v>Delayed 15 minutes</v>
      <v>from previous close</v>
      <v>GMT</v>
    </spb>
    <spb s="0">
      <v>2</v>
      <v>Name</v>
      <v>LearnMoreOnLink</v>
    </spb>
    <spb s="8">
      <v>10</v>
      <v>2</v>
      <v>2</v>
      <v>10</v>
      <v>3</v>
      <v>10</v>
      <v>10</v>
      <v>10</v>
      <v>4</v>
      <v>4</v>
      <v>5</v>
      <v>11</v>
      <v>10</v>
      <v>10</v>
      <v>10</v>
      <v>4</v>
      <v>7</v>
      <v>9</v>
      <v>4</v>
    </spb>
    <spb s="3">
      <v>12</v>
      <v>2</v>
      <v>2</v>
      <v>12</v>
      <v>3</v>
      <v>12</v>
      <v>12</v>
      <v>12</v>
      <v>4</v>
      <v>4</v>
      <v>5</v>
      <v>13</v>
      <v>12</v>
      <v>12</v>
      <v>12</v>
      <v>4</v>
      <v>7</v>
      <v>8</v>
      <v>9</v>
      <v>4</v>
    </spb>
    <spb s="5">
      <v>Delayed 5 minutes</v>
      <v>from previous close</v>
      <v>from previous close</v>
      <v>GMT</v>
    </spb>
    <spb s="9">
      <v>3</v>
      <v>Name</v>
    </spb>
    <spb s="10">
      <v>1</v>
      <v>1</v>
      <v>1</v>
    </spb>
    <spb s="3">
      <v>1</v>
      <v>2</v>
      <v>2</v>
      <v>1</v>
      <v>3</v>
      <v>1</v>
      <v>1</v>
      <v>1</v>
      <v>4</v>
      <v>4</v>
      <v>5</v>
      <v>14</v>
      <v>1</v>
      <v>1</v>
      <v>1</v>
      <v>4</v>
      <v>7</v>
      <v>8</v>
      <v>9</v>
      <v>4</v>
    </spb>
  </spbData>
</supportingPropertyBags>
</file>

<file path=xl/richData/rdsupportingpropertybagstructure.xml><?xml version="1.0" encoding="utf-8"?>
<spbStructures xmlns="http://schemas.microsoft.com/office/spreadsheetml/2017/richdata2" count="11">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rice" t="s"/>
    <k n="Change" t="s"/>
    <k n="Change (%)" t="s"/>
    <k n="Last trade time" t="s"/>
  </s>
  <s>
    <k n="Low" t="i"/>
    <k n="P/E" t="i"/>
    <k n="High" t="i"/>
    <k n="Name" t="i"/>
    <k n="Open" t="i"/>
    <k n="Price" t="i"/>
    <k n="Change" t="i"/>
    <k n="Volume" t="i"/>
    <k n="52 week low" t="i"/>
    <k n="52 week high" t="i"/>
    <k n="Previous close" t="i"/>
    <k n="Last trade time" t="i"/>
    <k n="`%EntityServiceId" t="i"/>
  </s>
  <s>
    <k n="Price" t="s"/>
    <k n="Change"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Order" t="spba"/>
    <k n="TitleProperty" t="s"/>
  </s>
  <s>
    <k n="ExchangeID" t="spb"/>
    <k n="UniqueName" t="spb"/>
    <k n="`%ProviderInfo"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_([$€-x-euro2] * #,##0.00_);_([$€-x-euro2] * (#,##0.00);_([$€-x-euro2] * "-"??_);_(@_)</rpv>
    </rSty>
    <rSty dxfid="1">
      <rpv i="0">_([$€-x-euro2] * #,##0_);_([$€-x-euro2] * (#,##0);_([$€-x-euro2] * "-"_);_(@_)</rpv>
    </rSty>
    <rSty dxfid="1">
      <rpv i="0" xml:space="preserve">_ [$₹-en-IN] * #,##0.00_ ;_ [$₹-en-IN] * -#,##0.00_ ;_ [$₹-en-IN] * "-"??_ ;_ @_ </rpv>
    </rSty>
    <rSty dxfid="1">
      <rpv i="0" xml:space="preserve">_ [$₹-en-IN] * #,##0_ ;_ [$₹-en-IN] * -#,##0_ ;_ [$₹-en-IN] * "-"_ ;_ @_ </rpv>
    </rSty>
    <rSty dxfid="1">
      <rpv i="0">_-* #,##0 [$kr-smj-SE]_-;-* #,##0 [$kr-smj-SE]_-;_-* "-" [$kr-smj-SE]_-;_-@_-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B8E08B-DB51-4DC9-9C21-E3F92A5E5B24}" name="Table1" displayName="Table1" ref="A2:F10" totalsRowShown="0" headerRowDxfId="278" dataDxfId="277">
  <autoFilter ref="A2:F10" xr:uid="{D6B8E08B-DB51-4DC9-9C21-E3F92A5E5B24}">
    <filterColumn colId="0" hiddenButton="1"/>
    <filterColumn colId="1" hiddenButton="1"/>
    <filterColumn colId="2" hiddenButton="1"/>
    <filterColumn colId="3" hiddenButton="1"/>
    <filterColumn colId="4" hiddenButton="1"/>
    <filterColumn colId="5" hiddenButton="1"/>
  </autoFilter>
  <tableColumns count="6">
    <tableColumn id="1" xr3:uid="{AC5C1DAF-0B5F-4D1E-822C-CD8F144186BC}" name="Particulars" dataDxfId="276"/>
    <tableColumn id="2" xr3:uid="{D10F28B5-A7F0-42B3-9C63-EB106E994B64}" name="2020" dataDxfId="275" dataCellStyle="Comma"/>
    <tableColumn id="3" xr3:uid="{AE12E0E2-169A-409D-929C-A2DC718223B9}" name="2021" dataDxfId="274" dataCellStyle="Comma"/>
    <tableColumn id="4" xr3:uid="{27F6128F-2BFD-4836-8B07-D82FB9D4CB9C}" name="2022" dataDxfId="273" dataCellStyle="Comma"/>
    <tableColumn id="5" xr3:uid="{179F8199-8D04-48BF-9432-05E6B1849536}" name="2023" dataDxfId="272" dataCellStyle="Comma"/>
    <tableColumn id="6" xr3:uid="{56249F9C-F037-4E20-85BA-A1C7D3316570}" name="2024" dataDxfId="271" dataCellStyle="Comma"/>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B9E918-F0FC-4CFB-A9B5-B9E56D1A36F6}" name="Table2" displayName="Table2" ref="A13:F22" totalsRowShown="0" headerRowDxfId="270" dataDxfId="269">
  <autoFilter ref="A13:F22" xr:uid="{CAB9E918-F0FC-4CFB-A9B5-B9E56D1A36F6}">
    <filterColumn colId="0" hiddenButton="1"/>
    <filterColumn colId="1" hiddenButton="1"/>
    <filterColumn colId="2" hiddenButton="1"/>
    <filterColumn colId="3" hiddenButton="1"/>
    <filterColumn colId="4" hiddenButton="1"/>
    <filterColumn colId="5" hiddenButton="1"/>
  </autoFilter>
  <tableColumns count="6">
    <tableColumn id="1" xr3:uid="{79438F38-2F64-4525-A7B2-D319D7AD1949}" name="Particulars" dataDxfId="268"/>
    <tableColumn id="2" xr3:uid="{7D17C8F9-C5BC-4B2D-8D5F-7C1D2FF288BF}" name="2020" dataDxfId="267" dataCellStyle="Comma"/>
    <tableColumn id="3" xr3:uid="{C8F3977E-C76D-4023-A7E2-FA31BFED568C}" name="2021" dataDxfId="266" dataCellStyle="Comma"/>
    <tableColumn id="4" xr3:uid="{6B366EF8-DB9A-4D84-8D0F-2A308D117861}" name="2022" dataDxfId="265" dataCellStyle="Comma"/>
    <tableColumn id="5" xr3:uid="{177E2D70-8EC9-4E7F-9408-9F12C981E901}" name="2023" dataDxfId="264" dataCellStyle="Comma"/>
    <tableColumn id="6" xr3:uid="{17F06CC5-8AD8-43F4-B14A-C2DAB9B9F9FF}" name="2024" dataDxfId="263" dataCellStyle="Comma"/>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6853DF-105A-47CA-9F28-D530614B20FF}" name="Table3" displayName="Table3" ref="A25:F29" totalsRowShown="0" headerRowDxfId="262" dataDxfId="261">
  <autoFilter ref="A25:F29" xr:uid="{676853DF-105A-47CA-9F28-D530614B20FF}">
    <filterColumn colId="0" hiddenButton="1"/>
    <filterColumn colId="1" hiddenButton="1"/>
    <filterColumn colId="2" hiddenButton="1"/>
    <filterColumn colId="3" hiddenButton="1"/>
    <filterColumn colId="4" hiddenButton="1"/>
    <filterColumn colId="5" hiddenButton="1"/>
  </autoFilter>
  <tableColumns count="6">
    <tableColumn id="1" xr3:uid="{26C4B004-769E-469F-9CF5-9765DC03BD5C}" name="Particulars" dataDxfId="260"/>
    <tableColumn id="2" xr3:uid="{E799D665-2012-473B-81B4-023D4FA81B30}" name="2020" dataDxfId="259" dataCellStyle="Comma"/>
    <tableColumn id="3" xr3:uid="{D32AD9A5-49B5-4FF7-9F70-C313C6A2A9F4}" name="2021" dataDxfId="258" dataCellStyle="Comma"/>
    <tableColumn id="4" xr3:uid="{562BC85C-062C-4240-A9BB-0B3D1CAA73B2}" name="2022" dataDxfId="257" dataCellStyle="Comma"/>
    <tableColumn id="5" xr3:uid="{95BD509D-C7FC-4FA1-8902-0100A2B706D1}" name="2023" dataDxfId="256" dataCellStyle="Comma"/>
    <tableColumn id="6" xr3:uid="{110B3DFB-52BB-4076-983C-F4D0A507B9B1}" name="2024" dataDxfId="255" dataCellStyle="Comma"/>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F70EB0-CE50-44D9-A82E-AF6A2115D98C}" name="Table18" displayName="Table18" ref="H2:M10" totalsRowShown="0" headerRowDxfId="254" dataDxfId="253">
  <autoFilter ref="H2:M10" xr:uid="{01F70EB0-CE50-44D9-A82E-AF6A2115D98C}">
    <filterColumn colId="0" hiddenButton="1"/>
    <filterColumn colId="1" hiddenButton="1"/>
    <filterColumn colId="2" hiddenButton="1"/>
    <filterColumn colId="3" hiddenButton="1"/>
    <filterColumn colId="4" hiddenButton="1"/>
    <filterColumn colId="5" hiddenButton="1"/>
  </autoFilter>
  <tableColumns count="6">
    <tableColumn id="1" xr3:uid="{14AC111D-CCBE-4EF0-B755-B8F0E7AF3F98}" name="Particulars" dataDxfId="252"/>
    <tableColumn id="2" xr3:uid="{BD343939-BA97-466E-84F9-12AD77BE0FA0}" name="2020" dataDxfId="251" dataCellStyle="Comma"/>
    <tableColumn id="3" xr3:uid="{3DCE6E30-DCDB-4361-9771-2262C988D446}" name="2021" dataDxfId="250" dataCellStyle="Comma"/>
    <tableColumn id="4" xr3:uid="{AC0A1795-306F-4A68-91FD-7C573ABA7A35}" name="2022" dataDxfId="249" dataCellStyle="Comma"/>
    <tableColumn id="5" xr3:uid="{640D64DB-64B0-466C-8400-A4FF07F5656B}" name="2023" dataDxfId="248" dataCellStyle="Comma"/>
    <tableColumn id="6" xr3:uid="{363B2EED-5F32-401C-A8B5-DAE212147379}" name="2024" dataDxfId="247" dataCellStyle="Comma"/>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B4FEEB-17B3-404F-82FB-F3B8D2641AD5}" name="Table29" displayName="Table29" ref="H13:M22" totalsRowShown="0" headerRowDxfId="246" dataDxfId="245">
  <autoFilter ref="H13:M22" xr:uid="{5FB4FEEB-17B3-404F-82FB-F3B8D2641AD5}">
    <filterColumn colId="0" hiddenButton="1"/>
    <filterColumn colId="1" hiddenButton="1"/>
    <filterColumn colId="2" hiddenButton="1"/>
    <filterColumn colId="3" hiddenButton="1"/>
    <filterColumn colId="4" hiddenButton="1"/>
    <filterColumn colId="5" hiddenButton="1"/>
  </autoFilter>
  <tableColumns count="6">
    <tableColumn id="1" xr3:uid="{E001FA24-1F58-4BD4-AA41-BE7248A83A14}" name="Particulars" dataDxfId="244"/>
    <tableColumn id="2" xr3:uid="{578C3F2D-05AE-4E35-BA8C-6EE92EC8C21F}" name="2020" dataDxfId="243" dataCellStyle="Comma"/>
    <tableColumn id="3" xr3:uid="{8C64FCC7-9378-4CAE-AF90-6D5389B501A7}" name="2021" dataDxfId="242" dataCellStyle="Comma"/>
    <tableColumn id="4" xr3:uid="{C72ED17D-1B41-46ED-8E08-B816B51041B3}" name="2022" dataDxfId="241" dataCellStyle="Comma"/>
    <tableColumn id="5" xr3:uid="{3EB145D5-BF79-475B-988B-25B71B7257D4}" name="2023" dataDxfId="240" dataCellStyle="Comma"/>
    <tableColumn id="6" xr3:uid="{2685889C-46FE-4362-AC9E-04C159312E92}" name="2024" dataDxfId="239" dataCellStyle="Comma"/>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E6B7CF-EA54-4F5F-B0A1-1B314B7BC078}" name="Table310" displayName="Table310" ref="H25:M29" totalsRowShown="0" headerRowDxfId="238" dataDxfId="237">
  <autoFilter ref="H25:M29" xr:uid="{5BE6B7CF-EA54-4F5F-B0A1-1B314B7BC078}">
    <filterColumn colId="0" hiddenButton="1"/>
    <filterColumn colId="1" hiddenButton="1"/>
    <filterColumn colId="2" hiddenButton="1"/>
    <filterColumn colId="3" hiddenButton="1"/>
    <filterColumn colId="4" hiddenButton="1"/>
    <filterColumn colId="5" hiddenButton="1"/>
  </autoFilter>
  <tableColumns count="6">
    <tableColumn id="1" xr3:uid="{7DF7BF23-DAE0-4BEA-BB8D-591450996C87}" name="Particulars" dataDxfId="236"/>
    <tableColumn id="2" xr3:uid="{23829F6D-B03B-4E84-8A97-4505F6E67ECB}" name="2020" dataDxfId="235" dataCellStyle="Comma"/>
    <tableColumn id="3" xr3:uid="{13988FA9-E389-41E4-94E3-9A5B9A2EC38A}" name="2021" dataDxfId="234" dataCellStyle="Comma"/>
    <tableColumn id="4" xr3:uid="{3C3B3E83-4CAA-451F-B6E8-A10D2B24F4B0}" name="2022" dataDxfId="233" dataCellStyle="Comma"/>
    <tableColumn id="5" xr3:uid="{47864796-6491-4B36-A80A-6BE97F60DA09}" name="2023" dataDxfId="232" dataCellStyle="Comma"/>
    <tableColumn id="6" xr3:uid="{CC542097-EAEC-43DC-B560-7A992CE9BAD8}" name="2024" dataDxfId="231" dataCellStyle="Comma"/>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CD83FB8-04F7-4A09-976D-A2CB8E41E1CD}" name="Table110" displayName="Table110" ref="O2:T10" totalsRowShown="0" headerRowDxfId="230" dataDxfId="229">
  <autoFilter ref="O2:T10" xr:uid="{5CD83FB8-04F7-4A09-976D-A2CB8E41E1CD}">
    <filterColumn colId="0" hiddenButton="1"/>
    <filterColumn colId="1" hiddenButton="1"/>
    <filterColumn colId="2" hiddenButton="1"/>
    <filterColumn colId="3" hiddenButton="1"/>
    <filterColumn colId="4" hiddenButton="1"/>
    <filterColumn colId="5" hiddenButton="1"/>
  </autoFilter>
  <tableColumns count="6">
    <tableColumn id="1" xr3:uid="{0B038F8E-DA8E-4B61-B2E2-210EEEC250AB}" name="Particulars" dataDxfId="228"/>
    <tableColumn id="2" xr3:uid="{C6CEFB7B-3780-4323-AF4D-8D171E42A4D0}" name="2020" dataDxfId="227" dataCellStyle="Comma"/>
    <tableColumn id="3" xr3:uid="{92CA52B4-84BB-4504-B59A-B7705FAD1981}" name="2021" dataDxfId="226" dataCellStyle="Comma"/>
    <tableColumn id="4" xr3:uid="{A429145D-2B10-4322-A6CA-5C75A3694258}" name="2022" dataDxfId="225" dataCellStyle="Comma"/>
    <tableColumn id="5" xr3:uid="{7A8EA5E3-09F2-4B0D-8736-2CF2035BA994}" name="2023" dataDxfId="224" dataCellStyle="Comma"/>
    <tableColumn id="6" xr3:uid="{8EC9D8E0-3C6B-4B4C-82CB-44941A0027A8}" name="2024" dataDxfId="223" dataCellStyle="Comma"/>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D17B265-4132-4A0F-9A7E-2C1DFF530790}" name="Table211" displayName="Table211" ref="O13:T22" totalsRowShown="0" headerRowDxfId="222" dataDxfId="221">
  <autoFilter ref="O13:T22" xr:uid="{9D17B265-4132-4A0F-9A7E-2C1DFF530790}">
    <filterColumn colId="0" hiddenButton="1"/>
    <filterColumn colId="1" hiddenButton="1"/>
    <filterColumn colId="2" hiddenButton="1"/>
    <filterColumn colId="3" hiddenButton="1"/>
    <filterColumn colId="4" hiddenButton="1"/>
    <filterColumn colId="5" hiddenButton="1"/>
  </autoFilter>
  <tableColumns count="6">
    <tableColumn id="1" xr3:uid="{B761860D-4850-40EE-890D-017F854D70FF}" name="Particulars" dataDxfId="220"/>
    <tableColumn id="2" xr3:uid="{80B3D3D2-378B-48D5-9413-3DDA7358323C}" name="2020" dataDxfId="219" dataCellStyle="Comma"/>
    <tableColumn id="3" xr3:uid="{AB4A1099-84EE-4B1C-8114-72E36273CA5F}" name="2021" dataDxfId="218" dataCellStyle="Comma"/>
    <tableColumn id="4" xr3:uid="{9D573D02-7D34-47E1-A45C-E0C2C5583190}" name="2022" dataDxfId="217" dataCellStyle="Comma"/>
    <tableColumn id="5" xr3:uid="{C6C47663-FE4F-4646-AF4E-579B6D9F4FA5}" name="2023" dataDxfId="216" dataCellStyle="Comma"/>
    <tableColumn id="6" xr3:uid="{02DA47A0-8C4C-46DE-8CB0-58B79E91AA69}" name="2024" dataDxfId="215" dataCellStyle="Comma"/>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2AF268F-25DA-4E64-9AE4-48777F6A62DC}" name="Table312" displayName="Table312" ref="O25:T29" totalsRowShown="0" headerRowDxfId="214" dataDxfId="213">
  <autoFilter ref="O25:T29" xr:uid="{F2AF268F-25DA-4E64-9AE4-48777F6A62DC}">
    <filterColumn colId="0" hiddenButton="1"/>
    <filterColumn colId="1" hiddenButton="1"/>
    <filterColumn colId="2" hiddenButton="1"/>
    <filterColumn colId="3" hiddenButton="1"/>
    <filterColumn colId="4" hiddenButton="1"/>
    <filterColumn colId="5" hiddenButton="1"/>
  </autoFilter>
  <tableColumns count="6">
    <tableColumn id="1" xr3:uid="{9F0765B4-B809-4CE8-8F52-4E9FD52DEA45}" name="Particulars" dataDxfId="212"/>
    <tableColumn id="2" xr3:uid="{F5C183B1-60E3-4D46-AA52-BAD4E43ADC2B}" name="2020" dataDxfId="211" dataCellStyle="Comma"/>
    <tableColumn id="3" xr3:uid="{CBA10CCA-3DD7-427B-998D-C871BF51C98E}" name="2021" dataDxfId="210" dataCellStyle="Comma"/>
    <tableColumn id="4" xr3:uid="{C0BC0496-2E39-480D-B186-480319C89268}" name="2022" dataDxfId="209" dataCellStyle="Comma"/>
    <tableColumn id="5" xr3:uid="{C80A1058-6F5D-46B8-946F-52988C37DBEB}" name="2023" dataDxfId="208" dataCellStyle="Comma"/>
    <tableColumn id="6" xr3:uid="{0D17C7B5-FE89-4B5B-9F50-CB9094492AE1}" name="2024" dataDxfId="207" dataCellStyle="Comma"/>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D8D018-0E50-43A9-AA3B-2E13A0AD366F}" name="Table1813" displayName="Table1813" ref="W2:AB10" totalsRowShown="0" headerRowDxfId="206" dataDxfId="205">
  <autoFilter ref="W2:AB10" xr:uid="{6DD8D018-0E50-43A9-AA3B-2E13A0AD366F}">
    <filterColumn colId="0" hiddenButton="1"/>
    <filterColumn colId="1" hiddenButton="1"/>
    <filterColumn colId="2" hiddenButton="1"/>
    <filterColumn colId="3" hiddenButton="1"/>
    <filterColumn colId="4" hiddenButton="1"/>
    <filterColumn colId="5" hiddenButton="1"/>
  </autoFilter>
  <tableColumns count="6">
    <tableColumn id="1" xr3:uid="{11534059-6E10-46D4-9E5F-ECFFBF04878D}" name="Particulars" dataDxfId="204"/>
    <tableColumn id="2" xr3:uid="{15C87D3F-F9BC-4F89-85C6-6CAF08A4ED52}" name="2020" dataDxfId="203" dataCellStyle="Comma"/>
    <tableColumn id="3" xr3:uid="{98D6FE61-7EB1-4682-98E2-298917574710}" name="2021" dataDxfId="202" dataCellStyle="Comma"/>
    <tableColumn id="4" xr3:uid="{833FF2F0-52CA-4244-8DEB-313E348A810E}" name="2022" dataDxfId="201" dataCellStyle="Comma"/>
    <tableColumn id="5" xr3:uid="{38000136-DBA0-4A28-8ECC-6EE60843D948}" name="2023" dataDxfId="200" dataCellStyle="Comma"/>
    <tableColumn id="6" xr3:uid="{04E16F8D-7966-4A09-98E1-249B7B320A8E}" name="2024" dataDxfId="199" dataCellStyle="Comma"/>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08FE36C-F773-4E21-A820-4CE883785574}" name="Table2921" displayName="Table2921" ref="W13:AB22" totalsRowShown="0" headerRowDxfId="198" dataDxfId="197">
  <autoFilter ref="W13:AB22" xr:uid="{E08FE36C-F773-4E21-A820-4CE883785574}">
    <filterColumn colId="0" hiddenButton="1"/>
    <filterColumn colId="1" hiddenButton="1"/>
    <filterColumn colId="2" hiddenButton="1"/>
    <filterColumn colId="3" hiddenButton="1"/>
    <filterColumn colId="4" hiddenButton="1"/>
    <filterColumn colId="5" hiddenButton="1"/>
  </autoFilter>
  <tableColumns count="6">
    <tableColumn id="1" xr3:uid="{56608ACB-9BFF-4145-86DC-5ECBD2B99AFF}" name="Particulars" dataDxfId="196"/>
    <tableColumn id="2" xr3:uid="{8EC9FCBE-BF07-4082-926D-13713EFDCB50}" name="2020" dataDxfId="195" dataCellStyle="Comma"/>
    <tableColumn id="3" xr3:uid="{E7A91B90-9BEC-494B-B5A4-22F434EC39F2}" name="2021" dataDxfId="194" dataCellStyle="Comma"/>
    <tableColumn id="4" xr3:uid="{483C3B23-12D1-411B-A6A8-BB193708F725}" name="2022" dataDxfId="193" dataCellStyle="Comma"/>
    <tableColumn id="5" xr3:uid="{35DC3E1E-828E-4A9D-8DAC-01F3C78302AC}" name="2023" dataDxfId="192" dataCellStyle="Comma"/>
    <tableColumn id="6" xr3:uid="{75182631-2952-4B22-B4B7-34297F88F18A}" name="2024" dataDxfId="191" dataCellStyle="Comma"/>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B03A639-0211-4FA8-BC4A-FA200A11475F}" name="Table31022" displayName="Table31022" ref="W25:AB29" totalsRowShown="0" headerRowDxfId="190" dataDxfId="189">
  <autoFilter ref="W25:AB29" xr:uid="{5B03A639-0211-4FA8-BC4A-FA200A11475F}">
    <filterColumn colId="0" hiddenButton="1"/>
    <filterColumn colId="1" hiddenButton="1"/>
    <filterColumn colId="2" hiddenButton="1"/>
    <filterColumn colId="3" hiddenButton="1"/>
    <filterColumn colId="4" hiddenButton="1"/>
    <filterColumn colId="5" hiddenButton="1"/>
  </autoFilter>
  <tableColumns count="6">
    <tableColumn id="1" xr3:uid="{23D6B55E-2521-4CEE-A429-E0BA5A8CEFB4}" name="Particulars" dataDxfId="188"/>
    <tableColumn id="2" xr3:uid="{91AD30BA-8C52-4967-BF99-DDB013509D71}" name="2020" dataDxfId="187" dataCellStyle="Comma"/>
    <tableColumn id="3" xr3:uid="{936BE4C3-1748-4523-B1B1-85EFC1078C61}" name="2021" dataDxfId="186" dataCellStyle="Comma"/>
    <tableColumn id="4" xr3:uid="{FFEA1D9B-8E4F-45FE-A3F6-BED77A4F33FD}" name="2022" dataDxfId="185" dataCellStyle="Comma"/>
    <tableColumn id="5" xr3:uid="{1F259F1C-3602-4D1D-AEC3-85B9BFC775E4}" name="2023" dataDxfId="184" dataCellStyle="Comma"/>
    <tableColumn id="6" xr3:uid="{CEEA6DC8-1304-4CF9-A12B-F0B824CDC51D}" name="2024" dataDxfId="183" dataCellStyle="Comma"/>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967006D-3364-4430-BFB2-618787FF2A4A}" name="Table181323" displayName="Table181323" ref="AE2:AJ10" totalsRowShown="0" headerRowDxfId="182" dataDxfId="181">
  <autoFilter ref="AE2:AJ10" xr:uid="{6967006D-3364-4430-BFB2-618787FF2A4A}">
    <filterColumn colId="0" hiddenButton="1"/>
    <filterColumn colId="1" hiddenButton="1"/>
    <filterColumn colId="2" hiddenButton="1"/>
    <filterColumn colId="3" hiddenButton="1"/>
    <filterColumn colId="4" hiddenButton="1"/>
    <filterColumn colId="5" hiddenButton="1"/>
  </autoFilter>
  <tableColumns count="6">
    <tableColumn id="1" xr3:uid="{F39B8812-5527-4310-A6B1-F1414FAB6B14}" name="Particulars" dataDxfId="180"/>
    <tableColumn id="2" xr3:uid="{A63A6330-3AB3-4CB0-B1DF-93518B902CC8}" name="2020" dataDxfId="179" dataCellStyle="Comma"/>
    <tableColumn id="3" xr3:uid="{48BA7437-49EA-41DA-96A7-3FDFD9EDE947}" name="2021" dataDxfId="178" dataCellStyle="Comma"/>
    <tableColumn id="4" xr3:uid="{2FF44ED7-9652-4F39-B4A2-AD5185E91865}" name="2022" dataDxfId="177" dataCellStyle="Comma"/>
    <tableColumn id="5" xr3:uid="{414BFE65-F844-424A-BD0E-ABBEDCB42BC2}" name="2023" dataDxfId="176" dataCellStyle="Comma"/>
    <tableColumn id="6" xr3:uid="{F783474B-032A-48B1-8975-BA0C4D0ADC7B}" name="2024" dataDxfId="175" dataCellStyle="Comma"/>
  </tableColumns>
  <tableStyleInfo name="TableStyleMedium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68114DE-F1D8-44C8-A703-2D0332AF24A2}" name="Table292124" displayName="Table292124" ref="AE13:AJ22" totalsRowShown="0" headerRowDxfId="174" dataDxfId="173">
  <autoFilter ref="AE13:AJ22" xr:uid="{D68114DE-F1D8-44C8-A703-2D0332AF24A2}">
    <filterColumn colId="0" hiddenButton="1"/>
    <filterColumn colId="1" hiddenButton="1"/>
    <filterColumn colId="2" hiddenButton="1"/>
    <filterColumn colId="3" hiddenButton="1"/>
    <filterColumn colId="4" hiddenButton="1"/>
    <filterColumn colId="5" hiddenButton="1"/>
  </autoFilter>
  <tableColumns count="6">
    <tableColumn id="1" xr3:uid="{0E3DF19E-D98B-49EE-8BCF-70E5A8E2EB24}" name="Particulars" dataDxfId="172"/>
    <tableColumn id="2" xr3:uid="{48B091E8-F18C-4659-9251-A49A9CDD78F3}" name="2020" dataDxfId="171" dataCellStyle="Comma"/>
    <tableColumn id="3" xr3:uid="{C65B8DC8-E1F3-4BA6-9E8B-98B33EDDECE9}" name="2021" dataDxfId="170" dataCellStyle="Comma"/>
    <tableColumn id="4" xr3:uid="{50AE0471-AAEF-4DA5-9EBF-3A0EF42F2FA6}" name="2022" dataDxfId="169" dataCellStyle="Comma"/>
    <tableColumn id="5" xr3:uid="{F8FA3D72-D404-4A6A-948F-E7F98205D346}" name="2023" dataDxfId="168" dataCellStyle="Comma"/>
    <tableColumn id="6" xr3:uid="{8FAC89AC-2BB4-48C4-B1D4-60D1A3A0D338}" name="2024" dataDxfId="167" dataCellStyle="Comma"/>
  </tableColumns>
  <tableStyleInfo name="TableStyleMedium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F76C644-0526-4CA0-B034-FB4B9F6330C4}" name="Table3102225" displayName="Table3102225" ref="AE25:AJ29" totalsRowShown="0" headerRowDxfId="166" dataDxfId="165">
  <autoFilter ref="AE25:AJ29" xr:uid="{EF76C644-0526-4CA0-B034-FB4B9F6330C4}">
    <filterColumn colId="0" hiddenButton="1"/>
    <filterColumn colId="1" hiddenButton="1"/>
    <filterColumn colId="2" hiddenButton="1"/>
    <filterColumn colId="3" hiddenButton="1"/>
    <filterColumn colId="4" hiddenButton="1"/>
    <filterColumn colId="5" hiddenButton="1"/>
  </autoFilter>
  <tableColumns count="6">
    <tableColumn id="1" xr3:uid="{49453399-3670-4A70-96AB-4CC92FC3085A}" name="Particulars" dataDxfId="164"/>
    <tableColumn id="2" xr3:uid="{A7F14438-4A4A-43A6-B6C7-606DB96D6823}" name="2020" dataDxfId="163" dataCellStyle="Comma"/>
    <tableColumn id="3" xr3:uid="{6BB3028E-1F7B-42EA-A21F-03B3323CD7BF}" name="2021" dataDxfId="162" dataCellStyle="Comma"/>
    <tableColumn id="4" xr3:uid="{7A343C5A-D3B7-45AD-9047-9A12ECCFC750}" name="2022" dataDxfId="161" dataCellStyle="Comma"/>
    <tableColumn id="5" xr3:uid="{FD23C1DA-4A44-49A1-841C-71A71A55A938}" name="2023" dataDxfId="160" dataCellStyle="Comma"/>
    <tableColumn id="6" xr3:uid="{5B2922C6-5850-422B-997C-96280DBE7879}" name="2024" dataDxfId="159" dataCellStyle="Comma"/>
  </tableColumns>
  <tableStyleInfo name="TableStyleMedium1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106B9B8-A3E9-4887-A0F5-38BDBADFC551}" name="Table11" displayName="Table11" ref="O32:T35" totalsRowShown="0" headerRowDxfId="43" dataDxfId="44">
  <autoFilter ref="O32:T35" xr:uid="{9106B9B8-A3E9-4887-A0F5-38BDBADFC551}">
    <filterColumn colId="0" hiddenButton="1"/>
    <filterColumn colId="1" hiddenButton="1"/>
    <filterColumn colId="2" hiddenButton="1"/>
    <filterColumn colId="3" hiddenButton="1"/>
    <filterColumn colId="4" hiddenButton="1"/>
    <filterColumn colId="5" hiddenButton="1"/>
  </autoFilter>
  <tableColumns count="6">
    <tableColumn id="1" xr3:uid="{C5949770-E4C6-4167-A304-DBFC1E9B860E}" name="Particulars" dataDxfId="50"/>
    <tableColumn id="2" xr3:uid="{4C09AE96-7720-4687-A69F-04F4510CA66B}" name="2020" dataDxfId="49"/>
    <tableColumn id="3" xr3:uid="{7FCC795E-3962-428E-A04F-7DA1489188B8}" name="2021" dataDxfId="48"/>
    <tableColumn id="4" xr3:uid="{7EA98A92-5EFF-41CD-BDE8-4A1366530A31}" name="2022" dataDxfId="47"/>
    <tableColumn id="5" xr3:uid="{2B1FFEBF-B274-43F5-8558-27BACA85FD71}" name="2023" dataDxfId="46"/>
    <tableColumn id="6" xr3:uid="{DF019624-743D-4F25-B66F-7FC182F9D4FA}" name="2024" dataDxfId="45"/>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FFC7C93-1642-4638-A05A-E0C178F52E23}" name="Table20" displayName="Table20" ref="O37:U40" totalsRowShown="0" headerRowDxfId="34" dataDxfId="35">
  <autoFilter ref="O37:U40" xr:uid="{6FFC7C93-1642-4638-A05A-E0C178F52E2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E707D8B-B1E0-408B-BD0C-61BB22EBB68F}" name="Particulars" dataDxfId="42"/>
    <tableColumn id="2" xr3:uid="{D4FF833C-2455-4B47-ADFE-A1DFD022D305}" name="2025" dataDxfId="41">
      <calculatedColumnFormula>DCF!R3</calculatedColumnFormula>
    </tableColumn>
    <tableColumn id="3" xr3:uid="{CF616B5C-B9E0-4493-9C18-C649F5750235}" name="2026" dataDxfId="40">
      <calculatedColumnFormula>DCF!S3</calculatedColumnFormula>
    </tableColumn>
    <tableColumn id="4" xr3:uid="{4BB1EA6B-81B6-4C2F-A646-31720CBB3B23}" name="2027" dataDxfId="39">
      <calculatedColumnFormula>DCF!T3</calculatedColumnFormula>
    </tableColumn>
    <tableColumn id="5" xr3:uid="{9B62C0D1-FEBC-41AE-BA72-7F16BE871FD4}" name="2028" dataDxfId="38">
      <calculatedColumnFormula>DCF!U3</calculatedColumnFormula>
    </tableColumn>
    <tableColumn id="6" xr3:uid="{97AF06D1-0DC6-4028-8977-59B93ADB76BA}" name="2029" dataDxfId="37">
      <calculatedColumnFormula>DCF!V3</calculatedColumnFormula>
    </tableColumn>
    <tableColumn id="7" xr3:uid="{E3288140-949B-43CC-8FD8-98442F0ED71A}" name="2030" dataDxfId="36">
      <calculatedColumnFormula>DCF!W3</calculatedColumnFormula>
    </tableColumn>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DA045F9-F8D7-4B32-AF01-5DBE0C53DE4C}" name="Table1132" displayName="Table1132" ref="W32:AB35" totalsRowShown="0" headerRowDxfId="33" dataDxfId="32">
  <autoFilter ref="W32:AB35" xr:uid="{8DA045F9-F8D7-4B32-AF01-5DBE0C53DE4C}">
    <filterColumn colId="0" hiddenButton="1"/>
    <filterColumn colId="1" hiddenButton="1"/>
    <filterColumn colId="2" hiddenButton="1"/>
    <filterColumn colId="3" hiddenButton="1"/>
    <filterColumn colId="4" hiddenButton="1"/>
    <filterColumn colId="5" hiddenButton="1"/>
  </autoFilter>
  <tableColumns count="6">
    <tableColumn id="1" xr3:uid="{EC37B132-650D-42BB-98ED-EB881B1B4FA9}" name="Particulars" dataDxfId="31"/>
    <tableColumn id="2" xr3:uid="{48D0F8C3-DB29-43B1-9B23-43D82383D8E4}" name="2020" dataDxfId="30"/>
    <tableColumn id="3" xr3:uid="{E17BE860-F591-4E8A-B632-E57F844D29B4}" name="2021" dataDxfId="29"/>
    <tableColumn id="4" xr3:uid="{A3537DF0-1A78-47F5-A541-32E6699FBD14}" name="2022" dataDxfId="28"/>
    <tableColumn id="5" xr3:uid="{A051C9A9-8D4B-4234-9F9B-ACB13D9BA57A}" name="2023" dataDxfId="27"/>
    <tableColumn id="6" xr3:uid="{6EE5F1B6-A6BC-4841-BC39-21D66C8DA21A}" name="2024" dataDxfId="26"/>
  </tableColumns>
  <tableStyleInfo name="TableStyleMedium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7588114-BD21-4229-89FD-C7F7D4C8F45E}" name="Table2033" displayName="Table2033" ref="W37:AC40" totalsRowShown="0" headerRowDxfId="25" dataDxfId="24">
  <autoFilter ref="W37:AC40" xr:uid="{17588114-BD21-4229-89FD-C7F7D4C8F4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E6BFE99-AA2C-4FB2-ADA4-C6A83A712005}" name="Particulars" dataDxfId="23"/>
    <tableColumn id="2" xr3:uid="{B25EE229-F1C3-4296-86AF-F828B7CEA061}" name="2025" dataDxfId="22">
      <calculatedColumnFormula>DCF!Z3</calculatedColumnFormula>
    </tableColumn>
    <tableColumn id="3" xr3:uid="{56748401-D31D-44CA-BCE5-3E9C6C0ABF77}" name="2026" dataDxfId="21">
      <calculatedColumnFormula>DCF!AA3</calculatedColumnFormula>
    </tableColumn>
    <tableColumn id="4" xr3:uid="{92C55FD9-C6AC-4C1A-AF3E-A642F92381E6}" name="2027" dataDxfId="20">
      <calculatedColumnFormula>DCF!AB3</calculatedColumnFormula>
    </tableColumn>
    <tableColumn id="5" xr3:uid="{94105036-B3CD-47F5-B0F0-0FACC7AF7E3E}" name="2028" dataDxfId="19">
      <calculatedColumnFormula>DCF!AC3</calculatedColumnFormula>
    </tableColumn>
    <tableColumn id="6" xr3:uid="{6699BFA5-B971-4E35-900F-B40EEE6CB3A3}" name="2029" dataDxfId="18">
      <calculatedColumnFormula>DCF!AD3</calculatedColumnFormula>
    </tableColumn>
    <tableColumn id="7" xr3:uid="{3A3F5A7F-8866-4910-9693-1C9DDF8B0BE9}" name="2030" dataDxfId="17">
      <calculatedColumnFormula>DCF!AE3</calculatedColumnFormula>
    </tableColumn>
  </tableColumns>
  <tableStyleInfo name="TableStyleMedium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E4CACB4-13D7-4020-85F2-F7176A350490}" name="Table1134" displayName="Table1134" ref="AE32:AJ35" totalsRowShown="0" headerRowDxfId="16" dataDxfId="15">
  <autoFilter ref="AE32:AJ35" xr:uid="{6E4CACB4-13D7-4020-85F2-F7176A350490}">
    <filterColumn colId="0" hiddenButton="1"/>
    <filterColumn colId="1" hiddenButton="1"/>
    <filterColumn colId="2" hiddenButton="1"/>
    <filterColumn colId="3" hiddenButton="1"/>
    <filterColumn colId="4" hiddenButton="1"/>
    <filterColumn colId="5" hiddenButton="1"/>
  </autoFilter>
  <tableColumns count="6">
    <tableColumn id="1" xr3:uid="{70E83D38-B994-4D3A-BFF8-93FC42ECFBC5}" name="Particulars" dataDxfId="14"/>
    <tableColumn id="2" xr3:uid="{051DCBF6-8917-482F-A2A7-07ED3B0235D0}" name="2020" dataDxfId="13"/>
    <tableColumn id="3" xr3:uid="{B6CB95F9-54F5-471B-9396-CE35EDB3C4FF}" name="2021" dataDxfId="12"/>
    <tableColumn id="4" xr3:uid="{9E2F746B-1C98-49B5-A862-697EA2D7B10B}" name="2022" dataDxfId="11"/>
    <tableColumn id="5" xr3:uid="{9C6CE963-91D2-4571-8D12-1AD68954066E}" name="2023" dataDxfId="10"/>
    <tableColumn id="6" xr3:uid="{5C0F8111-8823-4F3C-B7CE-13C17A933F25}" name="2024" dataDxfId="9"/>
  </tableColumns>
  <tableStyleInfo name="TableStyleMedium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0465CC5-DD5F-488A-A22B-321247499BBE}" name="Table2035" displayName="Table2035" ref="AE37:AK40" totalsRowShown="0" headerRowDxfId="8" dataDxfId="7">
  <autoFilter ref="AE37:AK40" xr:uid="{50465CC5-DD5F-488A-A22B-321247499BB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E9FBDF-184E-46B8-B1AE-48E13A8CA275}" name="Particulars" dataDxfId="6"/>
    <tableColumn id="2" xr3:uid="{D3252EA3-A50F-455E-B337-7CF5B4D7AC7F}" name="2025" dataDxfId="5">
      <calculatedColumnFormula>DCF!AH3</calculatedColumnFormula>
    </tableColumn>
    <tableColumn id="3" xr3:uid="{B903BDD8-BE9F-4EED-9138-1401D8059D3B}" name="2026" dataDxfId="4">
      <calculatedColumnFormula>DCF!AI3</calculatedColumnFormula>
    </tableColumn>
    <tableColumn id="4" xr3:uid="{93F85FB2-CC2D-487A-8286-E1765F113FFB}" name="2027" dataDxfId="3">
      <calculatedColumnFormula>DCF!AJ3</calculatedColumnFormula>
    </tableColumn>
    <tableColumn id="5" xr3:uid="{71F5FC11-EABC-49D3-BCEC-B0B2C068FBE3}" name="2028" dataDxfId="2">
      <calculatedColumnFormula>DCF!AK3</calculatedColumnFormula>
    </tableColumn>
    <tableColumn id="6" xr3:uid="{9BF8FF51-90B0-408F-92A0-C519DA3E8D41}" name="2029" dataDxfId="1">
      <calculatedColumnFormula>DCF!AL3</calculatedColumnFormula>
    </tableColumn>
    <tableColumn id="7" xr3:uid="{20E0FC17-0B75-47F3-A804-CF0E129E9C92}" name="2030" dataDxfId="0">
      <calculatedColumnFormula>DCF!AM3</calculatedColumnFormula>
    </tableColumn>
  </tableColumns>
  <tableStyleInfo name="TableStyleMedium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F06D34-52ED-4C6E-8A6D-3557EA34936E}" name="Table19" displayName="Table19" ref="H2:M7" totalsRowShown="0" headerRowDxfId="158" dataDxfId="156" headerRowBorderDxfId="157" tableBorderDxfId="155" totalsRowBorderDxfId="154">
  <autoFilter ref="H2:M7" xr:uid="{C2F06D34-52ED-4C6E-8A6D-3557EA34936E}">
    <filterColumn colId="0" hiddenButton="1"/>
    <filterColumn colId="1" hiddenButton="1"/>
    <filterColumn colId="2" hiddenButton="1"/>
    <filterColumn colId="3" hiddenButton="1"/>
    <filterColumn colId="4" hiddenButton="1"/>
    <filterColumn colId="5" hiddenButton="1"/>
  </autoFilter>
  <tableColumns count="6">
    <tableColumn id="1" xr3:uid="{B18999AB-D71D-4352-8D4C-2CC7D88A744D}" name="Current" dataDxfId="153"/>
    <tableColumn id="2" xr3:uid="{78859F6D-C1C4-43E7-8B58-8606FBAE0C49}" name="2020" dataDxfId="152"/>
    <tableColumn id="3" xr3:uid="{B5B3876C-582B-435D-AD70-D80DAFC2B5E8}" name="2021" dataDxfId="151"/>
    <tableColumn id="4" xr3:uid="{2172C9FE-9B1F-4B67-A1DB-6112FDF462AB}" name="2022" dataDxfId="150"/>
    <tableColumn id="5" xr3:uid="{EDB2FB63-5077-4676-9765-899828A62065}" name="2023" dataDxfId="149"/>
    <tableColumn id="6" xr3:uid="{6C57310B-89DB-45EA-BB2D-BB889AC53B54}" name="2024" dataDxfId="148"/>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2E5B166-E91A-4F21-BDC7-8FE68DC37ABA}" name="Table8" displayName="Table8" ref="A12:B22" totalsRowShown="0" headerRowDxfId="147" dataDxfId="146">
  <autoFilter ref="A12:B22" xr:uid="{62E5B166-E91A-4F21-BDC7-8FE68DC37ABA}">
    <filterColumn colId="0" hiddenButton="1"/>
    <filterColumn colId="1" hiddenButton="1"/>
  </autoFilter>
  <tableColumns count="2">
    <tableColumn id="1" xr3:uid="{36E5E26F-E952-451C-9C72-7BEC20C34361}" name="Metrics" dataDxfId="145"/>
    <tableColumn id="2" xr3:uid="{8B8D55F2-8E17-4B7A-99CB-1576B104A9FC}" name="Value" dataDxfId="144"/>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2BBF0C4-4E20-492A-B464-DC5D5BF17C52}" name="Table9" displayName="Table9" ref="A2:G9" totalsRowShown="0" headerRowDxfId="143" dataDxfId="142" headerRowCellStyle="Percent">
  <autoFilter ref="A2:G9" xr:uid="{92BBF0C4-4E20-492A-B464-DC5D5BF17C5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A7C32AB-DB0F-4734-AA3E-101163AD0D74}" name="Particulars" dataDxfId="141"/>
    <tableColumn id="2" xr3:uid="{84D01946-F413-4067-BFD7-31E5110311CE}" name="2025" dataDxfId="140" dataCellStyle="Comma"/>
    <tableColumn id="3" xr3:uid="{99492DB3-641D-4BA9-A491-94B878246D23}" name="2026" dataDxfId="139" dataCellStyle="Comma"/>
    <tableColumn id="4" xr3:uid="{EA09C1DC-9415-48D4-9B1B-6E2825C62570}" name="2027" dataDxfId="138" dataCellStyle="Comma"/>
    <tableColumn id="5" xr3:uid="{CB966178-4332-4AEB-AB0A-D4A4ACA749FB}" name="2028" dataDxfId="137" dataCellStyle="Comma"/>
    <tableColumn id="6" xr3:uid="{EDFC0864-FDBF-40C9-ADC5-B6FD0DE0D160}" name="2029" dataDxfId="136" dataCellStyle="Comma"/>
    <tableColumn id="7" xr3:uid="{F8059AED-0ED6-4A79-92DC-FB023ED7F3A3}" name="2030" dataDxfId="135" dataCellStyle="Comma"/>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A233B8F-3A32-4946-80F8-84CED4DDCC37}" name="Table10" displayName="Table10" ref="I2:O9" totalsRowShown="0" headerRowDxfId="134" dataDxfId="133" tableBorderDxfId="132" headerRowCellStyle="Percent">
  <autoFilter ref="I2:O9" xr:uid="{AA233B8F-3A32-4946-80F8-84CED4DDCC3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390ABB3-EFC6-4FE2-BC08-803C5EF30A47}" name="Particulars" dataDxfId="131"/>
    <tableColumn id="2" xr3:uid="{51C9CE3C-E03F-40E7-A06E-C80EB9A73AFF}" name="2025" dataDxfId="130" dataCellStyle="Comma"/>
    <tableColumn id="3" xr3:uid="{228C8ACA-E8CC-44D3-8F44-934136E93C3D}" name="2026" dataDxfId="129" dataCellStyle="Comma"/>
    <tableColumn id="4" xr3:uid="{40BA7482-219E-42F6-A3FD-6E74B8D4FDC5}" name="2027" dataDxfId="128" dataCellStyle="Comma"/>
    <tableColumn id="5" xr3:uid="{227375A5-3FCA-4FB0-8FC8-88CDFA0247BD}" name="2028" dataDxfId="127" dataCellStyle="Comma"/>
    <tableColumn id="6" xr3:uid="{152E48FF-B592-4C7D-A7DA-A0EDAED13131}" name="2029" dataDxfId="126" dataCellStyle="Comma"/>
    <tableColumn id="7" xr3:uid="{3F6F462C-69B4-48E2-8553-451D4DE56248}" name="2030" dataDxfId="125" dataCellStyle="Comma"/>
  </tableColumns>
  <tableStyleInfo name="TableStyleMedium1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A6BA5C3-A722-4939-B814-0C7C058B07ED}" name="Table814" displayName="Table814" ref="I12:J22" totalsRowShown="0" headerRowDxfId="124" dataDxfId="123" tableBorderDxfId="122">
  <autoFilter ref="I12:J22" xr:uid="{AA6BA5C3-A722-4939-B814-0C7C058B07ED}">
    <filterColumn colId="0" hiddenButton="1"/>
    <filterColumn colId="1" hiddenButton="1"/>
  </autoFilter>
  <tableColumns count="2">
    <tableColumn id="1" xr3:uid="{F0F3FC96-4A18-4CE9-B807-A4BD05BA4F02}" name="Metrics" dataDxfId="121"/>
    <tableColumn id="2" xr3:uid="{99E5EC3B-737F-45FB-B528-432B2E0CD4F1}" name="Value" dataDxfId="120"/>
  </tableColumns>
  <tableStyleInfo name="TableStyleMedium1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33529D9-3A8A-43E2-B9F1-1E1683CADECA}" name="Table826" displayName="Table826" ref="Q12:R22" totalsRowShown="0" headerRowDxfId="119" dataDxfId="118">
  <autoFilter ref="Q12:R22" xr:uid="{933529D9-3A8A-43E2-B9F1-1E1683CADECA}">
    <filterColumn colId="0" hiddenButton="1"/>
    <filterColumn colId="1" hiddenButton="1"/>
  </autoFilter>
  <tableColumns count="2">
    <tableColumn id="1" xr3:uid="{94DEEB95-DE52-4DDD-A852-51557E5286BC}" name="Metrics" dataDxfId="117"/>
    <tableColumn id="2" xr3:uid="{1E1B0A56-CDD6-4141-AF13-C7086ED25920}" name="Value" dataDxfId="116"/>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9B434C1-95DE-460E-B126-BE3DCA78E831}" name="Table927" displayName="Table927" ref="Q2:W9" totalsRowShown="0" headerRowDxfId="115" dataDxfId="114" headerRowCellStyle="Percent">
  <autoFilter ref="Q2:W9" xr:uid="{79B434C1-95DE-460E-B126-BE3DCA78E83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61A97C3-9EA0-4084-BEE2-E96D36F4E3B6}" name="Particulars" dataDxfId="113"/>
    <tableColumn id="2" xr3:uid="{A7D4B627-299A-4E65-8FB1-CE4749392909}" name="2025" dataDxfId="112" dataCellStyle="Comma"/>
    <tableColumn id="3" xr3:uid="{37D385C1-588A-4951-A36C-DF05451C5D9E}" name="2026" dataDxfId="111" dataCellStyle="Comma"/>
    <tableColumn id="4" xr3:uid="{5891C5B3-2012-4DD2-AA1B-7AE4E4AB7FFE}" name="2027" dataDxfId="110" dataCellStyle="Comma"/>
    <tableColumn id="5" xr3:uid="{5DF655D5-0641-47AF-AA1F-7CB63BDB8342}" name="2028" dataDxfId="109" dataCellStyle="Comma"/>
    <tableColumn id="6" xr3:uid="{F2FFCFCC-DE40-4F7B-B5C4-9097760EBDD3}" name="2029" dataDxfId="108" dataCellStyle="Comma"/>
    <tableColumn id="7" xr3:uid="{B160EC1E-9509-4928-93E1-343E0D42BB35}" name="2030" dataDxfId="107" dataCellStyle="Comma"/>
  </tableColumns>
  <tableStyleInfo name="TableStyleMedium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FC2FE57-8631-4121-9707-ABEF3EC5AFC2}" name="Table1028" displayName="Table1028" ref="Y2:AE9" totalsRowShown="0" headerRowDxfId="106" dataDxfId="105" tableBorderDxfId="104" headerRowCellStyle="Percent">
  <autoFilter ref="Y2:AE9" xr:uid="{BFC2FE57-8631-4121-9707-ABEF3EC5AFC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6892766-8FA4-4CE0-9721-B1C94BFF7F40}" name="Particulars" dataDxfId="103"/>
    <tableColumn id="2" xr3:uid="{0E90B8AF-650B-4A0C-B8BC-6D800BD8C85B}" name="2025" dataDxfId="102" dataCellStyle="Comma"/>
    <tableColumn id="3" xr3:uid="{43726C0F-3B73-4994-8CE0-B3C6EB2738D0}" name="2026" dataDxfId="101" dataCellStyle="Comma"/>
    <tableColumn id="4" xr3:uid="{114FC3F6-B61D-450D-8C79-4D43BAA56C12}" name="2027" dataDxfId="100" dataCellStyle="Comma"/>
    <tableColumn id="5" xr3:uid="{C4267125-C693-4670-B23C-036085387440}" name="2028" dataDxfId="99" dataCellStyle="Comma"/>
    <tableColumn id="6" xr3:uid="{0360BEEF-0A57-4A8F-8FF9-C608819883FD}" name="2029" dataDxfId="98" dataCellStyle="Comma"/>
    <tableColumn id="7" xr3:uid="{B2C8DE28-27F9-40F8-9F47-CAA1EB3DC9C2}" name="2030" dataDxfId="97" dataCellStyle="Comma"/>
  </tableColumns>
  <tableStyleInfo name="TableStyleMedium1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429627A-7BB6-45F5-BFA9-9F4F7483946C}" name="Table81429" displayName="Table81429" ref="Y12:Z22" totalsRowShown="0" headerRowDxfId="96" dataDxfId="95" tableBorderDxfId="94">
  <autoFilter ref="Y12:Z22" xr:uid="{E429627A-7BB6-45F5-BFA9-9F4F7483946C}">
    <filterColumn colId="0" hiddenButton="1"/>
    <filterColumn colId="1" hiddenButton="1"/>
  </autoFilter>
  <tableColumns count="2">
    <tableColumn id="1" xr3:uid="{88C4BA65-3C25-4D46-B758-5E0B27667F58}" name="Metrics" dataDxfId="93"/>
    <tableColumn id="2" xr3:uid="{2BA47D03-A73F-412A-B663-F746230CDE7C}" name="Value" dataDxfId="92"/>
  </tableColumns>
  <tableStyleInfo name="TableStyleMedium1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80AD554-42AD-46D2-998D-FF367F528D08}" name="Table82630" displayName="Table82630" ref="AG12:AH22" totalsRowShown="0" headerRowDxfId="91" dataDxfId="90">
  <autoFilter ref="AG12:AH22" xr:uid="{280AD554-42AD-46D2-998D-FF367F528D08}">
    <filterColumn colId="0" hiddenButton="1"/>
    <filterColumn colId="1" hiddenButton="1"/>
  </autoFilter>
  <tableColumns count="2">
    <tableColumn id="1" xr3:uid="{1F700E27-E1B5-4A4D-B0FD-1B2010A1BEC4}" name="Metrics" dataDxfId="89"/>
    <tableColumn id="2" xr3:uid="{E28CA3CA-5E3F-4CAB-810A-F8A1DD144F36}" name="Value" dataDxfId="88"/>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7B6B67B-C4CC-475B-BE7C-F9BAC6382751}" name="Table92731" displayName="Table92731" ref="AG2:AM9" totalsRowShown="0" headerRowDxfId="87" dataDxfId="86" headerRowCellStyle="Percent">
  <autoFilter ref="AG2:AM9" xr:uid="{E7B6B67B-C4CC-475B-BE7C-F9BAC638275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F831AFD-F066-4AB5-950C-3CD4758798BD}" name="Particulars" dataDxfId="85"/>
    <tableColumn id="2" xr3:uid="{2F0C1FFD-D6BF-4EDA-9ECF-32C15558B55F}" name="2025" dataDxfId="84" dataCellStyle="Comma"/>
    <tableColumn id="3" xr3:uid="{05F45482-197D-48B8-9CFB-AED151353F5D}" name="2026" dataDxfId="83" dataCellStyle="Comma"/>
    <tableColumn id="4" xr3:uid="{BA06053E-2595-4799-8446-CE75F51FACE5}" name="2027" dataDxfId="82" dataCellStyle="Comma"/>
    <tableColumn id="5" xr3:uid="{BC58E27F-22F8-4EB3-846F-56FF01489755}" name="2028" dataDxfId="81" dataCellStyle="Comma"/>
    <tableColumn id="6" xr3:uid="{85933069-6AEC-4309-9FB0-E6B041A43B14}" name="2029" dataDxfId="80" dataCellStyle="Comma"/>
    <tableColumn id="7" xr3:uid="{88A197DE-8AD0-42DD-B67E-802F2E76111A}" name="2030" dataDxfId="79" dataCellStyle="Comma"/>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D3E2517-F5B2-4F72-A695-A0653B24A6C8}" name="Table21" displayName="Table21" ref="A21:E26" totalsRowShown="0" headerRowDxfId="78" dataDxfId="77" tableBorderDxfId="76">
  <autoFilter ref="A21:E26" xr:uid="{5D3E2517-F5B2-4F72-A695-A0653B24A6C8}">
    <filterColumn colId="0" hiddenButton="1"/>
    <filterColumn colId="1" hiddenButton="1"/>
    <filterColumn colId="2" hiddenButton="1"/>
    <filterColumn colId="3" hiddenButton="1"/>
    <filterColumn colId="4" hiddenButton="1"/>
  </autoFilter>
  <tableColumns count="5">
    <tableColumn id="1" xr3:uid="{61C9B014-50A7-4058-84F7-FD8F4DE221C5}" name="Company" dataDxfId="75">
      <calculatedColumnFormula>H3</calculatedColumnFormula>
    </tableColumn>
    <tableColumn id="2" xr3:uid="{0AC92FA0-34A0-4CA0-976F-8F900122B11D}" name="EBITDA" dataDxfId="74"/>
    <tableColumn id="3" xr3:uid="{F0909466-9C7F-4E45-ADF7-DAD34278FBF5}" name="Net Income" dataDxfId="73"/>
    <tableColumn id="4" xr3:uid="{C600E7DD-DE89-4F60-B03A-BEEE3CDAA003}" name="Revenue" dataDxfId="72"/>
    <tableColumn id="5" xr3:uid="{185CEB8F-9E4A-43F0-BFBC-AF936B992BBB}" name="Book Value" dataDxfId="71"/>
  </tableColumns>
  <tableStyleInfo name="TableStyleDark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495630-E0E9-4F27-80E7-AA3CC7582486}" name="Table24" displayName="Table24" ref="H12:K17" totalsRowShown="0" headerRowDxfId="70" dataDxfId="69">
  <autoFilter ref="H12:K17" xr:uid="{66495630-E0E9-4F27-80E7-AA3CC7582486}">
    <filterColumn colId="0" hiddenButton="1"/>
    <filterColumn colId="1" hiddenButton="1"/>
    <filterColumn colId="2" hiddenButton="1"/>
    <filterColumn colId="3" hiddenButton="1"/>
  </autoFilter>
  <tableColumns count="4">
    <tableColumn id="1" xr3:uid="{11653221-8A4E-47F9-B67A-B53D33D48320}" name="Company" dataDxfId="68">
      <calculatedColumnFormula>H5</calculatedColumnFormula>
    </tableColumn>
    <tableColumn id="2" xr3:uid="{EE074865-1B48-44F2-A432-0F403DA3FBA0}" name="Target Price" dataDxfId="67">
      <calculatedColumnFormula>AVERAGE(I3:L3)</calculatedColumnFormula>
    </tableColumn>
    <tableColumn id="3" xr3:uid="{B3B86A3C-79AE-44D4-918A-CA69A6F67E74}" name="CMP" dataDxfId="66" dataCellStyle="Comma"/>
    <tableColumn id="4" xr3:uid="{EA59FD3F-B33A-4C80-A2E6-766DA7814F18}" name="U/D" dataDxfId="65" dataCellStyle="Percent">
      <calculatedColumnFormula>(Table24[[#This Row],[Target Price]]-J13)/J13</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0.xml"/><Relationship Id="rId3" Type="http://schemas.openxmlformats.org/officeDocument/2006/relationships/table" Target="../tables/table25.xml"/><Relationship Id="rId7" Type="http://schemas.openxmlformats.org/officeDocument/2006/relationships/table" Target="../tables/table29.xml"/><Relationship Id="rId2" Type="http://schemas.openxmlformats.org/officeDocument/2006/relationships/table" Target="../tables/table24.xml"/><Relationship Id="rId1" Type="http://schemas.openxmlformats.org/officeDocument/2006/relationships/table" Target="../tables/table23.xml"/><Relationship Id="rId6" Type="http://schemas.openxmlformats.org/officeDocument/2006/relationships/table" Target="../tables/table28.xml"/><Relationship Id="rId5" Type="http://schemas.openxmlformats.org/officeDocument/2006/relationships/table" Target="../tables/table27.xml"/><Relationship Id="rId10" Type="http://schemas.openxmlformats.org/officeDocument/2006/relationships/table" Target="../tables/table32.xml"/><Relationship Id="rId4" Type="http://schemas.openxmlformats.org/officeDocument/2006/relationships/table" Target="../tables/table26.xml"/><Relationship Id="rId9" Type="http://schemas.openxmlformats.org/officeDocument/2006/relationships/table" Target="../tables/table3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F17" sqref="F17"/>
    </sheetView>
  </sheetViews>
  <sheetFormatPr defaultRowHeight="14.4" x14ac:dyDescent="0.3"/>
  <cols>
    <col min="1" max="1" width="12" style="1" customWidth="1"/>
    <col min="2" max="3" width="22.5546875" style="2" customWidth="1"/>
    <col min="4" max="6" width="21.88671875" style="1" customWidth="1"/>
    <col min="7" max="16384" width="8.88671875" style="1"/>
  </cols>
  <sheetData>
    <row r="1" spans="1:6" ht="43.2" x14ac:dyDescent="0.3">
      <c r="A1" s="3" t="s">
        <v>0</v>
      </c>
      <c r="B1" s="4" t="e" vm="1">
        <v>#VALUE!</v>
      </c>
      <c r="C1" s="5" t="e" vm="2">
        <v>#VALUE!</v>
      </c>
      <c r="D1" s="80" t="e" vm="3">
        <v>#VALUE!</v>
      </c>
      <c r="E1" s="80" t="e" vm="4">
        <v>#VALUE!</v>
      </c>
      <c r="F1" s="80" t="e" vm="5">
        <v>#VALUE!</v>
      </c>
    </row>
    <row r="2" spans="1:6" x14ac:dyDescent="0.3">
      <c r="A2" s="6" t="s">
        <v>1</v>
      </c>
      <c r="B2" s="7" t="str" cm="1">
        <f t="array" aca="1" ref="B2" ca="1">_FV(B1,"Official name",TRUE)</f>
        <v>CATERPILLAR INC.</v>
      </c>
      <c r="C2" s="7" t="str" cm="1">
        <f t="array" aca="1" ref="C2" ca="1">_FV(C1,"Official name",TRUE)</f>
        <v>JACOBS SOLUTIONS INC.</v>
      </c>
      <c r="D2" s="7" t="str" cm="1">
        <f t="array" aca="1" ref="D2" ca="1">_FV(D1,"Official name",TRUE)</f>
        <v>AECOM</v>
      </c>
      <c r="E2" s="7" t="str" cm="1">
        <f t="array" aca="1" ref="E2" ca="1">_FV(E1,"Official name",TRUE)</f>
        <v>FLUOR CORPORATION.</v>
      </c>
      <c r="F2" s="7" t="str" cm="1">
        <f t="array" aca="1" ref="F2" ca="1">_FV(F1,"Official name",TRUE)</f>
        <v>VULCAN MATERIALS COMPANY</v>
      </c>
    </row>
    <row r="3" spans="1:6" x14ac:dyDescent="0.3">
      <c r="A3" s="6" t="s">
        <v>2</v>
      </c>
      <c r="B3" s="8" cm="1">
        <f t="array" aca="1" ref="B3" ca="1">_FV(B1,"Price")</f>
        <v>555.91</v>
      </c>
      <c r="C3" s="8" cm="1">
        <f t="array" aca="1" ref="C3" ca="1">_FV(C1,"Price")</f>
        <v>149.19999999999999</v>
      </c>
      <c r="D3" s="8" cm="1">
        <f t="array" aca="1" ref="D3" ca="1">_FV(D1,"Price")</f>
        <v>116.24</v>
      </c>
      <c r="E3" s="8" cm="1">
        <f t="array" aca="1" ref="E3" ca="1">_FV(E1,"Price")</f>
        <v>42.03</v>
      </c>
      <c r="F3" s="8" cm="1">
        <f t="array" aca="1" ref="F3" ca="1">_FV(F1,"Price")</f>
        <v>283.87</v>
      </c>
    </row>
    <row r="4" spans="1:6" x14ac:dyDescent="0.3">
      <c r="A4" s="6" t="s">
        <v>3</v>
      </c>
      <c r="B4" s="9" cm="1">
        <f t="array" aca="1" ref="B4" ca="1">_FV(B1,"Change (%)",TRUE)</f>
        <v>1.6511999999999999E-2</v>
      </c>
      <c r="C4" s="9" cm="1">
        <f t="array" aca="1" ref="C4" ca="1">_FV(C1,"Change (%)",TRUE)</f>
        <v>-1.0348E-2</v>
      </c>
      <c r="D4" s="9" cm="1">
        <f t="array" aca="1" ref="D4" ca="1">_FV(D1,"Change (%)",TRUE)</f>
        <v>-8.5732000000000003E-2</v>
      </c>
      <c r="E4" s="9" cm="1">
        <f t="array" aca="1" ref="E4" ca="1">_FV(E1,"Change (%)",TRUE)</f>
        <v>2.1882000000000002E-2</v>
      </c>
      <c r="F4" s="9" cm="1">
        <f t="array" aca="1" ref="F4" ca="1">_FV(F1,"Change (%)",TRUE)</f>
        <v>7.0950000000000006E-3</v>
      </c>
    </row>
    <row r="5" spans="1:6" ht="28.8" x14ac:dyDescent="0.3">
      <c r="A5" s="6" t="s">
        <v>4</v>
      </c>
      <c r="B5" s="10" cm="1">
        <f t="array" aca="1" ref="B5" ca="1">_FV(B1,"Shares outstanding",TRUE)</f>
        <v>467979600</v>
      </c>
      <c r="C5" s="10" cm="1">
        <f t="array" aca="1" ref="C5" ca="1">_FV(C1,"Shares outstanding",TRUE)</f>
        <v>119536500</v>
      </c>
      <c r="D5" s="10" cm="1">
        <f t="array" aca="1" ref="D5" ca="1">_FV(D1,"Shares outstanding",TRUE)</f>
        <v>132446100</v>
      </c>
      <c r="E5" s="10" cm="1">
        <f t="array" aca="1" ref="E5" ca="1">_FV(E1,"Shares outstanding",TRUE)</f>
        <v>161182500</v>
      </c>
      <c r="F5" s="10" cm="1">
        <f t="array" aca="1" ref="F5" ca="1">_FV(F1,"Shares outstanding",TRUE)</f>
        <v>132130900</v>
      </c>
    </row>
    <row r="6" spans="1:6" x14ac:dyDescent="0.3">
      <c r="A6" s="6" t="s">
        <v>5</v>
      </c>
      <c r="B6" s="11">
        <f ca="1">B5/1000000</f>
        <v>467.9796</v>
      </c>
      <c r="C6" s="11">
        <f ca="1">C5/1000000</f>
        <v>119.5365</v>
      </c>
      <c r="D6" s="11">
        <f t="shared" ref="D6:F6" ca="1" si="0">D5/1000000</f>
        <v>132.4461</v>
      </c>
      <c r="E6" s="11">
        <f t="shared" ca="1" si="0"/>
        <v>161.1825</v>
      </c>
      <c r="F6" s="11">
        <f t="shared" ca="1" si="0"/>
        <v>132.1309</v>
      </c>
    </row>
    <row r="7" spans="1:6" x14ac:dyDescent="0.3">
      <c r="A7" s="6" t="s">
        <v>6</v>
      </c>
      <c r="B7" s="12" cm="1">
        <f t="array" aca="1" ref="B7" ca="1">_FV(B1,"Market cap",TRUE)</f>
        <v>260154539436</v>
      </c>
      <c r="C7" s="12" cm="1">
        <f t="array" aca="1" ref="C7" ca="1">_FV(C1,"Market cap",TRUE)</f>
        <v>17834845800</v>
      </c>
      <c r="D7" s="12" cm="1">
        <f t="array" aca="1" ref="D7" ca="1">_FV(D1,"Market cap",TRUE)</f>
        <v>15395534664</v>
      </c>
      <c r="E7" s="12" cm="1">
        <f t="array" aca="1" ref="E7" ca="1">_FV(E1,"Market cap",TRUE)</f>
        <v>6774500475</v>
      </c>
      <c r="F7" s="12" cm="1">
        <f t="array" aca="1" ref="F7" ca="1">_FV(F1,"Market cap",TRUE)</f>
        <v>37507998583</v>
      </c>
    </row>
    <row r="8" spans="1:6" x14ac:dyDescent="0.3">
      <c r="A8" s="6" t="s">
        <v>5</v>
      </c>
      <c r="B8" s="13">
        <f ca="1">B7/1000000</f>
        <v>260154.53943599999</v>
      </c>
      <c r="C8" s="13">
        <f ca="1">C7/1000000</f>
        <v>17834.845799999999</v>
      </c>
      <c r="D8" s="13">
        <f t="shared" ref="D8:F8" ca="1" si="1">D7/1000000</f>
        <v>15395.534664000001</v>
      </c>
      <c r="E8" s="13">
        <f t="shared" ca="1" si="1"/>
        <v>6774.5004749999998</v>
      </c>
      <c r="F8" s="13">
        <f t="shared" ca="1" si="1"/>
        <v>37507.998583000001</v>
      </c>
    </row>
    <row r="9" spans="1:6" x14ac:dyDescent="0.3">
      <c r="A9" s="6" t="s">
        <v>7</v>
      </c>
      <c r="B9" s="14" cm="1">
        <f t="array" aca="1" ref="B9" ca="1">_FV(B1,"Beta")</f>
        <v>1.5679000000000001</v>
      </c>
      <c r="C9" s="14" cm="1">
        <f t="array" aca="1" ref="C9" ca="1">_FV(C1,"Beta")</f>
        <v>0.80010000000000003</v>
      </c>
      <c r="D9" s="14" cm="1">
        <f t="array" aca="1" ref="D9" ca="1">_FV(D1,"Beta")</f>
        <v>1.0415000000000001</v>
      </c>
      <c r="E9" s="14" cm="1">
        <f t="array" aca="1" ref="E9" ca="1">_FV(E1,"Beta")</f>
        <v>1.3441000000000001</v>
      </c>
      <c r="F9" s="14" cm="1">
        <f t="array" aca="1" ref="F9" ca="1">_FV(F1,"Beta")</f>
        <v>1.0667</v>
      </c>
    </row>
    <row r="10" spans="1:6" x14ac:dyDescent="0.3">
      <c r="A10" s="6" t="s">
        <v>8</v>
      </c>
      <c r="B10" s="14" cm="1">
        <f t="array" aca="1" ref="B10" ca="1">_FV(B1,"P/E",TRUE)</f>
        <v>28.523599999999998</v>
      </c>
      <c r="C10" s="14" cm="1">
        <f t="array" aca="1" ref="C10" ca="1">_FV(C1,"P/E",TRUE)</f>
        <v>59.35</v>
      </c>
      <c r="D10" s="14" cm="1">
        <f t="array" aca="1" ref="D10" ca="1">_FV(D1,"P/E",TRUE)</f>
        <v>24.278400000000001</v>
      </c>
      <c r="E10" s="14" cm="1">
        <f t="array" aca="1" ref="E10" ca="1">_FV(E1,"P/E",TRUE)</f>
        <v>2.1295999999999999</v>
      </c>
      <c r="F10" s="14" cm="1">
        <f t="array" aca="1" ref="F10" ca="1">_FV(F1,"P/E",TRUE)</f>
        <v>33.544899999999998</v>
      </c>
    </row>
    <row r="11" spans="1:6" x14ac:dyDescent="0.3">
      <c r="A11" s="6" t="s">
        <v>9</v>
      </c>
      <c r="B11" s="15" cm="1">
        <f t="array" aca="1" ref="B11" ca="1">_FV(B1,"Year incorporated",TRUE)</f>
        <v>1986</v>
      </c>
      <c r="C11" s="15" cm="1">
        <f t="array" aca="1" ref="C11" ca="1">_FV(C1,"Year incorporated",TRUE)</f>
        <v>2022</v>
      </c>
      <c r="D11" s="15" cm="1">
        <f t="array" aca="1" ref="D11" ca="1">_FV(D1,"Year incorporated",TRUE)</f>
        <v>1980</v>
      </c>
      <c r="E11" s="15" cm="1">
        <f t="array" aca="1" ref="E11" ca="1">_FV(E1,"Year incorporated",TRUE)</f>
        <v>2000</v>
      </c>
      <c r="F11" s="15" cm="1">
        <f t="array" aca="1" ref="F11" ca="1">_FV(F1,"Year incorporated",TRUE)</f>
        <v>2007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94CC-1784-42D2-AD72-8D488BB40169}">
  <dimension ref="A1:AK40"/>
  <sheetViews>
    <sheetView topLeftCell="O1" workbookViewId="0">
      <selection activeCell="AE37" sqref="AE37:AK40"/>
    </sheetView>
  </sheetViews>
  <sheetFormatPr defaultRowHeight="14.4" x14ac:dyDescent="0.3"/>
  <cols>
    <col min="1" max="1" width="29.88671875" style="17" bestFit="1" customWidth="1"/>
    <col min="2" max="6" width="9.88671875" style="17" bestFit="1" customWidth="1"/>
    <col min="7" max="7" width="8.88671875" style="17"/>
    <col min="8" max="8" width="29.88671875" style="17" bestFit="1" customWidth="1"/>
    <col min="9" max="13" width="9.88671875" style="17" bestFit="1" customWidth="1"/>
    <col min="14" max="14" width="8.88671875" style="17"/>
    <col min="15" max="15" width="29.88671875" style="17" bestFit="1" customWidth="1"/>
    <col min="16" max="20" width="9.88671875" style="22" bestFit="1" customWidth="1"/>
    <col min="21" max="21" width="9.88671875" style="22" customWidth="1"/>
    <col min="22" max="22" width="8.88671875" style="22"/>
    <col min="23" max="23" width="29.88671875" style="17" bestFit="1" customWidth="1"/>
    <col min="24" max="28" width="9.88671875" style="17" bestFit="1" customWidth="1"/>
    <col min="29" max="29" width="9.88671875" style="17" customWidth="1"/>
    <col min="30" max="30" width="10.33203125" style="17" bestFit="1" customWidth="1"/>
    <col min="31" max="31" width="29.88671875" style="17" bestFit="1" customWidth="1"/>
    <col min="32" max="37" width="9.88671875" style="17" bestFit="1" customWidth="1"/>
    <col min="38" max="16384" width="8.88671875" style="17"/>
  </cols>
  <sheetData>
    <row r="1" spans="1:36" x14ac:dyDescent="0.3">
      <c r="A1" s="16" t="s">
        <v>10</v>
      </c>
      <c r="F1" s="18" t="s">
        <v>40</v>
      </c>
      <c r="H1" s="16" t="s">
        <v>10</v>
      </c>
      <c r="M1" s="18" t="s">
        <v>41</v>
      </c>
      <c r="O1" s="16" t="s">
        <v>10</v>
      </c>
      <c r="P1" s="17"/>
      <c r="Q1" s="17"/>
      <c r="R1" s="17"/>
      <c r="S1" s="17"/>
      <c r="T1" s="18" t="s">
        <v>124</v>
      </c>
      <c r="U1" s="18"/>
      <c r="V1" s="17"/>
      <c r="W1" s="16" t="s">
        <v>10</v>
      </c>
      <c r="AB1" s="18" t="s">
        <v>125</v>
      </c>
      <c r="AC1" s="18"/>
      <c r="AE1" s="16" t="s">
        <v>10</v>
      </c>
      <c r="AJ1" s="18" t="s">
        <v>126</v>
      </c>
    </row>
    <row r="2" spans="1:36" x14ac:dyDescent="0.3">
      <c r="A2" s="17" t="s">
        <v>11</v>
      </c>
      <c r="B2" s="19" t="s">
        <v>12</v>
      </c>
      <c r="C2" s="19" t="s">
        <v>13</v>
      </c>
      <c r="D2" s="19" t="s">
        <v>14</v>
      </c>
      <c r="E2" s="19" t="s">
        <v>15</v>
      </c>
      <c r="F2" s="19" t="s">
        <v>16</v>
      </c>
      <c r="H2" s="17" t="s">
        <v>11</v>
      </c>
      <c r="I2" s="19" t="s">
        <v>12</v>
      </c>
      <c r="J2" s="19" t="s">
        <v>13</v>
      </c>
      <c r="K2" s="19" t="s">
        <v>14</v>
      </c>
      <c r="L2" s="19" t="s">
        <v>15</v>
      </c>
      <c r="M2" s="19" t="s">
        <v>16</v>
      </c>
      <c r="O2" s="17" t="s">
        <v>11</v>
      </c>
      <c r="P2" s="19" t="s">
        <v>12</v>
      </c>
      <c r="Q2" s="19" t="s">
        <v>13</v>
      </c>
      <c r="R2" s="19" t="s">
        <v>14</v>
      </c>
      <c r="S2" s="19" t="s">
        <v>15</v>
      </c>
      <c r="T2" s="19" t="s">
        <v>16</v>
      </c>
      <c r="U2" s="19"/>
      <c r="V2" s="17"/>
      <c r="W2" s="17" t="s">
        <v>11</v>
      </c>
      <c r="X2" s="19" t="s">
        <v>12</v>
      </c>
      <c r="Y2" s="19" t="s">
        <v>13</v>
      </c>
      <c r="Z2" s="19" t="s">
        <v>14</v>
      </c>
      <c r="AA2" s="19" t="s">
        <v>15</v>
      </c>
      <c r="AB2" s="19" t="s">
        <v>16</v>
      </c>
      <c r="AC2" s="19"/>
      <c r="AE2" s="17" t="s">
        <v>11</v>
      </c>
      <c r="AF2" s="19" t="s">
        <v>12</v>
      </c>
      <c r="AG2" s="19" t="s">
        <v>13</v>
      </c>
      <c r="AH2" s="19" t="s">
        <v>14</v>
      </c>
      <c r="AI2" s="19" t="s">
        <v>15</v>
      </c>
      <c r="AJ2" s="19" t="s">
        <v>16</v>
      </c>
    </row>
    <row r="3" spans="1:36" x14ac:dyDescent="0.3">
      <c r="A3" s="17" t="s">
        <v>17</v>
      </c>
      <c r="B3" s="20">
        <v>41748</v>
      </c>
      <c r="C3" s="20">
        <v>50971</v>
      </c>
      <c r="D3" s="20">
        <v>59427</v>
      </c>
      <c r="E3" s="20">
        <v>67060</v>
      </c>
      <c r="F3" s="20">
        <v>64809</v>
      </c>
      <c r="H3" s="17" t="s">
        <v>17</v>
      </c>
      <c r="I3" s="20">
        <v>13566.975</v>
      </c>
      <c r="J3" s="20">
        <v>14092.632</v>
      </c>
      <c r="K3" s="20">
        <v>14922.825000000001</v>
      </c>
      <c r="L3" s="20">
        <v>10851.42</v>
      </c>
      <c r="M3" s="20">
        <v>11500.941000000001</v>
      </c>
      <c r="O3" s="17" t="s">
        <v>17</v>
      </c>
      <c r="P3" s="20">
        <v>13239.976000000001</v>
      </c>
      <c r="Q3" s="20">
        <v>13340.852000000001</v>
      </c>
      <c r="R3" s="20">
        <v>13148.182000000001</v>
      </c>
      <c r="S3" s="20">
        <v>14378.460999999999</v>
      </c>
      <c r="T3" s="20">
        <v>16105.498</v>
      </c>
      <c r="U3" s="20"/>
      <c r="V3" s="17"/>
      <c r="W3" s="17" t="s">
        <v>17</v>
      </c>
      <c r="X3" s="20">
        <v>15668.477000000001</v>
      </c>
      <c r="Y3" s="20">
        <v>14156</v>
      </c>
      <c r="Z3" s="20">
        <v>13744</v>
      </c>
      <c r="AA3" s="20">
        <v>15474</v>
      </c>
      <c r="AB3" s="20">
        <v>16315</v>
      </c>
      <c r="AC3" s="20"/>
      <c r="AE3" s="17" t="s">
        <v>17</v>
      </c>
      <c r="AF3" s="20">
        <v>4856.826</v>
      </c>
      <c r="AG3" s="20">
        <v>5552.2</v>
      </c>
      <c r="AH3" s="20">
        <v>7315.2</v>
      </c>
      <c r="AI3" s="20">
        <v>7781.9</v>
      </c>
      <c r="AJ3" s="20">
        <v>7417.7</v>
      </c>
    </row>
    <row r="4" spans="1:36" x14ac:dyDescent="0.3">
      <c r="A4" s="17" t="s">
        <v>18</v>
      </c>
      <c r="B4" s="20">
        <v>29082</v>
      </c>
      <c r="C4" s="20">
        <v>35513</v>
      </c>
      <c r="D4" s="20">
        <v>41350</v>
      </c>
      <c r="E4" s="20">
        <v>42767</v>
      </c>
      <c r="F4" s="20">
        <v>40199</v>
      </c>
      <c r="H4" s="17" t="s">
        <v>18</v>
      </c>
      <c r="I4" s="20">
        <v>10980.307000000001</v>
      </c>
      <c r="J4" s="20">
        <v>11048.86</v>
      </c>
      <c r="K4" s="20">
        <v>11595.785</v>
      </c>
      <c r="L4" s="20">
        <v>8140.56</v>
      </c>
      <c r="M4" s="20">
        <v>8668.1849999999995</v>
      </c>
      <c r="O4" s="17" t="s">
        <v>18</v>
      </c>
      <c r="P4" s="20">
        <v>12530.415999999999</v>
      </c>
      <c r="Q4" s="20">
        <v>12542.431</v>
      </c>
      <c r="R4" s="20">
        <v>12300.208000000001</v>
      </c>
      <c r="S4" s="20">
        <v>13432.995999999999</v>
      </c>
      <c r="T4" s="20">
        <v>15021.156999999999</v>
      </c>
      <c r="U4" s="20"/>
      <c r="V4" s="17"/>
      <c r="W4" s="17" t="s">
        <v>18</v>
      </c>
      <c r="X4" s="20">
        <v>15283.226000000001</v>
      </c>
      <c r="Y4" s="20">
        <v>13702</v>
      </c>
      <c r="Z4" s="20">
        <v>13389</v>
      </c>
      <c r="AA4" s="20">
        <v>14997</v>
      </c>
      <c r="AB4" s="20">
        <v>15741</v>
      </c>
      <c r="AC4" s="20"/>
      <c r="AE4" s="17" t="s">
        <v>18</v>
      </c>
      <c r="AF4" s="20">
        <v>3575.3449999999998</v>
      </c>
      <c r="AG4" s="20">
        <v>4178.8</v>
      </c>
      <c r="AH4" s="20">
        <v>5757.5</v>
      </c>
      <c r="AI4" s="20">
        <v>5833.4</v>
      </c>
      <c r="AJ4" s="20">
        <v>5418.1</v>
      </c>
    </row>
    <row r="5" spans="1:36" x14ac:dyDescent="0.3">
      <c r="A5" s="17" t="s">
        <v>19</v>
      </c>
      <c r="B5" s="20">
        <f>37195-29082-589</f>
        <v>7524</v>
      </c>
      <c r="C5" s="20">
        <f>44093-35513-455</f>
        <v>8125</v>
      </c>
      <c r="D5" s="20">
        <f>51523-41350-565</f>
        <v>9608</v>
      </c>
      <c r="E5" s="20">
        <f>54094-42767-1030</f>
        <v>10297</v>
      </c>
      <c r="F5" s="20">
        <f>51737-40199-1286</f>
        <v>10252</v>
      </c>
      <c r="H5" s="17" t="s">
        <v>19</v>
      </c>
      <c r="I5" s="20">
        <v>2050.6950000000002</v>
      </c>
      <c r="J5" s="20">
        <v>2355.683</v>
      </c>
      <c r="K5" s="20">
        <v>2409.19</v>
      </c>
      <c r="L5" s="20">
        <v>2034.376</v>
      </c>
      <c r="M5" s="20">
        <v>2140.3200000000002</v>
      </c>
      <c r="O5" s="17" t="s">
        <v>19</v>
      </c>
      <c r="P5" s="20">
        <f>-48.781+188.535+188.345-11.056</f>
        <v>317.04300000000001</v>
      </c>
      <c r="Q5" s="20">
        <f>-35.044+155.072+48.84-17.603</f>
        <v>151.26499999999999</v>
      </c>
      <c r="R5" s="20">
        <f>147.309+107.501-53.64-14.152</f>
        <v>187.01800000000003</v>
      </c>
      <c r="S5" s="20">
        <f>279.352+153.575+188.404-8.357-40.251</f>
        <v>572.72299999999996</v>
      </c>
      <c r="T5" s="20">
        <f>-2.124+160.105+98.918-17.57-58.56</f>
        <v>180.76900000000001</v>
      </c>
      <c r="U5" s="20"/>
      <c r="V5" s="17"/>
      <c r="W5" s="17" t="s">
        <v>19</v>
      </c>
      <c r="X5" s="20">
        <f>240.692+305.59-0.406-25.693</f>
        <v>520.18299999999999</v>
      </c>
      <c r="Y5" s="20">
        <f>226+290+198+13-17</f>
        <v>710</v>
      </c>
      <c r="Z5" s="20">
        <f>237-24-42-25+94</f>
        <v>240</v>
      </c>
      <c r="AA5" s="20">
        <f>232+98-228</f>
        <v>102</v>
      </c>
      <c r="AB5" s="20">
        <f>203-92-196</f>
        <v>-85</v>
      </c>
      <c r="AC5" s="20"/>
      <c r="AE5" s="17" t="s">
        <v>19</v>
      </c>
      <c r="AF5" s="20">
        <f>359.772+3.997-29.975-17.54+1.567</f>
        <v>317.82099999999997</v>
      </c>
      <c r="AG5" s="20">
        <f>417.6+120.1-4.6-60.5-10.7-1.6</f>
        <v>460.3</v>
      </c>
      <c r="AH5" s="20">
        <f>515.1+10.7-67.9-34-5.1-0.8</f>
        <v>418.00000000000006</v>
      </c>
      <c r="AI5" s="20">
        <f>-76.4+28.3+26.4+2.7-16.5+542.8</f>
        <v>507.29999999999995</v>
      </c>
      <c r="AJ5" s="20">
        <f>-52.3+86.6+69.7+531.1</f>
        <v>635.1</v>
      </c>
    </row>
    <row r="6" spans="1:36" x14ac:dyDescent="0.3">
      <c r="A6" s="16" t="s">
        <v>20</v>
      </c>
      <c r="B6" s="21">
        <f>B3-B4-B5</f>
        <v>5142</v>
      </c>
      <c r="C6" s="21">
        <f t="shared" ref="C6:F6" si="0">C3-C4-C5</f>
        <v>7333</v>
      </c>
      <c r="D6" s="21">
        <f t="shared" si="0"/>
        <v>8469</v>
      </c>
      <c r="E6" s="21">
        <f t="shared" si="0"/>
        <v>13996</v>
      </c>
      <c r="F6" s="21">
        <f t="shared" si="0"/>
        <v>14358</v>
      </c>
      <c r="G6" s="16"/>
      <c r="H6" s="16" t="s">
        <v>20</v>
      </c>
      <c r="I6" s="21">
        <f>I3-I4-I5</f>
        <v>535.9729999999995</v>
      </c>
      <c r="J6" s="21">
        <f t="shared" ref="J6:M6" si="1">J3-J4-J5</f>
        <v>688.08899999999903</v>
      </c>
      <c r="K6" s="21">
        <f t="shared" si="1"/>
        <v>917.85000000000082</v>
      </c>
      <c r="L6" s="21">
        <f t="shared" si="1"/>
        <v>676.4839999999997</v>
      </c>
      <c r="M6" s="21">
        <f t="shared" si="1"/>
        <v>692.43600000000106</v>
      </c>
      <c r="O6" s="16" t="s">
        <v>20</v>
      </c>
      <c r="P6" s="21">
        <f>P3-P4-P5</f>
        <v>392.5170000000013</v>
      </c>
      <c r="Q6" s="21">
        <f t="shared" ref="Q6:T6" si="2">Q3-Q4-Q5</f>
        <v>647.15600000000029</v>
      </c>
      <c r="R6" s="21">
        <f t="shared" si="2"/>
        <v>660.95600000000013</v>
      </c>
      <c r="S6" s="21">
        <f t="shared" si="2"/>
        <v>372.74200000000019</v>
      </c>
      <c r="T6" s="21">
        <f t="shared" si="2"/>
        <v>903.57200000000034</v>
      </c>
      <c r="U6" s="21"/>
      <c r="V6" s="16"/>
      <c r="W6" s="16" t="s">
        <v>20</v>
      </c>
      <c r="X6" s="21">
        <f>X3-X4-X5</f>
        <v>-134.93199999999979</v>
      </c>
      <c r="Y6" s="21">
        <f t="shared" ref="Y6:AB6" si="3">Y3-Y4-Y5</f>
        <v>-256</v>
      </c>
      <c r="Z6" s="21">
        <f t="shared" si="3"/>
        <v>115</v>
      </c>
      <c r="AA6" s="21">
        <f t="shared" si="3"/>
        <v>375</v>
      </c>
      <c r="AB6" s="21">
        <f t="shared" si="3"/>
        <v>659</v>
      </c>
      <c r="AC6" s="21"/>
      <c r="AE6" s="16" t="s">
        <v>20</v>
      </c>
      <c r="AF6" s="21">
        <f>AF3-AF4-AF5</f>
        <v>963.66000000000031</v>
      </c>
      <c r="AG6" s="21">
        <f t="shared" ref="AG6:AJ6" si="4">AG3-AG4-AG5</f>
        <v>913.09999999999968</v>
      </c>
      <c r="AH6" s="21">
        <f t="shared" si="4"/>
        <v>1139.6999999999998</v>
      </c>
      <c r="AI6" s="21">
        <f t="shared" si="4"/>
        <v>1441.2</v>
      </c>
      <c r="AJ6" s="21">
        <f t="shared" si="4"/>
        <v>1364.4999999999995</v>
      </c>
    </row>
    <row r="7" spans="1:36" x14ac:dyDescent="0.3">
      <c r="A7" s="17" t="s">
        <v>21</v>
      </c>
      <c r="B7" s="20">
        <v>2432</v>
      </c>
      <c r="C7" s="20">
        <v>2352</v>
      </c>
      <c r="D7" s="20">
        <v>2219</v>
      </c>
      <c r="E7" s="20">
        <v>2144</v>
      </c>
      <c r="F7" s="20">
        <v>2153</v>
      </c>
      <c r="H7" s="17" t="s">
        <v>21</v>
      </c>
      <c r="I7" s="20">
        <f>91.07+90.563</f>
        <v>181.63299999999998</v>
      </c>
      <c r="J7" s="20">
        <f>101.024+149.776</f>
        <v>250.8</v>
      </c>
      <c r="K7" s="20">
        <f>102.454+198.602</f>
        <v>301.05599999999998</v>
      </c>
      <c r="L7" s="20">
        <f>103.346+203.906</f>
        <v>307.25200000000001</v>
      </c>
      <c r="M7" s="20">
        <f>99.232+209.507</f>
        <v>308.73900000000003</v>
      </c>
      <c r="O7" s="17" t="s">
        <v>21</v>
      </c>
      <c r="P7" s="20">
        <v>237.376</v>
      </c>
      <c r="Q7" s="20">
        <v>176.4</v>
      </c>
      <c r="R7" s="20">
        <v>170.886</v>
      </c>
      <c r="S7" s="20">
        <v>175.72499999999999</v>
      </c>
      <c r="T7" s="20">
        <v>178.81200000000001</v>
      </c>
      <c r="U7" s="20"/>
      <c r="V7" s="17"/>
      <c r="W7" s="17" t="s">
        <v>21</v>
      </c>
      <c r="X7" s="20">
        <f>102.451+3.123</f>
        <v>105.574</v>
      </c>
      <c r="Y7" s="20">
        <v>74</v>
      </c>
      <c r="Z7" s="20">
        <v>73</v>
      </c>
      <c r="AA7" s="20">
        <v>74</v>
      </c>
      <c r="AB7" s="20">
        <v>73</v>
      </c>
      <c r="AC7" s="20"/>
      <c r="AE7" s="17" t="s">
        <v>21</v>
      </c>
      <c r="AF7" s="20">
        <v>396.80599999999998</v>
      </c>
      <c r="AG7" s="20">
        <v>463</v>
      </c>
      <c r="AH7" s="20">
        <v>587.5</v>
      </c>
      <c r="AI7" s="20">
        <v>617</v>
      </c>
      <c r="AJ7" s="20">
        <v>632.20000000000005</v>
      </c>
    </row>
    <row r="8" spans="1:36" x14ac:dyDescent="0.3">
      <c r="A8" s="17" t="s">
        <v>22</v>
      </c>
      <c r="B8" s="20">
        <f>514+589</f>
        <v>1103</v>
      </c>
      <c r="C8" s="20">
        <f>455+488</f>
        <v>943</v>
      </c>
      <c r="D8" s="20">
        <f>565+443</f>
        <v>1008</v>
      </c>
      <c r="E8" s="20">
        <f>511+1030</f>
        <v>1541</v>
      </c>
      <c r="F8" s="20">
        <f>1286+512</f>
        <v>1798</v>
      </c>
      <c r="H8" s="17" t="s">
        <v>22</v>
      </c>
      <c r="I8" s="20">
        <v>62.206000000000003</v>
      </c>
      <c r="J8" s="20">
        <v>72.713999999999999</v>
      </c>
      <c r="K8" s="20">
        <v>100.246</v>
      </c>
      <c r="L8" s="20">
        <v>168.08500000000001</v>
      </c>
      <c r="M8" s="20">
        <v>169.05799999999999</v>
      </c>
      <c r="O8" s="17" t="s">
        <v>22</v>
      </c>
      <c r="P8" s="20">
        <v>159.91399999999999</v>
      </c>
      <c r="Q8" s="20">
        <v>238.352</v>
      </c>
      <c r="R8" s="20">
        <v>110.274</v>
      </c>
      <c r="S8" s="20">
        <v>159.34200000000001</v>
      </c>
      <c r="T8" s="20">
        <v>185.42</v>
      </c>
      <c r="U8" s="20"/>
      <c r="V8" s="17"/>
      <c r="W8" s="17" t="s">
        <v>22</v>
      </c>
      <c r="X8" s="20">
        <v>72.12</v>
      </c>
      <c r="Y8" s="20">
        <v>90</v>
      </c>
      <c r="Z8" s="20">
        <v>59</v>
      </c>
      <c r="AA8" s="20">
        <v>60</v>
      </c>
      <c r="AB8" s="20">
        <v>46</v>
      </c>
      <c r="AC8" s="20"/>
      <c r="AE8" s="17" t="s">
        <v>22</v>
      </c>
      <c r="AF8" s="20">
        <v>135.96</v>
      </c>
      <c r="AG8" s="20">
        <v>149.30000000000001</v>
      </c>
      <c r="AH8" s="20">
        <v>169.2</v>
      </c>
      <c r="AI8" s="20">
        <v>196.1</v>
      </c>
      <c r="AJ8" s="20">
        <v>191.2</v>
      </c>
    </row>
    <row r="9" spans="1:36" x14ac:dyDescent="0.3">
      <c r="A9" s="17" t="s">
        <v>23</v>
      </c>
      <c r="B9" s="20">
        <v>1006</v>
      </c>
      <c r="C9" s="20">
        <v>1742</v>
      </c>
      <c r="D9" s="20">
        <v>2067</v>
      </c>
      <c r="E9" s="20">
        <v>2781</v>
      </c>
      <c r="F9" s="20">
        <v>2629</v>
      </c>
      <c r="G9" s="16"/>
      <c r="H9" s="17" t="s">
        <v>23</v>
      </c>
      <c r="I9" s="20">
        <v>55.32</v>
      </c>
      <c r="J9" s="20">
        <v>274.78100000000001</v>
      </c>
      <c r="K9" s="20">
        <v>160.90299999999999</v>
      </c>
      <c r="L9" s="20">
        <v>101.336</v>
      </c>
      <c r="M9" s="20">
        <v>131.49299999999999</v>
      </c>
      <c r="O9" s="17" t="s">
        <v>23</v>
      </c>
      <c r="P9" s="20">
        <v>45.753</v>
      </c>
      <c r="Q9" s="20">
        <v>89.010999999999996</v>
      </c>
      <c r="R9" s="20">
        <v>136.05099999999999</v>
      </c>
      <c r="S9" s="20">
        <v>56.052</v>
      </c>
      <c r="T9" s="20">
        <v>152.9</v>
      </c>
      <c r="U9" s="20"/>
      <c r="V9" s="16"/>
      <c r="W9" s="17" t="s">
        <v>23</v>
      </c>
      <c r="X9" s="20">
        <v>18.591999999999999</v>
      </c>
      <c r="Y9" s="20">
        <v>20</v>
      </c>
      <c r="Z9" s="20">
        <v>171</v>
      </c>
      <c r="AA9" s="20">
        <v>236</v>
      </c>
      <c r="AB9" s="20">
        <v>634</v>
      </c>
      <c r="AC9" s="20"/>
      <c r="AE9" s="17" t="s">
        <v>23</v>
      </c>
      <c r="AF9" s="20">
        <f>155.803</f>
        <v>155.803</v>
      </c>
      <c r="AG9" s="20">
        <f>133.5+66.6</f>
        <v>200.1</v>
      </c>
      <c r="AH9" s="20">
        <f>133.4+59.6</f>
        <v>193</v>
      </c>
      <c r="AI9" s="20">
        <f>-44.2+343.6</f>
        <v>299.40000000000003</v>
      </c>
      <c r="AJ9" s="20">
        <f>-9.9+261.3</f>
        <v>251.4</v>
      </c>
    </row>
    <row r="10" spans="1:36" x14ac:dyDescent="0.3">
      <c r="A10" s="16" t="s">
        <v>24</v>
      </c>
      <c r="B10" s="21">
        <f>B6-B7-B8-B9</f>
        <v>601</v>
      </c>
      <c r="C10" s="21">
        <f t="shared" ref="C10:F10" si="5">C6-C7-C8-C9</f>
        <v>2296</v>
      </c>
      <c r="D10" s="21">
        <f t="shared" si="5"/>
        <v>3175</v>
      </c>
      <c r="E10" s="21">
        <f t="shared" si="5"/>
        <v>7530</v>
      </c>
      <c r="F10" s="21">
        <f t="shared" si="5"/>
        <v>7778</v>
      </c>
      <c r="G10" s="16"/>
      <c r="H10" s="16" t="s">
        <v>24</v>
      </c>
      <c r="I10" s="21">
        <f>I6-I7-I8-I9</f>
        <v>236.81399999999951</v>
      </c>
      <c r="J10" s="21">
        <f t="shared" ref="J10:M10" si="6">J6-J7-J8-J9</f>
        <v>89.793999999999016</v>
      </c>
      <c r="K10" s="21">
        <f t="shared" si="6"/>
        <v>355.64500000000078</v>
      </c>
      <c r="L10" s="21">
        <f t="shared" si="6"/>
        <v>99.81099999999968</v>
      </c>
      <c r="M10" s="21">
        <f t="shared" si="6"/>
        <v>83.146000000001038</v>
      </c>
      <c r="O10" s="16" t="s">
        <v>24</v>
      </c>
      <c r="P10" s="21">
        <f>P6-P7-P8-P9</f>
        <v>-50.525999999998689</v>
      </c>
      <c r="Q10" s="21">
        <f t="shared" ref="Q10:T10" si="7">Q6-Q7-Q8-Q9</f>
        <v>143.39300000000031</v>
      </c>
      <c r="R10" s="21">
        <f t="shared" si="7"/>
        <v>243.74500000000018</v>
      </c>
      <c r="S10" s="21">
        <f t="shared" si="7"/>
        <v>-18.376999999999818</v>
      </c>
      <c r="T10" s="21">
        <f t="shared" si="7"/>
        <v>386.4400000000004</v>
      </c>
      <c r="U10" s="21"/>
      <c r="V10" s="16"/>
      <c r="W10" s="16" t="s">
        <v>24</v>
      </c>
      <c r="X10" s="21">
        <f>X6-X7-X8-X9</f>
        <v>-331.21799999999979</v>
      </c>
      <c r="Y10" s="21">
        <f t="shared" ref="Y10:AB10" si="8">Y6-Y7-Y8-Y9</f>
        <v>-440</v>
      </c>
      <c r="Z10" s="21">
        <f t="shared" si="8"/>
        <v>-188</v>
      </c>
      <c r="AA10" s="21">
        <f t="shared" si="8"/>
        <v>5</v>
      </c>
      <c r="AB10" s="21">
        <f t="shared" si="8"/>
        <v>-94</v>
      </c>
      <c r="AC10" s="21"/>
      <c r="AE10" s="16" t="s">
        <v>24</v>
      </c>
      <c r="AF10" s="21">
        <f>AF6-AF7-AF8-AF9</f>
        <v>275.09100000000024</v>
      </c>
      <c r="AG10" s="21">
        <f t="shared" ref="AG10:AJ10" si="9">AG6-AG7-AG8-AG9</f>
        <v>100.69999999999968</v>
      </c>
      <c r="AH10" s="21">
        <f t="shared" si="9"/>
        <v>189.99999999999983</v>
      </c>
      <c r="AI10" s="21">
        <f t="shared" si="9"/>
        <v>328.7</v>
      </c>
      <c r="AJ10" s="21">
        <f t="shared" si="9"/>
        <v>289.69999999999948</v>
      </c>
    </row>
    <row r="11" spans="1:36" x14ac:dyDescent="0.3">
      <c r="P11" s="17"/>
      <c r="Q11" s="17"/>
      <c r="R11" s="17"/>
      <c r="S11" s="17"/>
      <c r="T11" s="17"/>
      <c r="U11" s="17"/>
      <c r="V11" s="17"/>
    </row>
    <row r="12" spans="1:36" x14ac:dyDescent="0.3">
      <c r="A12" s="16" t="s">
        <v>25</v>
      </c>
      <c r="H12" s="16" t="s">
        <v>25</v>
      </c>
      <c r="O12" s="16" t="s">
        <v>25</v>
      </c>
      <c r="P12" s="17"/>
      <c r="Q12" s="17"/>
      <c r="R12" s="17"/>
      <c r="S12" s="17"/>
      <c r="T12" s="17"/>
      <c r="U12" s="17"/>
      <c r="V12" s="17"/>
      <c r="W12" s="16" t="s">
        <v>25</v>
      </c>
      <c r="AE12" s="16" t="s">
        <v>25</v>
      </c>
    </row>
    <row r="13" spans="1:36" x14ac:dyDescent="0.3">
      <c r="A13" s="17" t="s">
        <v>11</v>
      </c>
      <c r="B13" s="19" t="s">
        <v>12</v>
      </c>
      <c r="C13" s="19" t="s">
        <v>13</v>
      </c>
      <c r="D13" s="19" t="s">
        <v>14</v>
      </c>
      <c r="E13" s="19" t="s">
        <v>15</v>
      </c>
      <c r="F13" s="19" t="s">
        <v>16</v>
      </c>
      <c r="H13" s="17" t="s">
        <v>11</v>
      </c>
      <c r="I13" s="19" t="s">
        <v>12</v>
      </c>
      <c r="J13" s="19" t="s">
        <v>13</v>
      </c>
      <c r="K13" s="19" t="s">
        <v>14</v>
      </c>
      <c r="L13" s="19" t="s">
        <v>15</v>
      </c>
      <c r="M13" s="19" t="s">
        <v>16</v>
      </c>
      <c r="O13" s="17" t="s">
        <v>11</v>
      </c>
      <c r="P13" s="19" t="s">
        <v>12</v>
      </c>
      <c r="Q13" s="19" t="s">
        <v>13</v>
      </c>
      <c r="R13" s="19" t="s">
        <v>14</v>
      </c>
      <c r="S13" s="19" t="s">
        <v>15</v>
      </c>
      <c r="T13" s="19" t="s">
        <v>16</v>
      </c>
      <c r="U13" s="19"/>
      <c r="V13" s="17"/>
      <c r="W13" s="17" t="s">
        <v>11</v>
      </c>
      <c r="X13" s="19" t="s">
        <v>12</v>
      </c>
      <c r="Y13" s="19" t="s">
        <v>13</v>
      </c>
      <c r="Z13" s="19" t="s">
        <v>14</v>
      </c>
      <c r="AA13" s="19" t="s">
        <v>15</v>
      </c>
      <c r="AB13" s="19" t="s">
        <v>16</v>
      </c>
      <c r="AC13" s="19"/>
      <c r="AE13" s="17" t="s">
        <v>11</v>
      </c>
      <c r="AF13" s="19" t="s">
        <v>12</v>
      </c>
      <c r="AG13" s="19" t="s">
        <v>13</v>
      </c>
      <c r="AH13" s="19" t="s">
        <v>14</v>
      </c>
      <c r="AI13" s="19" t="s">
        <v>15</v>
      </c>
      <c r="AJ13" s="19" t="s">
        <v>16</v>
      </c>
    </row>
    <row r="14" spans="1:36" x14ac:dyDescent="0.3">
      <c r="A14" s="17" t="s">
        <v>26</v>
      </c>
      <c r="B14" s="20">
        <v>9352</v>
      </c>
      <c r="C14" s="20">
        <v>9254</v>
      </c>
      <c r="D14" s="20">
        <v>7004</v>
      </c>
      <c r="E14" s="20">
        <v>6978</v>
      </c>
      <c r="F14" s="20">
        <v>6889</v>
      </c>
      <c r="H14" s="17" t="s">
        <v>26</v>
      </c>
      <c r="I14" s="20">
        <v>862.42399999999998</v>
      </c>
      <c r="J14" s="20">
        <v>1014.249</v>
      </c>
      <c r="K14" s="20">
        <v>1140.479</v>
      </c>
      <c r="L14" s="20">
        <v>770.85299999999995</v>
      </c>
      <c r="M14" s="20">
        <v>1144.7950000000001</v>
      </c>
      <c r="O14" s="17" t="s">
        <v>26</v>
      </c>
      <c r="P14" s="20">
        <v>1708.3320000000001</v>
      </c>
      <c r="Q14" s="20">
        <v>1229.1959999999999</v>
      </c>
      <c r="R14" s="20">
        <v>1172.2090000000001</v>
      </c>
      <c r="S14" s="20">
        <v>1260.2059999999999</v>
      </c>
      <c r="T14" s="20">
        <v>1580.877</v>
      </c>
      <c r="U14" s="20"/>
      <c r="V14" s="17"/>
      <c r="W14" s="17" t="s">
        <v>26</v>
      </c>
      <c r="X14" s="20">
        <v>2198.7809999999999</v>
      </c>
      <c r="Y14" s="20">
        <v>2209</v>
      </c>
      <c r="Z14" s="20">
        <v>2439</v>
      </c>
      <c r="AA14" s="20">
        <v>2519</v>
      </c>
      <c r="AB14" s="20">
        <v>2829</v>
      </c>
      <c r="AC14" s="20"/>
      <c r="AE14" s="17" t="s">
        <v>26</v>
      </c>
      <c r="AF14" s="20">
        <v>1197.068</v>
      </c>
      <c r="AG14" s="20">
        <v>235</v>
      </c>
      <c r="AH14" s="20">
        <v>161.4</v>
      </c>
      <c r="AI14" s="20">
        <v>931.1</v>
      </c>
      <c r="AJ14" s="20">
        <v>559.70000000000005</v>
      </c>
    </row>
    <row r="15" spans="1:36" s="16" customFormat="1" x14ac:dyDescent="0.3">
      <c r="A15" s="16" t="s">
        <v>27</v>
      </c>
      <c r="B15" s="21">
        <f>7317+9463</f>
        <v>16780</v>
      </c>
      <c r="C15" s="21">
        <f>8477+8898</f>
        <v>17375</v>
      </c>
      <c r="D15" s="21">
        <f>8856+9013</f>
        <v>17869</v>
      </c>
      <c r="E15" s="21">
        <f>9310+9510</f>
        <v>18820</v>
      </c>
      <c r="F15" s="21">
        <f>9282+9565</f>
        <v>18847</v>
      </c>
      <c r="H15" s="16" t="s">
        <v>27</v>
      </c>
      <c r="I15" s="21">
        <v>3167.31</v>
      </c>
      <c r="J15" s="21">
        <v>3101.4180000000001</v>
      </c>
      <c r="K15" s="21">
        <v>3405.3809999999999</v>
      </c>
      <c r="L15" s="21">
        <v>2430.9409999999998</v>
      </c>
      <c r="M15" s="21">
        <v>2845.4520000000002</v>
      </c>
      <c r="O15" s="16" t="s">
        <v>127</v>
      </c>
      <c r="P15" s="21">
        <v>12998.950999999999</v>
      </c>
      <c r="Q15" s="21">
        <v>11733.954</v>
      </c>
      <c r="R15" s="21">
        <v>11139.315000000001</v>
      </c>
      <c r="S15" s="21">
        <v>11233.397999999999</v>
      </c>
      <c r="T15" s="21">
        <v>12061.669</v>
      </c>
      <c r="U15" s="21"/>
      <c r="W15" s="16" t="s">
        <v>127</v>
      </c>
      <c r="X15" s="21">
        <v>7309.8119999999999</v>
      </c>
      <c r="Y15" s="21">
        <v>7089</v>
      </c>
      <c r="Z15" s="21">
        <v>6827</v>
      </c>
      <c r="AA15" s="21">
        <v>6973</v>
      </c>
      <c r="AB15" s="21">
        <v>9143</v>
      </c>
      <c r="AC15" s="21"/>
      <c r="AE15" s="16" t="s">
        <v>127</v>
      </c>
      <c r="AF15" s="21">
        <v>11686.905000000001</v>
      </c>
      <c r="AG15" s="21">
        <v>13682.6</v>
      </c>
      <c r="AH15" s="21">
        <v>14234.6</v>
      </c>
      <c r="AI15" s="21">
        <v>14545.7</v>
      </c>
      <c r="AJ15" s="21">
        <v>17104.8</v>
      </c>
    </row>
    <row r="16" spans="1:36" x14ac:dyDescent="0.3">
      <c r="A16" s="17" t="s">
        <v>28</v>
      </c>
      <c r="B16" s="20">
        <v>11402</v>
      </c>
      <c r="C16" s="20">
        <v>14038</v>
      </c>
      <c r="D16" s="20">
        <v>18270</v>
      </c>
      <c r="E16" s="20">
        <v>16565</v>
      </c>
      <c r="F16" s="20">
        <v>16827</v>
      </c>
      <c r="H16" s="17" t="s">
        <v>28</v>
      </c>
      <c r="I16" s="20">
        <v>0</v>
      </c>
      <c r="J16" s="20">
        <v>0</v>
      </c>
      <c r="K16" s="20">
        <v>0</v>
      </c>
      <c r="L16" s="20">
        <v>0</v>
      </c>
      <c r="M16" s="20">
        <v>0</v>
      </c>
      <c r="O16" s="17" t="s">
        <v>28</v>
      </c>
      <c r="P16" s="20">
        <v>0</v>
      </c>
      <c r="Q16" s="20">
        <v>0</v>
      </c>
      <c r="R16" s="20">
        <v>0</v>
      </c>
      <c r="S16" s="20">
        <v>0</v>
      </c>
      <c r="T16" s="20">
        <v>0</v>
      </c>
      <c r="U16" s="20"/>
      <c r="V16" s="17"/>
      <c r="W16" s="17" t="s">
        <v>28</v>
      </c>
      <c r="X16" s="20">
        <v>0</v>
      </c>
      <c r="Y16" s="20">
        <v>0</v>
      </c>
      <c r="Z16" s="20">
        <v>0</v>
      </c>
      <c r="AA16" s="20">
        <v>0</v>
      </c>
      <c r="AB16" s="20">
        <v>0</v>
      </c>
      <c r="AC16" s="20"/>
      <c r="AE16" s="17" t="s">
        <v>28</v>
      </c>
      <c r="AF16" s="20">
        <v>448.58499999999998</v>
      </c>
      <c r="AG16" s="20">
        <v>521.29999999999995</v>
      </c>
      <c r="AH16" s="20">
        <v>579.29999999999995</v>
      </c>
      <c r="AI16" s="20">
        <v>615.6</v>
      </c>
      <c r="AJ16" s="20">
        <v>681.8</v>
      </c>
    </row>
    <row r="17" spans="1:37" x14ac:dyDescent="0.3">
      <c r="A17" s="16" t="s">
        <v>29</v>
      </c>
      <c r="B17" s="21">
        <v>39464</v>
      </c>
      <c r="C17" s="21">
        <v>43455</v>
      </c>
      <c r="D17" s="21">
        <v>43785</v>
      </c>
      <c r="E17" s="21">
        <v>46949</v>
      </c>
      <c r="F17" s="21">
        <v>45682</v>
      </c>
      <c r="G17" s="16"/>
      <c r="H17" s="16" t="s">
        <v>29</v>
      </c>
      <c r="I17" s="21">
        <v>4539.5990000000002</v>
      </c>
      <c r="J17" s="21">
        <v>4291.8950000000004</v>
      </c>
      <c r="K17" s="21">
        <v>4721.9939999999997</v>
      </c>
      <c r="L17" s="21">
        <v>4690.3530000000001</v>
      </c>
      <c r="M17" s="21">
        <v>4895.58</v>
      </c>
      <c r="O17" s="16" t="s">
        <v>29</v>
      </c>
      <c r="P17" s="21">
        <v>7530.366</v>
      </c>
      <c r="Q17" s="21">
        <v>6173.5429999999997</v>
      </c>
      <c r="R17" s="21">
        <v>5822.81</v>
      </c>
      <c r="S17" s="21">
        <v>6169.5110000000004</v>
      </c>
      <c r="T17" s="21">
        <v>7176.0590000000002</v>
      </c>
      <c r="U17" s="21"/>
      <c r="V17" s="16"/>
      <c r="W17" s="16" t="s">
        <v>29</v>
      </c>
      <c r="X17" s="21">
        <v>5034.009</v>
      </c>
      <c r="Y17" s="21">
        <v>5181</v>
      </c>
      <c r="Z17" s="21">
        <v>5044</v>
      </c>
      <c r="AA17" s="21">
        <v>5063</v>
      </c>
      <c r="AB17" s="21">
        <v>5175</v>
      </c>
      <c r="AC17" s="21"/>
      <c r="AE17" s="16" t="s">
        <v>29</v>
      </c>
      <c r="AF17" s="21">
        <v>2277.165</v>
      </c>
      <c r="AG17" s="21">
        <v>1696.6</v>
      </c>
      <c r="AH17" s="21">
        <v>1902</v>
      </c>
      <c r="AI17" s="21">
        <v>2524.9</v>
      </c>
      <c r="AJ17" s="21">
        <v>2265.6999999999998</v>
      </c>
    </row>
    <row r="18" spans="1:37" x14ac:dyDescent="0.3">
      <c r="A18" s="17" t="s">
        <v>30</v>
      </c>
      <c r="B18" s="20">
        <v>12401</v>
      </c>
      <c r="C18" s="20">
        <v>12090</v>
      </c>
      <c r="D18" s="20">
        <v>12028</v>
      </c>
      <c r="E18" s="20">
        <v>12680</v>
      </c>
      <c r="F18" s="20">
        <v>13361</v>
      </c>
      <c r="H18" s="17" t="s">
        <v>30</v>
      </c>
      <c r="I18" s="20">
        <v>319.37099999999998</v>
      </c>
      <c r="J18" s="20">
        <v>353.11700000000002</v>
      </c>
      <c r="K18" s="20">
        <v>346.67599999999999</v>
      </c>
      <c r="L18" s="20">
        <v>279.74900000000002</v>
      </c>
      <c r="M18" s="20">
        <v>315.63</v>
      </c>
      <c r="O18" s="17" t="s">
        <v>30</v>
      </c>
      <c r="P18" s="20">
        <v>381.67200000000003</v>
      </c>
      <c r="Q18" s="20">
        <v>398.87599999999998</v>
      </c>
      <c r="R18" s="20">
        <v>428.23899999999998</v>
      </c>
      <c r="S18" s="20">
        <v>382.63799999999998</v>
      </c>
      <c r="T18" s="20">
        <v>354.37700000000001</v>
      </c>
      <c r="U18" s="20"/>
      <c r="V18" s="17"/>
      <c r="W18" s="17" t="s">
        <v>30</v>
      </c>
      <c r="X18" s="20">
        <v>561.08399999999995</v>
      </c>
      <c r="Y18" s="20">
        <v>456</v>
      </c>
      <c r="Z18" s="20">
        <v>447</v>
      </c>
      <c r="AA18" s="20">
        <v>458</v>
      </c>
      <c r="AB18" s="20">
        <v>494</v>
      </c>
      <c r="AC18" s="20"/>
      <c r="AE18" s="17" t="s">
        <v>30</v>
      </c>
      <c r="AF18" s="20">
        <v>4425.9989999999998</v>
      </c>
      <c r="AG18" s="20">
        <v>5546.8</v>
      </c>
      <c r="AH18" s="20">
        <v>6051.3</v>
      </c>
      <c r="AI18" s="20">
        <v>6217.7</v>
      </c>
      <c r="AJ18" s="20">
        <v>8461.5</v>
      </c>
    </row>
    <row r="19" spans="1:37" x14ac:dyDescent="0.3">
      <c r="A19" s="17" t="s">
        <v>31</v>
      </c>
      <c r="B19" s="20">
        <v>6128</v>
      </c>
      <c r="C19" s="20">
        <v>8154</v>
      </c>
      <c r="D19" s="20">
        <v>8689</v>
      </c>
      <c r="E19" s="20">
        <v>7906</v>
      </c>
      <c r="F19" s="20">
        <v>7675</v>
      </c>
      <c r="H19" s="17" t="s">
        <v>31</v>
      </c>
      <c r="I19" s="20">
        <v>1061.7539999999999</v>
      </c>
      <c r="J19" s="20">
        <v>908.44100000000003</v>
      </c>
      <c r="K19" s="20">
        <v>966.79200000000003</v>
      </c>
      <c r="L19" s="20">
        <v>922.35500000000002</v>
      </c>
      <c r="M19" s="20">
        <v>1029.1400000000001</v>
      </c>
      <c r="O19" s="17" t="s">
        <v>31</v>
      </c>
      <c r="P19" s="20">
        <v>2352.1439999999998</v>
      </c>
      <c r="Q19" s="20">
        <v>2090.4789999999998</v>
      </c>
      <c r="R19" s="20">
        <v>2027.3140000000001</v>
      </c>
      <c r="S19" s="20">
        <v>2190.7550000000001</v>
      </c>
      <c r="T19" s="20">
        <v>2560.1219999999998</v>
      </c>
      <c r="U19" s="20"/>
      <c r="V19" s="17"/>
      <c r="W19" s="17" t="s">
        <v>31</v>
      </c>
      <c r="X19" s="20">
        <v>1232.2360000000001</v>
      </c>
      <c r="Y19" s="20">
        <v>1220</v>
      </c>
      <c r="Z19" s="20">
        <v>1017</v>
      </c>
      <c r="AA19" s="20">
        <v>1214</v>
      </c>
      <c r="AB19" s="20">
        <v>1220</v>
      </c>
      <c r="AC19" s="20"/>
      <c r="AE19" s="17" t="s">
        <v>31</v>
      </c>
      <c r="AF19" s="20">
        <v>273.08</v>
      </c>
      <c r="AG19" s="20">
        <v>365.5</v>
      </c>
      <c r="AH19" s="20">
        <v>454.5</v>
      </c>
      <c r="AI19" s="20">
        <v>390.4</v>
      </c>
      <c r="AJ19" s="20">
        <v>407</v>
      </c>
    </row>
    <row r="20" spans="1:37" x14ac:dyDescent="0.3">
      <c r="A20" s="16" t="s">
        <v>32</v>
      </c>
      <c r="B20" s="21">
        <v>25717</v>
      </c>
      <c r="C20" s="21">
        <v>29847</v>
      </c>
      <c r="D20" s="21">
        <v>31531</v>
      </c>
      <c r="E20" s="21">
        <v>34728</v>
      </c>
      <c r="F20" s="21">
        <v>32272</v>
      </c>
      <c r="G20" s="16"/>
      <c r="H20" s="16" t="s">
        <v>32</v>
      </c>
      <c r="I20" s="21">
        <v>2941.5970000000002</v>
      </c>
      <c r="J20" s="21">
        <v>3209.924</v>
      </c>
      <c r="K20" s="21">
        <v>3250.8449999999998</v>
      </c>
      <c r="L20" s="21">
        <v>3422.5610000000001</v>
      </c>
      <c r="M20" s="21">
        <v>4079.741</v>
      </c>
      <c r="O20" s="16" t="s">
        <v>32</v>
      </c>
      <c r="P20" s="21">
        <v>6090.4539999999997</v>
      </c>
      <c r="Q20" s="21">
        <v>5521.7150000000001</v>
      </c>
      <c r="R20" s="21">
        <v>5404.1710000000003</v>
      </c>
      <c r="S20" s="21">
        <v>5852.2830000000004</v>
      </c>
      <c r="T20" s="21">
        <v>6374.0810000000001</v>
      </c>
      <c r="U20" s="21"/>
      <c r="V20" s="16"/>
      <c r="W20" s="16" t="s">
        <v>32</v>
      </c>
      <c r="X20" s="21">
        <v>3572.0369999999998</v>
      </c>
      <c r="Y20" s="21">
        <v>3614</v>
      </c>
      <c r="Z20" s="21">
        <v>3216</v>
      </c>
      <c r="AA20" s="21">
        <v>3163</v>
      </c>
      <c r="AB20" s="21">
        <v>3071</v>
      </c>
      <c r="AC20" s="21"/>
      <c r="AE20" s="16" t="s">
        <v>32</v>
      </c>
      <c r="AF20" s="21">
        <v>1047.883</v>
      </c>
      <c r="AG20" s="21">
        <v>769.3</v>
      </c>
      <c r="AH20" s="21">
        <v>956.6</v>
      </c>
      <c r="AI20" s="21">
        <v>797.6</v>
      </c>
      <c r="AJ20" s="21">
        <v>1239.0999999999999</v>
      </c>
    </row>
    <row r="21" spans="1:37" x14ac:dyDescent="0.3">
      <c r="A21" s="17" t="s">
        <v>33</v>
      </c>
      <c r="B21" s="20">
        <f>10+2005+9749+16250</f>
        <v>28014</v>
      </c>
      <c r="C21" s="20">
        <f>9+5395+9746+16287</f>
        <v>31437</v>
      </c>
      <c r="D21" s="20">
        <f>3+5954+9498+16216</f>
        <v>31671</v>
      </c>
      <c r="E21" s="20">
        <f>4643+8763+24472</f>
        <v>37878</v>
      </c>
      <c r="F21" s="20">
        <f>4393+6665+27351</f>
        <v>38409</v>
      </c>
      <c r="H21" s="17" t="s">
        <v>33</v>
      </c>
      <c r="I21" s="20">
        <f>1676.941</f>
        <v>1676.941</v>
      </c>
      <c r="J21" s="20">
        <f>53.456+2839.933</f>
        <v>2893.3890000000001</v>
      </c>
      <c r="K21" s="20">
        <f>50.415+3357.256</f>
        <v>3407.6709999999998</v>
      </c>
      <c r="L21" s="20">
        <f>61.43+2813.471</f>
        <v>2874.9009999999998</v>
      </c>
      <c r="M21" s="20">
        <f>875.76+1348.594</f>
        <v>2224.3540000000003</v>
      </c>
      <c r="O21" s="17" t="s">
        <v>33</v>
      </c>
      <c r="P21" s="20">
        <f>0.223+20.651+2041.136</f>
        <v>2062.0099999999998</v>
      </c>
      <c r="Q21" s="20">
        <f>4.369+49.469+2157.74</f>
        <v>2211.578</v>
      </c>
      <c r="R21" s="20">
        <f>5.032+43.574+2156.686</f>
        <v>2205.2920000000004</v>
      </c>
      <c r="S21" s="20">
        <f>3.085+86.369+2113.369</f>
        <v>2202.8230000000003</v>
      </c>
      <c r="T21" s="20">
        <f>3.08+63.844+2450.33</f>
        <v>2517.2539999999999</v>
      </c>
      <c r="U21" s="20"/>
      <c r="V21" s="17"/>
      <c r="W21" s="17" t="s">
        <v>33</v>
      </c>
      <c r="X21" s="20">
        <f>25.415+1710.033</f>
        <v>1735.4479999999999</v>
      </c>
      <c r="Y21" s="20">
        <f>18+1174</f>
        <v>1192</v>
      </c>
      <c r="Z21" s="20">
        <f>152+978</f>
        <v>1130</v>
      </c>
      <c r="AA21" s="20">
        <f>1158</f>
        <v>1158</v>
      </c>
      <c r="AB21" s="20">
        <v>1104</v>
      </c>
      <c r="AC21" s="20"/>
      <c r="AE21" s="17" t="s">
        <v>33</v>
      </c>
      <c r="AF21" s="20">
        <f>515.435+2772.24</f>
        <v>3287.6749999999997</v>
      </c>
      <c r="AG21" s="20">
        <f>5.2+0+3874.8</f>
        <v>3880</v>
      </c>
      <c r="AH21" s="20">
        <f>0.5+100+3875.2</f>
        <v>3975.7</v>
      </c>
      <c r="AI21" s="20">
        <f>0.5+3877.3</f>
        <v>3877.8</v>
      </c>
      <c r="AJ21" s="20">
        <f>400.5+4906.9</f>
        <v>5307.4</v>
      </c>
    </row>
    <row r="22" spans="1:37" x14ac:dyDescent="0.3">
      <c r="A22" s="17" t="s">
        <v>34</v>
      </c>
      <c r="B22" s="20">
        <v>15378</v>
      </c>
      <c r="C22" s="20">
        <v>16516</v>
      </c>
      <c r="D22" s="20">
        <v>15891</v>
      </c>
      <c r="E22" s="20">
        <v>19503</v>
      </c>
      <c r="F22" s="20">
        <v>19494</v>
      </c>
      <c r="H22" s="17" t="s">
        <v>34</v>
      </c>
      <c r="I22" s="20">
        <v>5855.6670000000004</v>
      </c>
      <c r="J22" s="20">
        <v>5974.8370000000004</v>
      </c>
      <c r="K22" s="20">
        <v>6104.3919999999998</v>
      </c>
      <c r="L22" s="20">
        <v>6600.0820000000003</v>
      </c>
      <c r="M22" s="20">
        <v>4567.3029999999999</v>
      </c>
      <c r="O22" s="17" t="s">
        <v>34</v>
      </c>
      <c r="P22" s="20">
        <v>3413.5439999999999</v>
      </c>
      <c r="Q22" s="20">
        <v>2829.5770000000002</v>
      </c>
      <c r="R22" s="20">
        <f>2605.379</f>
        <v>2605.3789999999999</v>
      </c>
      <c r="S22" s="20">
        <v>2383.7109999999998</v>
      </c>
      <c r="T22" s="20">
        <v>2370.41</v>
      </c>
      <c r="U22" s="20"/>
      <c r="V22" s="17"/>
      <c r="W22" s="17" t="s">
        <v>34</v>
      </c>
      <c r="X22" s="20">
        <v>1263.2270000000001</v>
      </c>
      <c r="Y22" s="20">
        <v>1567</v>
      </c>
      <c r="Z22" s="20">
        <v>1996</v>
      </c>
      <c r="AA22" s="20">
        <v>2052</v>
      </c>
      <c r="AB22" s="20">
        <v>3992</v>
      </c>
      <c r="AC22" s="20"/>
      <c r="AE22" s="17" t="s">
        <v>34</v>
      </c>
      <c r="AF22" s="20">
        <v>6027.33</v>
      </c>
      <c r="AG22" s="20">
        <v>6567.7</v>
      </c>
      <c r="AH22" s="20">
        <v>6952.2</v>
      </c>
      <c r="AI22" s="20">
        <v>7507.9</v>
      </c>
      <c r="AJ22" s="20">
        <v>8142.5</v>
      </c>
    </row>
    <row r="23" spans="1:37" x14ac:dyDescent="0.3">
      <c r="P23" s="17"/>
      <c r="Q23" s="17"/>
      <c r="R23" s="17"/>
      <c r="S23" s="17"/>
      <c r="T23" s="17"/>
      <c r="U23" s="17"/>
      <c r="V23" s="17"/>
    </row>
    <row r="24" spans="1:37" x14ac:dyDescent="0.3">
      <c r="A24" s="16" t="s">
        <v>35</v>
      </c>
      <c r="H24" s="16" t="s">
        <v>35</v>
      </c>
      <c r="O24" s="16" t="s">
        <v>35</v>
      </c>
      <c r="P24" s="17"/>
      <c r="Q24" s="17"/>
      <c r="R24" s="17"/>
      <c r="S24" s="17"/>
      <c r="T24" s="17"/>
      <c r="U24" s="17"/>
      <c r="V24" s="17"/>
      <c r="W24" s="16" t="s">
        <v>35</v>
      </c>
      <c r="AE24" s="16" t="s">
        <v>35</v>
      </c>
    </row>
    <row r="25" spans="1:37" x14ac:dyDescent="0.3">
      <c r="A25" s="17" t="s">
        <v>11</v>
      </c>
      <c r="B25" s="19" t="s">
        <v>12</v>
      </c>
      <c r="C25" s="19" t="s">
        <v>13</v>
      </c>
      <c r="D25" s="19" t="s">
        <v>14</v>
      </c>
      <c r="E25" s="19" t="s">
        <v>15</v>
      </c>
      <c r="F25" s="19" t="s">
        <v>16</v>
      </c>
      <c r="H25" s="17" t="s">
        <v>11</v>
      </c>
      <c r="I25" s="19" t="s">
        <v>12</v>
      </c>
      <c r="J25" s="19" t="s">
        <v>13</v>
      </c>
      <c r="K25" s="19" t="s">
        <v>14</v>
      </c>
      <c r="L25" s="19" t="s">
        <v>15</v>
      </c>
      <c r="M25" s="19" t="s">
        <v>16</v>
      </c>
      <c r="O25" s="17" t="s">
        <v>11</v>
      </c>
      <c r="P25" s="19" t="s">
        <v>12</v>
      </c>
      <c r="Q25" s="19" t="s">
        <v>13</v>
      </c>
      <c r="R25" s="19" t="s">
        <v>14</v>
      </c>
      <c r="S25" s="19" t="s">
        <v>15</v>
      </c>
      <c r="T25" s="19" t="s">
        <v>16</v>
      </c>
      <c r="U25" s="19"/>
      <c r="V25" s="17"/>
      <c r="W25" s="17" t="s">
        <v>11</v>
      </c>
      <c r="X25" s="19" t="s">
        <v>12</v>
      </c>
      <c r="Y25" s="19" t="s">
        <v>13</v>
      </c>
      <c r="Z25" s="19" t="s">
        <v>14</v>
      </c>
      <c r="AA25" s="19" t="s">
        <v>15</v>
      </c>
      <c r="AB25" s="19" t="s">
        <v>16</v>
      </c>
      <c r="AC25" s="19"/>
      <c r="AE25" s="17" t="s">
        <v>11</v>
      </c>
      <c r="AF25" s="19" t="s">
        <v>12</v>
      </c>
      <c r="AG25" s="19" t="s">
        <v>13</v>
      </c>
      <c r="AH25" s="19" t="s">
        <v>14</v>
      </c>
      <c r="AI25" s="19" t="s">
        <v>15</v>
      </c>
      <c r="AJ25" s="19" t="s">
        <v>16</v>
      </c>
    </row>
    <row r="26" spans="1:37" x14ac:dyDescent="0.3">
      <c r="A26" s="17" t="s">
        <v>36</v>
      </c>
      <c r="B26" s="20">
        <v>6327</v>
      </c>
      <c r="C26" s="20">
        <v>7198</v>
      </c>
      <c r="D26" s="20">
        <v>7766</v>
      </c>
      <c r="E26" s="20">
        <v>12885</v>
      </c>
      <c r="F26" s="20">
        <v>12035</v>
      </c>
      <c r="H26" s="17" t="s">
        <v>36</v>
      </c>
      <c r="I26" s="20">
        <v>806.84900000000005</v>
      </c>
      <c r="J26" s="20">
        <v>726.27499999999998</v>
      </c>
      <c r="K26" s="20">
        <v>474.709</v>
      </c>
      <c r="L26" s="20">
        <v>974.76300000000003</v>
      </c>
      <c r="M26" s="20">
        <v>1054.673</v>
      </c>
      <c r="O26" s="17" t="s">
        <v>36</v>
      </c>
      <c r="P26" s="20">
        <v>329.62200000000001</v>
      </c>
      <c r="Q26" s="20">
        <v>704.67</v>
      </c>
      <c r="R26" s="20">
        <v>713.63599999999997</v>
      </c>
      <c r="S26" s="20">
        <v>695.98</v>
      </c>
      <c r="T26" s="20">
        <v>827.49</v>
      </c>
      <c r="U26" s="20"/>
      <c r="V26" s="17"/>
      <c r="W26" s="17" t="s">
        <v>36</v>
      </c>
      <c r="X26" s="20">
        <v>185.88399999999999</v>
      </c>
      <c r="Y26" s="20">
        <v>25</v>
      </c>
      <c r="Z26" s="20">
        <v>31</v>
      </c>
      <c r="AA26" s="20">
        <v>212</v>
      </c>
      <c r="AB26" s="20">
        <v>828</v>
      </c>
      <c r="AC26" s="20"/>
      <c r="AE26" s="17" t="s">
        <v>36</v>
      </c>
      <c r="AF26" s="20">
        <v>1070.3589999999999</v>
      </c>
      <c r="AG26" s="20">
        <v>1011.9</v>
      </c>
      <c r="AH26" s="20">
        <v>1148.2</v>
      </c>
      <c r="AI26" s="20">
        <v>1536.8</v>
      </c>
      <c r="AJ26" s="20">
        <v>1409.6</v>
      </c>
    </row>
    <row r="27" spans="1:37" x14ac:dyDescent="0.3">
      <c r="A27" s="17" t="s">
        <v>37</v>
      </c>
      <c r="B27" s="20">
        <v>978</v>
      </c>
      <c r="C27" s="20">
        <v>1093</v>
      </c>
      <c r="D27" s="20">
        <v>1296</v>
      </c>
      <c r="E27" s="20">
        <v>1597</v>
      </c>
      <c r="F27" s="20">
        <v>1988</v>
      </c>
      <c r="H27" s="17" t="s">
        <v>37</v>
      </c>
      <c r="I27" s="20">
        <v>118.26900000000001</v>
      </c>
      <c r="J27" s="20">
        <v>92.813999999999993</v>
      </c>
      <c r="K27" s="20">
        <v>127.61499999999999</v>
      </c>
      <c r="L27" s="20">
        <v>137.48599999999999</v>
      </c>
      <c r="M27" s="20">
        <v>121.114</v>
      </c>
      <c r="O27" s="17" t="s">
        <v>37</v>
      </c>
      <c r="P27" s="20">
        <v>114.59099999999999</v>
      </c>
      <c r="Q27" s="20">
        <v>136.262</v>
      </c>
      <c r="R27" s="20">
        <v>137.017</v>
      </c>
      <c r="S27" s="20">
        <v>105.6</v>
      </c>
      <c r="T27" s="20">
        <v>119.59699999999999</v>
      </c>
      <c r="U27" s="20"/>
      <c r="V27" s="17"/>
      <c r="W27" s="17" t="s">
        <v>37</v>
      </c>
      <c r="X27" s="20">
        <v>113.44199999999999</v>
      </c>
      <c r="Y27" s="20">
        <v>75</v>
      </c>
      <c r="Z27" s="20">
        <v>75</v>
      </c>
      <c r="AA27" s="20">
        <v>106</v>
      </c>
      <c r="AB27" s="20">
        <v>164</v>
      </c>
      <c r="AC27" s="20"/>
      <c r="AE27" s="17" t="s">
        <v>37</v>
      </c>
      <c r="AF27" s="20">
        <v>362.19400000000002</v>
      </c>
      <c r="AG27" s="20">
        <v>451.3</v>
      </c>
      <c r="AH27" s="20">
        <v>612.6</v>
      </c>
      <c r="AI27" s="20">
        <v>872.6</v>
      </c>
      <c r="AJ27" s="20">
        <v>603.5</v>
      </c>
    </row>
    <row r="28" spans="1:37" x14ac:dyDescent="0.3">
      <c r="A28" s="17" t="s">
        <v>38</v>
      </c>
      <c r="B28" s="20">
        <v>2243</v>
      </c>
      <c r="C28" s="20">
        <v>2332</v>
      </c>
      <c r="D28" s="20">
        <v>2440</v>
      </c>
      <c r="E28" s="20">
        <v>2563</v>
      </c>
      <c r="F28" s="20">
        <v>2646</v>
      </c>
      <c r="H28" s="17" t="s">
        <v>38</v>
      </c>
      <c r="I28" s="20">
        <v>143.96199999999999</v>
      </c>
      <c r="J28" s="20">
        <f>107.188+48.784</f>
        <v>155.97200000000001</v>
      </c>
      <c r="K28" s="20">
        <f>115.948+26.982</f>
        <v>142.93</v>
      </c>
      <c r="L28" s="20">
        <f>128.42+23.156</f>
        <v>151.57599999999999</v>
      </c>
      <c r="M28" s="20">
        <f>142.779+21.678</f>
        <v>164.45699999999999</v>
      </c>
      <c r="O28" s="17" t="s">
        <v>38</v>
      </c>
      <c r="P28" s="20">
        <v>0</v>
      </c>
      <c r="Q28" s="20">
        <v>0</v>
      </c>
      <c r="R28" s="20">
        <v>63.287999999999997</v>
      </c>
      <c r="S28" s="20">
        <v>96.191999999999993</v>
      </c>
      <c r="T28" s="20">
        <v>115.244</v>
      </c>
      <c r="U28" s="20"/>
      <c r="V28" s="17"/>
      <c r="W28" s="17" t="s">
        <v>38</v>
      </c>
      <c r="X28" s="20">
        <v>28.72</v>
      </c>
      <c r="Y28" s="20">
        <v>19</v>
      </c>
      <c r="Z28" s="20">
        <v>39</v>
      </c>
      <c r="AA28" s="20">
        <v>29</v>
      </c>
      <c r="AB28" s="20">
        <v>0</v>
      </c>
      <c r="AC28" s="20"/>
      <c r="AE28" s="17" t="s">
        <v>38</v>
      </c>
      <c r="AF28" s="20">
        <v>180.21600000000001</v>
      </c>
      <c r="AG28" s="20">
        <v>196.4</v>
      </c>
      <c r="AH28" s="20">
        <v>212.6</v>
      </c>
      <c r="AI28" s="20">
        <v>228.4</v>
      </c>
      <c r="AJ28" s="20">
        <v>244.4</v>
      </c>
    </row>
    <row r="29" spans="1:37" x14ac:dyDescent="0.3">
      <c r="A29" s="17" t="s">
        <v>39</v>
      </c>
      <c r="B29" s="20">
        <f>26+8211</f>
        <v>8237</v>
      </c>
      <c r="C29" s="20">
        <f>1919+7877</f>
        <v>9796</v>
      </c>
      <c r="D29" s="20">
        <f>25+7703</f>
        <v>7728</v>
      </c>
      <c r="E29" s="20">
        <f>6318+1345</f>
        <v>7663</v>
      </c>
      <c r="F29" s="20">
        <f>9316+168</f>
        <v>9484</v>
      </c>
      <c r="H29" s="17" t="s">
        <v>39</v>
      </c>
      <c r="I29" s="20">
        <f>2521.467+200.008</f>
        <v>2721.4749999999999</v>
      </c>
      <c r="J29" s="20">
        <f>3216.965+7.675</f>
        <v>3224.6400000000003</v>
      </c>
      <c r="K29" s="20">
        <f>2420.166+6.359</f>
        <v>2426.5250000000001</v>
      </c>
      <c r="L29" s="20">
        <f>4486.679+3.353</f>
        <v>4490.0320000000002</v>
      </c>
      <c r="M29" s="20">
        <f>3370.355+866.761</f>
        <v>4237.116</v>
      </c>
      <c r="O29" s="17" t="s">
        <v>39</v>
      </c>
      <c r="P29" s="20">
        <v>5568.32</v>
      </c>
      <c r="Q29" s="20">
        <v>2726.3470000000002</v>
      </c>
      <c r="R29" s="20">
        <v>3657.308</v>
      </c>
      <c r="S29" s="20">
        <v>3552.6390000000001</v>
      </c>
      <c r="T29" s="20">
        <v>5878.4750000000004</v>
      </c>
      <c r="U29" s="20"/>
      <c r="V29" s="17"/>
      <c r="W29" s="17" t="s">
        <v>39</v>
      </c>
      <c r="X29" s="20">
        <v>0</v>
      </c>
      <c r="Y29" s="20">
        <v>0</v>
      </c>
      <c r="Z29" s="20">
        <v>0</v>
      </c>
      <c r="AA29" s="20">
        <v>0</v>
      </c>
      <c r="AB29" s="20">
        <v>0</v>
      </c>
      <c r="AC29" s="20"/>
      <c r="AE29" s="17" t="s">
        <v>39</v>
      </c>
      <c r="AF29" s="20">
        <f>250.025</f>
        <v>250.02500000000001</v>
      </c>
      <c r="AG29" s="20">
        <f>1451.7</f>
        <v>1451.7</v>
      </c>
      <c r="AH29" s="20">
        <f>1261+557.7</f>
        <v>1818.7</v>
      </c>
      <c r="AI29" s="20">
        <f>266.1+550.5</f>
        <v>816.6</v>
      </c>
      <c r="AJ29" s="20">
        <f>8+550.5</f>
        <v>558.5</v>
      </c>
    </row>
    <row r="32" spans="1:37" x14ac:dyDescent="0.3">
      <c r="O32" s="17" t="s">
        <v>11</v>
      </c>
      <c r="P32" s="22" t="s">
        <v>12</v>
      </c>
      <c r="Q32" s="22" t="s">
        <v>13</v>
      </c>
      <c r="R32" s="22" t="s">
        <v>14</v>
      </c>
      <c r="S32" s="22" t="s">
        <v>15</v>
      </c>
      <c r="T32" s="22" t="s">
        <v>16</v>
      </c>
      <c r="W32" s="17" t="s">
        <v>11</v>
      </c>
      <c r="X32" s="22" t="s">
        <v>12</v>
      </c>
      <c r="Y32" s="22" t="s">
        <v>13</v>
      </c>
      <c r="Z32" s="22" t="s">
        <v>14</v>
      </c>
      <c r="AA32" s="22" t="s">
        <v>15</v>
      </c>
      <c r="AB32" s="22" t="s">
        <v>16</v>
      </c>
      <c r="AC32" s="22"/>
      <c r="AE32" s="17" t="s">
        <v>11</v>
      </c>
      <c r="AF32" s="22" t="s">
        <v>12</v>
      </c>
      <c r="AG32" s="22" t="s">
        <v>13</v>
      </c>
      <c r="AH32" s="22" t="s">
        <v>14</v>
      </c>
      <c r="AI32" s="22" t="s">
        <v>15</v>
      </c>
      <c r="AJ32" s="22" t="s">
        <v>16</v>
      </c>
      <c r="AK32" s="22"/>
    </row>
    <row r="33" spans="15:37" x14ac:dyDescent="0.3">
      <c r="O33" s="17" t="s">
        <v>17</v>
      </c>
      <c r="P33" s="58">
        <f>P3</f>
        <v>13239.976000000001</v>
      </c>
      <c r="Q33" s="58">
        <f t="shared" ref="Q33:T33" si="10">Q3</f>
        <v>13340.852000000001</v>
      </c>
      <c r="R33" s="58">
        <f t="shared" si="10"/>
        <v>13148.182000000001</v>
      </c>
      <c r="S33" s="58">
        <f t="shared" si="10"/>
        <v>14378.460999999999</v>
      </c>
      <c r="T33" s="58">
        <f t="shared" si="10"/>
        <v>16105.498</v>
      </c>
      <c r="W33" s="17" t="s">
        <v>17</v>
      </c>
      <c r="X33" s="58">
        <f>X3</f>
        <v>15668.477000000001</v>
      </c>
      <c r="Y33" s="58">
        <f t="shared" ref="Y33:AB33" si="11">Y3</f>
        <v>14156</v>
      </c>
      <c r="Z33" s="58">
        <f t="shared" si="11"/>
        <v>13744</v>
      </c>
      <c r="AA33" s="58">
        <f t="shared" si="11"/>
        <v>15474</v>
      </c>
      <c r="AB33" s="58">
        <f t="shared" si="11"/>
        <v>16315</v>
      </c>
      <c r="AC33" s="22"/>
      <c r="AE33" s="17" t="s">
        <v>17</v>
      </c>
      <c r="AF33" s="58">
        <f>AF3</f>
        <v>4856.826</v>
      </c>
      <c r="AG33" s="58">
        <f t="shared" ref="AG33:AJ33" si="12">AG3</f>
        <v>5552.2</v>
      </c>
      <c r="AH33" s="58">
        <f t="shared" si="12"/>
        <v>7315.2</v>
      </c>
      <c r="AI33" s="58">
        <f t="shared" si="12"/>
        <v>7781.9</v>
      </c>
      <c r="AJ33" s="58">
        <f t="shared" si="12"/>
        <v>7417.7</v>
      </c>
      <c r="AK33" s="22"/>
    </row>
    <row r="34" spans="15:37" x14ac:dyDescent="0.3">
      <c r="O34" s="17" t="s">
        <v>121</v>
      </c>
      <c r="P34" s="58">
        <f>P6</f>
        <v>392.5170000000013</v>
      </c>
      <c r="Q34" s="58">
        <f t="shared" ref="Q34:T34" si="13">Q6</f>
        <v>647.15600000000029</v>
      </c>
      <c r="R34" s="58">
        <f t="shared" si="13"/>
        <v>660.95600000000013</v>
      </c>
      <c r="S34" s="58">
        <f t="shared" si="13"/>
        <v>372.74200000000019</v>
      </c>
      <c r="T34" s="58">
        <f t="shared" si="13"/>
        <v>903.57200000000034</v>
      </c>
      <c r="W34" s="17" t="s">
        <v>121</v>
      </c>
      <c r="X34" s="58">
        <f>X6</f>
        <v>-134.93199999999979</v>
      </c>
      <c r="Y34" s="58">
        <f t="shared" ref="Y34:AB34" si="14">Y6</f>
        <v>-256</v>
      </c>
      <c r="Z34" s="58">
        <f t="shared" si="14"/>
        <v>115</v>
      </c>
      <c r="AA34" s="58">
        <f t="shared" si="14"/>
        <v>375</v>
      </c>
      <c r="AB34" s="58">
        <f t="shared" si="14"/>
        <v>659</v>
      </c>
      <c r="AC34" s="22"/>
      <c r="AE34" s="17" t="s">
        <v>121</v>
      </c>
      <c r="AF34" s="58">
        <f>AF6</f>
        <v>963.66000000000031</v>
      </c>
      <c r="AG34" s="58">
        <f t="shared" ref="AG34:AJ34" si="15">AG6</f>
        <v>913.09999999999968</v>
      </c>
      <c r="AH34" s="58">
        <f t="shared" si="15"/>
        <v>1139.6999999999998</v>
      </c>
      <c r="AI34" s="58">
        <f t="shared" si="15"/>
        <v>1441.2</v>
      </c>
      <c r="AJ34" s="58">
        <f t="shared" si="15"/>
        <v>1364.4999999999995</v>
      </c>
      <c r="AK34" s="22"/>
    </row>
    <row r="35" spans="15:37" x14ac:dyDescent="0.3">
      <c r="O35" s="17" t="s">
        <v>101</v>
      </c>
      <c r="P35" s="58">
        <f>P10</f>
        <v>-50.525999999998689</v>
      </c>
      <c r="Q35" s="58">
        <f t="shared" ref="Q35:T35" si="16">Q10</f>
        <v>143.39300000000031</v>
      </c>
      <c r="R35" s="58">
        <f t="shared" si="16"/>
        <v>243.74500000000018</v>
      </c>
      <c r="S35" s="58">
        <f t="shared" si="16"/>
        <v>-18.376999999999818</v>
      </c>
      <c r="T35" s="58">
        <f t="shared" si="16"/>
        <v>386.4400000000004</v>
      </c>
      <c r="W35" s="17" t="s">
        <v>101</v>
      </c>
      <c r="X35" s="58">
        <f>X10</f>
        <v>-331.21799999999979</v>
      </c>
      <c r="Y35" s="58">
        <f t="shared" ref="Y35:AB35" si="17">Y10</f>
        <v>-440</v>
      </c>
      <c r="Z35" s="58">
        <f t="shared" si="17"/>
        <v>-188</v>
      </c>
      <c r="AA35" s="58">
        <f t="shared" si="17"/>
        <v>5</v>
      </c>
      <c r="AB35" s="58">
        <f t="shared" si="17"/>
        <v>-94</v>
      </c>
      <c r="AC35" s="22"/>
      <c r="AE35" s="17" t="s">
        <v>101</v>
      </c>
      <c r="AF35" s="58">
        <f>AF10</f>
        <v>275.09100000000024</v>
      </c>
      <c r="AG35" s="58">
        <f t="shared" ref="AG35:AJ35" si="18">AG10</f>
        <v>100.69999999999968</v>
      </c>
      <c r="AH35" s="58">
        <f t="shared" si="18"/>
        <v>189.99999999999983</v>
      </c>
      <c r="AI35" s="58">
        <f t="shared" si="18"/>
        <v>328.7</v>
      </c>
      <c r="AJ35" s="58">
        <f t="shared" si="18"/>
        <v>289.69999999999948</v>
      </c>
      <c r="AK35" s="22"/>
    </row>
    <row r="36" spans="15:37" x14ac:dyDescent="0.3">
      <c r="X36" s="22"/>
      <c r="Y36" s="22"/>
      <c r="Z36" s="22"/>
      <c r="AA36" s="22"/>
      <c r="AB36" s="22"/>
      <c r="AC36" s="22"/>
      <c r="AF36" s="22"/>
      <c r="AG36" s="22"/>
      <c r="AH36" s="22"/>
      <c r="AI36" s="22"/>
      <c r="AJ36" s="22"/>
      <c r="AK36" s="22"/>
    </row>
    <row r="37" spans="15:37" x14ac:dyDescent="0.3">
      <c r="O37" s="17" t="s">
        <v>11</v>
      </c>
      <c r="P37" s="22" t="s">
        <v>50</v>
      </c>
      <c r="Q37" s="22" t="s">
        <v>51</v>
      </c>
      <c r="R37" s="22" t="s">
        <v>52</v>
      </c>
      <c r="S37" s="22" t="s">
        <v>53</v>
      </c>
      <c r="T37" s="22" t="s">
        <v>54</v>
      </c>
      <c r="U37" s="22" t="s">
        <v>55</v>
      </c>
      <c r="W37" s="17" t="s">
        <v>11</v>
      </c>
      <c r="X37" s="22" t="s">
        <v>50</v>
      </c>
      <c r="Y37" s="22" t="s">
        <v>51</v>
      </c>
      <c r="Z37" s="22" t="s">
        <v>52</v>
      </c>
      <c r="AA37" s="22" t="s">
        <v>53</v>
      </c>
      <c r="AB37" s="22" t="s">
        <v>54</v>
      </c>
      <c r="AC37" s="22" t="s">
        <v>55</v>
      </c>
      <c r="AE37" s="17" t="s">
        <v>11</v>
      </c>
      <c r="AF37" s="22" t="s">
        <v>50</v>
      </c>
      <c r="AG37" s="22" t="s">
        <v>51</v>
      </c>
      <c r="AH37" s="22" t="s">
        <v>52</v>
      </c>
      <c r="AI37" s="22" t="s">
        <v>53</v>
      </c>
      <c r="AJ37" s="22" t="s">
        <v>54</v>
      </c>
      <c r="AK37" s="22" t="s">
        <v>55</v>
      </c>
    </row>
    <row r="38" spans="15:37" x14ac:dyDescent="0.3">
      <c r="O38" s="17" t="s">
        <v>17</v>
      </c>
      <c r="P38" s="58">
        <f>DCF!R3</f>
        <v>16749.10288431048</v>
      </c>
      <c r="Q38" s="58">
        <f>DCF!S3</f>
        <v>17418.427386052739</v>
      </c>
      <c r="R38" s="58">
        <f>DCF!T3</f>
        <v>18114.499307745005</v>
      </c>
      <c r="S38" s="58">
        <f>DCF!U3</f>
        <v>18838.387524756581</v>
      </c>
      <c r="T38" s="58">
        <f>DCF!V3</f>
        <v>19591.203626653398</v>
      </c>
      <c r="U38" s="58">
        <f>DCF!W3</f>
        <v>20374.103624134714</v>
      </c>
      <c r="W38" s="17" t="s">
        <v>17</v>
      </c>
      <c r="X38" s="58">
        <f>DCF!Z3</f>
        <v>16447.471285400421</v>
      </c>
      <c r="Y38" s="58">
        <f>DCF!AA3</f>
        <v>16581.018184742348</v>
      </c>
      <c r="Z38" s="58">
        <f>DCF!AB3</f>
        <v>16715.649431581489</v>
      </c>
      <c r="AA38" s="58">
        <f>DCF!AC3</f>
        <v>16851.373830386543</v>
      </c>
      <c r="AB38" s="58">
        <f>DCF!AD3</f>
        <v>16988.200257114975</v>
      </c>
      <c r="AC38" s="58">
        <f>DCF!AE3</f>
        <v>17126.13765979348</v>
      </c>
      <c r="AE38" s="17" t="s">
        <v>17</v>
      </c>
      <c r="AF38" s="58">
        <f>DCF!AH3</f>
        <v>8073.3282165666587</v>
      </c>
      <c r="AG38" s="58">
        <f>DCF!AI3</f>
        <v>8786.9054413647609</v>
      </c>
      <c r="AH38" s="58">
        <f>DCF!AJ3</f>
        <v>9563.5536131244517</v>
      </c>
      <c r="AI38" s="58">
        <f>DCF!AK3</f>
        <v>10408.847383351398</v>
      </c>
      <c r="AJ38" s="58">
        <f>DCF!AL3</f>
        <v>11328.854130248848</v>
      </c>
      <c r="AK38" s="58">
        <f>DCF!AM3</f>
        <v>12330.177509350036</v>
      </c>
    </row>
    <row r="39" spans="15:37" x14ac:dyDescent="0.3">
      <c r="O39" s="17" t="s">
        <v>121</v>
      </c>
      <c r="P39" s="58">
        <f>DCF!R4</f>
        <v>710.14123598345373</v>
      </c>
      <c r="Q39" s="58">
        <f>DCF!S4</f>
        <v>738.51976659636807</v>
      </c>
      <c r="R39" s="58">
        <f>DCF!T4</f>
        <v>768.03235471635401</v>
      </c>
      <c r="S39" s="58">
        <f>DCF!U4</f>
        <v>798.72431933638154</v>
      </c>
      <c r="T39" s="58">
        <f>DCF!V4</f>
        <v>830.64279047850084</v>
      </c>
      <c r="U39" s="58">
        <f>DCF!W4</f>
        <v>863.83678156584574</v>
      </c>
      <c r="W39" s="17" t="s">
        <v>121</v>
      </c>
      <c r="X39" s="58">
        <f>DCF!Z4</f>
        <v>165.4554021544661</v>
      </c>
      <c r="Y39" s="58">
        <f>DCF!AA4</f>
        <v>166.79883395341469</v>
      </c>
      <c r="Z39" s="58">
        <f>DCF!AB4</f>
        <v>168.15317388213674</v>
      </c>
      <c r="AA39" s="58">
        <f>DCF!AC4</f>
        <v>169.51851051029044</v>
      </c>
      <c r="AB39" s="58">
        <f>DCF!AD4</f>
        <v>170.89493312668415</v>
      </c>
      <c r="AC39" s="58">
        <f>DCF!AE4</f>
        <v>172.2825317451157</v>
      </c>
      <c r="AE39" s="17" t="s">
        <v>121</v>
      </c>
      <c r="AF39" s="58">
        <f>DCF!AH4</f>
        <v>1427.665442326349</v>
      </c>
      <c r="AG39" s="58">
        <f>DCF!AI4</f>
        <v>1553.8525013616663</v>
      </c>
      <c r="AH39" s="58">
        <f>DCF!AJ4</f>
        <v>1691.1928554168846</v>
      </c>
      <c r="AI39" s="58">
        <f>DCF!AK4</f>
        <v>1840.6723107288074</v>
      </c>
      <c r="AJ39" s="58">
        <f>DCF!AL4</f>
        <v>2003.3638059856607</v>
      </c>
      <c r="AK39" s="58">
        <f>DCF!AM4</f>
        <v>2180.4351137026852</v>
      </c>
    </row>
    <row r="40" spans="15:37" x14ac:dyDescent="0.3">
      <c r="O40" s="17" t="s">
        <v>24</v>
      </c>
      <c r="P40" s="58">
        <f>DCF!R5</f>
        <v>546.80875170725938</v>
      </c>
      <c r="Q40" s="58">
        <f>DCF!S5</f>
        <v>568.66022027920337</v>
      </c>
      <c r="R40" s="58">
        <f>DCF!T5</f>
        <v>591.38491313159261</v>
      </c>
      <c r="S40" s="58">
        <f>DCF!U5</f>
        <v>615.01772588901383</v>
      </c>
      <c r="T40" s="58">
        <f>DCF!V5</f>
        <v>639.59494866844568</v>
      </c>
      <c r="U40" s="58">
        <f>DCF!W5</f>
        <v>665.15432180570122</v>
      </c>
      <c r="W40" s="17" t="s">
        <v>24</v>
      </c>
      <c r="X40" s="58">
        <f>DCF!Z5</f>
        <v>127.40065965893891</v>
      </c>
      <c r="Y40" s="58">
        <f>DCF!AA5</f>
        <v>128.4351021441293</v>
      </c>
      <c r="Z40" s="58">
        <f>DCF!AB5</f>
        <v>129.4779438892453</v>
      </c>
      <c r="AA40" s="58">
        <f>DCF!AC5</f>
        <v>130.52925309292365</v>
      </c>
      <c r="AB40" s="58">
        <f>DCF!AD5</f>
        <v>131.58909850754679</v>
      </c>
      <c r="AC40" s="58">
        <f>DCF!AE5</f>
        <v>132.6575494437391</v>
      </c>
      <c r="AE40" s="17" t="s">
        <v>24</v>
      </c>
      <c r="AF40" s="58">
        <f>DCF!AH5</f>
        <v>1099.3023905912887</v>
      </c>
      <c r="AG40" s="58">
        <f>DCF!AI5</f>
        <v>1196.4664260484831</v>
      </c>
      <c r="AH40" s="58">
        <f>DCF!AJ5</f>
        <v>1302.2184986710013</v>
      </c>
      <c r="AI40" s="58">
        <f>DCF!AK5</f>
        <v>1417.3176792611816</v>
      </c>
      <c r="AJ40" s="58">
        <f>DCF!AL5</f>
        <v>1542.5901306089588</v>
      </c>
      <c r="AK40" s="58">
        <f>DCF!AM5</f>
        <v>1678.9350375510676</v>
      </c>
    </row>
  </sheetData>
  <pageMargins left="0.7" right="0.7" top="0.75" bottom="0.75" header="0.3" footer="0.3"/>
  <tableParts count="2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1F42-9857-4DA5-9F5F-E6F219FA28C7}">
  <dimension ref="A1:N26"/>
  <sheetViews>
    <sheetView workbookViewId="0">
      <selection activeCell="J21" sqref="J21"/>
    </sheetView>
  </sheetViews>
  <sheetFormatPr defaultRowHeight="14.4" x14ac:dyDescent="0.3"/>
  <cols>
    <col min="1" max="1" width="27" bestFit="1" customWidth="1"/>
    <col min="2" max="2" width="10.88671875" bestFit="1" customWidth="1"/>
    <col min="3" max="3" width="9.88671875" bestFit="1" customWidth="1"/>
    <col min="4" max="4" width="9.88671875" style="79" bestFit="1" customWidth="1"/>
    <col min="5" max="5" width="8.88671875" style="79"/>
    <col min="6" max="6" width="9.88671875" style="79" bestFit="1" customWidth="1"/>
    <col min="8" max="8" width="13.109375" bestFit="1" customWidth="1"/>
    <col min="9" max="14" width="10.5546875" bestFit="1" customWidth="1"/>
  </cols>
  <sheetData>
    <row r="1" spans="1:14" x14ac:dyDescent="0.3">
      <c r="A1" s="16" t="s">
        <v>42</v>
      </c>
      <c r="B1" s="22"/>
      <c r="C1" s="22"/>
      <c r="D1" s="22"/>
      <c r="E1" s="22"/>
      <c r="F1" s="22"/>
      <c r="G1" s="17"/>
      <c r="H1" s="17"/>
      <c r="I1" s="17"/>
      <c r="J1" s="17"/>
      <c r="K1" s="17"/>
      <c r="L1" s="17"/>
      <c r="M1" s="17"/>
      <c r="N1" s="17" t="s">
        <v>103</v>
      </c>
    </row>
    <row r="2" spans="1:14" x14ac:dyDescent="0.3">
      <c r="A2" s="23" t="s">
        <v>43</v>
      </c>
      <c r="B2" s="24" t="s">
        <v>40</v>
      </c>
      <c r="C2" s="25" t="s">
        <v>41</v>
      </c>
      <c r="D2" s="53" t="s">
        <v>124</v>
      </c>
      <c r="E2" s="53" t="s">
        <v>125</v>
      </c>
      <c r="F2" s="53" t="s">
        <v>126</v>
      </c>
      <c r="G2" s="17"/>
      <c r="H2" s="26" t="s">
        <v>44</v>
      </c>
      <c r="I2" s="27" t="s">
        <v>12</v>
      </c>
      <c r="J2" s="27" t="s">
        <v>13</v>
      </c>
      <c r="K2" s="27" t="s">
        <v>14</v>
      </c>
      <c r="L2" s="27" t="s">
        <v>15</v>
      </c>
      <c r="M2" s="28" t="s">
        <v>16</v>
      </c>
      <c r="N2" s="17"/>
    </row>
    <row r="3" spans="1:14" x14ac:dyDescent="0.3">
      <c r="A3" s="29" t="s">
        <v>45</v>
      </c>
      <c r="B3" s="30">
        <f>(Table1[[#This Row],[2024]]/Table1[[#This Row],[2020]])^(1/5)-1</f>
        <v>9.1942900819767415E-2</v>
      </c>
      <c r="C3" s="30">
        <f>(Table18[[#This Row],[2024]]/Table18[[#This Row],[2020]])^(1/5)-1</f>
        <v>-3.2502012842049788E-2</v>
      </c>
      <c r="D3" s="30">
        <f>(Table110[[#This Row],[2024]]/Table110[[#This Row],[2020]])^(1/5)-1</f>
        <v>3.9961812066319213E-2</v>
      </c>
      <c r="E3" s="30">
        <f>(Table1813[[#This Row],[2024]]/Table1813[[#This Row],[2020]])^(1/5)-1</f>
        <v>8.1196006987693803E-3</v>
      </c>
      <c r="F3" s="30">
        <f>(Table181323[[#This Row],[2024]]/Table181323[[#This Row],[2020]])^(1/5)-1</f>
        <v>8.8386995506243071E-2</v>
      </c>
      <c r="G3" s="17"/>
      <c r="H3" s="31" t="s">
        <v>73</v>
      </c>
      <c r="I3" s="32">
        <f>Financials!B17-Financials!B20</f>
        <v>13747</v>
      </c>
      <c r="J3" s="32">
        <f>Financials!C17-Financials!C20</f>
        <v>13608</v>
      </c>
      <c r="K3" s="32">
        <f>Financials!D17-Financials!D20</f>
        <v>12254</v>
      </c>
      <c r="L3" s="32">
        <f>Financials!E17-Financials!E20</f>
        <v>12221</v>
      </c>
      <c r="M3" s="32">
        <f>Financials!F17-Financials!F20</f>
        <v>13410</v>
      </c>
      <c r="N3" s="17"/>
    </row>
    <row r="4" spans="1:14" x14ac:dyDescent="0.3">
      <c r="A4" s="29" t="s">
        <v>46</v>
      </c>
      <c r="B4" s="30">
        <f>AVERAGE(Financials!B6:F6)/AVERAGE(Financials!B3:F3)</f>
        <v>0.17357533933066915</v>
      </c>
      <c r="C4" s="30">
        <f>AVERAGE(Financials!I6:M6)/AVERAGE(Financials!I3:M3)</f>
        <v>5.4067039221946847E-2</v>
      </c>
      <c r="D4" s="30">
        <f>AVERAGE(Financials!P6:T6)/AVERAGE(Financials!P3:T3)</f>
        <v>4.2398762542002769E-2</v>
      </c>
      <c r="E4" s="30">
        <f>AVERAGE(Financials!X6:AB6)/AVERAGE(Financials!X3:AB3)</f>
        <v>1.0059625536560894E-2</v>
      </c>
      <c r="F4" s="30">
        <f>AVERAGE(Financials!AF6:AJ6)/AVERAGE(Financials!AF3:AJ3)</f>
        <v>0.17683728494981116</v>
      </c>
      <c r="G4" s="17"/>
      <c r="H4" s="33" t="s">
        <v>74</v>
      </c>
      <c r="I4" s="34">
        <f>Financials!I17-Financials!I20</f>
        <v>1598.002</v>
      </c>
      <c r="J4" s="34">
        <f>Financials!J17-Financials!J20</f>
        <v>1081.9710000000005</v>
      </c>
      <c r="K4" s="34">
        <f>Financials!K17-Financials!K20</f>
        <v>1471.1489999999999</v>
      </c>
      <c r="L4" s="34">
        <f>Financials!L17-Financials!L20</f>
        <v>1267.7919999999999</v>
      </c>
      <c r="M4" s="34">
        <f>Financials!M17-Financials!M20</f>
        <v>815.83899999999994</v>
      </c>
      <c r="N4" s="17"/>
    </row>
    <row r="5" spans="1:14" x14ac:dyDescent="0.3">
      <c r="A5" s="29" t="s">
        <v>47</v>
      </c>
      <c r="B5" s="30">
        <f>AVERAGE(Financials!B7:F7)/AVERAGE(Financials!B3:F3)</f>
        <v>3.9786630987799942E-2</v>
      </c>
      <c r="C5" s="30">
        <f>AVERAGE(Financials!I7:M7)/AVERAGE(Financials!I3:M3)</f>
        <v>2.0782079031190569E-2</v>
      </c>
      <c r="D5" s="30">
        <f>AVERAGE(Financials!P7:T7)/AVERAGE(Financials!P3:T3)</f>
        <v>1.3376431923851561E-2</v>
      </c>
      <c r="E5" s="30" cm="1">
        <f t="array" ref="E5">AVERAGE(Financials!X7:AB70/AVERAGE(Financials!X3:AB3))</f>
        <v>6.6448292039617746E-2</v>
      </c>
      <c r="F5" s="30">
        <f>AVERAGE(Financials!AF7:AJ7)/AVERAGE(Financials!AF3:AJ3)</f>
        <v>8.1901356178956872E-2</v>
      </c>
      <c r="G5" s="17"/>
      <c r="H5" s="33" t="s">
        <v>128</v>
      </c>
      <c r="I5" s="34">
        <f>Financials!P15-Financials!P17</f>
        <v>5468.5849999999991</v>
      </c>
      <c r="J5" s="34">
        <f>Financials!Q15-Financials!Q17</f>
        <v>5560.4110000000001</v>
      </c>
      <c r="K5" s="34">
        <f>Financials!R15-Financials!R17</f>
        <v>5316.5050000000001</v>
      </c>
      <c r="L5" s="34">
        <f>Financials!S15-Financials!S17</f>
        <v>5063.8869999999988</v>
      </c>
      <c r="M5" s="34">
        <f>Financials!T15-Financials!T17</f>
        <v>4885.6099999999997</v>
      </c>
      <c r="N5" s="17"/>
    </row>
    <row r="6" spans="1:14" x14ac:dyDescent="0.3">
      <c r="A6" s="29" t="s">
        <v>48</v>
      </c>
      <c r="B6" s="30">
        <f>AVERAGE(Financials!B27:F27)/AVERAGE(Financials!B3:F3)</f>
        <v>2.4477580409485417E-2</v>
      </c>
      <c r="C6" s="30">
        <f>AVERAGE(Financials!I27:M27)/AVERAGE(Financials!I3:M3)</f>
        <v>9.1984277211756109E-3</v>
      </c>
      <c r="D6" s="30">
        <f>AVERAGE(Financials!P27:T27)/AVERAGE(Financials!P3:T3)</f>
        <v>8.7315350530184806E-3</v>
      </c>
      <c r="E6" s="30">
        <f>AVERAGE(Financials!X27:AB27)/AVERAGE(Financials!X3:AB3)</f>
        <v>7.078819796474874E-3</v>
      </c>
      <c r="F6" s="30">
        <f>AVERAGE(Financials!AF27:AJ27)/AVERAGE(Financials!AF3:AJ3)</f>
        <v>8.8148746746505122E-2</v>
      </c>
      <c r="G6" s="17"/>
      <c r="H6" s="33" t="s">
        <v>129</v>
      </c>
      <c r="I6" s="34">
        <f>Financials!X17-Financials!X20</f>
        <v>1461.9720000000002</v>
      </c>
      <c r="J6" s="34">
        <f>Financials!Y17-Financials!Y20</f>
        <v>1567</v>
      </c>
      <c r="K6" s="34">
        <f>Financials!Z17-Financials!Z20</f>
        <v>1828</v>
      </c>
      <c r="L6" s="34">
        <f>Financials!AA17-Financials!AA20</f>
        <v>1900</v>
      </c>
      <c r="M6" s="34">
        <f>Financials!AB17-Financials!AB20</f>
        <v>2104</v>
      </c>
    </row>
    <row r="7" spans="1:14" x14ac:dyDescent="0.3">
      <c r="A7" s="29" t="s">
        <v>56</v>
      </c>
      <c r="B7" s="30">
        <f>AVERAGE(I3:M3)/AVERAGE(Financials!B3:F3)</f>
        <v>0.2297061774906255</v>
      </c>
      <c r="C7" s="30">
        <f>AVERAGE(I4:M4)/AVERAGE(Financials!I3:M3)</f>
        <v>9.6015598294122539E-2</v>
      </c>
      <c r="D7" s="30">
        <f>AVERAGE(I5:M5)/AVERAGE(Financials!P3:T3)</f>
        <v>0.37450343397385738</v>
      </c>
      <c r="E7" s="30">
        <f>AVERAGE(I6:M6)/AVERAGE(Financials!X3:AB3)</f>
        <v>0.11758583690374877</v>
      </c>
      <c r="F7" s="30">
        <f>AVERAGE(Table19[[#This Row],[2020]:[2024]])/AVERAGE(Financials!AF3:AJ3)</f>
        <v>0.17786152800102881</v>
      </c>
      <c r="G7" s="17"/>
      <c r="H7" s="33" t="s">
        <v>130</v>
      </c>
      <c r="I7" s="34">
        <f>Financials!AF17-Financials!AF20</f>
        <v>1229.2819999999999</v>
      </c>
      <c r="J7" s="34">
        <f>Financials!AG17-Financials!AG20</f>
        <v>927.3</v>
      </c>
      <c r="K7" s="34">
        <f>Financials!AH17-Financials!AH20</f>
        <v>945.4</v>
      </c>
      <c r="L7" s="34">
        <f>Financials!AI17-Financials!AI20</f>
        <v>1727.3000000000002</v>
      </c>
      <c r="M7" s="34">
        <f>Financials!AJ17-Financials!AJ20</f>
        <v>1026.5999999999999</v>
      </c>
    </row>
    <row r="8" spans="1:14" x14ac:dyDescent="0.3">
      <c r="A8" s="29" t="s">
        <v>57</v>
      </c>
      <c r="B8" s="35">
        <v>6</v>
      </c>
      <c r="C8" s="35">
        <v>6</v>
      </c>
      <c r="D8" s="35">
        <v>6</v>
      </c>
      <c r="E8" s="35">
        <v>6</v>
      </c>
      <c r="F8" s="35">
        <v>6</v>
      </c>
      <c r="G8" s="17"/>
    </row>
    <row r="9" spans="1:14" x14ac:dyDescent="0.3">
      <c r="A9" s="29" t="s">
        <v>58</v>
      </c>
      <c r="B9" s="30">
        <v>4.0590000000000001E-2</v>
      </c>
      <c r="C9" s="30">
        <v>4.0590000000000001E-2</v>
      </c>
      <c r="D9" s="30">
        <v>4.0590000000000001E-2</v>
      </c>
      <c r="E9" s="30">
        <v>4.0590000000000001E-2</v>
      </c>
      <c r="F9" s="30">
        <v>4.0590000000000001E-2</v>
      </c>
      <c r="G9" s="17"/>
      <c r="H9" s="17"/>
      <c r="I9" s="17"/>
      <c r="J9" s="17"/>
      <c r="K9" s="17"/>
      <c r="L9" s="17"/>
      <c r="M9" s="17"/>
      <c r="N9" s="17"/>
    </row>
    <row r="10" spans="1:14" x14ac:dyDescent="0.3">
      <c r="A10" s="29" t="s">
        <v>59</v>
      </c>
      <c r="B10" s="30">
        <v>4.1099999999999998E-2</v>
      </c>
      <c r="C10" s="30">
        <v>4.1099999999999998E-2</v>
      </c>
      <c r="D10" s="30">
        <v>4.1099999999999998E-2</v>
      </c>
      <c r="E10" s="30">
        <v>4.1099999999999998E-2</v>
      </c>
      <c r="F10" s="30">
        <v>4.1099999999999998E-2</v>
      </c>
      <c r="G10" s="17"/>
      <c r="H10" s="23" t="s">
        <v>49</v>
      </c>
      <c r="I10" s="82" t="s">
        <v>50</v>
      </c>
      <c r="J10" s="82" t="s">
        <v>51</v>
      </c>
      <c r="K10" s="82" t="s">
        <v>52</v>
      </c>
      <c r="L10" s="82" t="s">
        <v>53</v>
      </c>
      <c r="M10" s="82" t="s">
        <v>54</v>
      </c>
      <c r="N10" s="83" t="s">
        <v>55</v>
      </c>
    </row>
    <row r="11" spans="1:14" x14ac:dyDescent="0.3">
      <c r="A11" s="29" t="s">
        <v>7</v>
      </c>
      <c r="B11" s="36">
        <f ca="1">Profile!B9</f>
        <v>1.5679000000000001</v>
      </c>
      <c r="C11" s="36">
        <f ca="1">Profile!C9</f>
        <v>0.80010000000000003</v>
      </c>
      <c r="D11" s="36">
        <f ca="1">Profile!D9</f>
        <v>1.0415000000000001</v>
      </c>
      <c r="E11" s="36">
        <f ca="1">Profile!E9</f>
        <v>1.3441000000000001</v>
      </c>
      <c r="F11" s="36">
        <f ca="1">Profile!F9</f>
        <v>1.0667</v>
      </c>
      <c r="G11" s="17"/>
      <c r="H11" s="42" t="str">
        <f>H3</f>
        <v>WC-Caterpillar</v>
      </c>
      <c r="I11" s="84">
        <f>DCF!B3*'Assumptions &amp; WACC'!$B$7</f>
        <v>16255.784164357709</v>
      </c>
      <c r="J11" s="84">
        <f>DCF!C3*'Assumptions &amp; WACC'!$B$7</f>
        <v>17750.388115528796</v>
      </c>
      <c r="K11" s="84">
        <f>DCF!D3*'Assumptions &amp; WACC'!$B$7</f>
        <v>19382.410289547242</v>
      </c>
      <c r="L11" s="84">
        <f>DCF!E3*'Assumptions &amp; WACC'!$B$7</f>
        <v>21164.485316447124</v>
      </c>
      <c r="M11" s="84">
        <f>DCF!F3*'Assumptions &amp; WACC'!$B$7</f>
        <v>23110.409490798644</v>
      </c>
      <c r="N11" s="84">
        <f>DCF!G3*'Assumptions &amp; WACC'!$B$7</f>
        <v>25235.247578515355</v>
      </c>
    </row>
    <row r="12" spans="1:14" x14ac:dyDescent="0.3">
      <c r="A12" s="37" t="s">
        <v>60</v>
      </c>
      <c r="B12" s="38">
        <f ca="1">B9+(B10*B11)</f>
        <v>0.10503069</v>
      </c>
      <c r="C12" s="38">
        <f ca="1">C9+(C10*C11)</f>
        <v>7.3474110000000009E-2</v>
      </c>
      <c r="D12" s="38">
        <f t="shared" ref="D12:F12" ca="1" si="0">D9+(D10*D11)</f>
        <v>8.3395650000000002E-2</v>
      </c>
      <c r="E12" s="38">
        <f t="shared" ca="1" si="0"/>
        <v>9.583251000000001E-2</v>
      </c>
      <c r="F12" s="38">
        <f t="shared" ca="1" si="0"/>
        <v>8.4431370000000006E-2</v>
      </c>
      <c r="G12" s="17"/>
      <c r="H12" s="42" t="str">
        <f>H4</f>
        <v>WC-Jacobs</v>
      </c>
      <c r="I12" s="84">
        <f>DCF!J3*'Assumptions &amp; WACC'!$C$7</f>
        <v>1068.3787420803919</v>
      </c>
      <c r="J12" s="84">
        <f>DCF!K3*'Assumptions &amp; WACC'!$C$7</f>
        <v>1033.6542824851219</v>
      </c>
      <c r="K12" s="84">
        <f>DCF!L3*'Assumptions &amp; WACC'!$C$7</f>
        <v>1000.0584377215508</v>
      </c>
      <c r="L12" s="84">
        <f>DCF!M3*'Assumptions &amp; WACC'!$C$7</f>
        <v>967.55452553592465</v>
      </c>
      <c r="M12" s="84">
        <f>DCF!N3*'Assumptions &amp; WACC'!$C$7</f>
        <v>936.10705592157274</v>
      </c>
      <c r="N12" s="84">
        <f>DCF!O3*'Assumptions &amp; WACC'!$C$7</f>
        <v>905.68169236847643</v>
      </c>
    </row>
    <row r="13" spans="1:14" x14ac:dyDescent="0.3">
      <c r="A13" s="29" t="s">
        <v>61</v>
      </c>
      <c r="B13" s="30">
        <f>AVERAGE(Financials!B8:F8)/AVERAGE(Financials!B21:F21)</f>
        <v>3.8187911044209086E-2</v>
      </c>
      <c r="C13" s="30">
        <f>AVERAGE(Financials!I8:M8)/AVERAGE(Financials!I21:M21)</f>
        <v>4.3763691710248687E-2</v>
      </c>
      <c r="D13" s="30">
        <f>AVERAGE(Financials!P8:T8)/AVERAGE(Financials!P21:T21)</f>
        <v>7.6194774209776828E-2</v>
      </c>
      <c r="E13" s="30">
        <f>AVERAGE(Financials!X8:AB8)/AVERAGE(Financials!X21:AB21)</f>
        <v>5.1764014831675177E-2</v>
      </c>
      <c r="F13" s="30">
        <f>AVERAGE(Financials!AF8:AJ8)/AVERAGE(Financials!AF21:AJ21)</f>
        <v>4.1407722872852631E-2</v>
      </c>
      <c r="G13" s="17"/>
      <c r="H13" s="42" t="str">
        <f>H5</f>
        <v>WC-AECOM</v>
      </c>
      <c r="I13" s="85">
        <f>DCF!R3*'Assumptions &amp; WACC'!$D$7</f>
        <v>6272.5965461557134</v>
      </c>
      <c r="J13" s="85">
        <f>DCF!S3*'Assumptions &amp; WACC'!$D$7</f>
        <v>6523.2608705010316</v>
      </c>
      <c r="K13" s="85">
        <f>DCF!T3*'Assumptions &amp; WACC'!$D$7</f>
        <v>6783.9421954675672</v>
      </c>
      <c r="L13" s="85">
        <f>DCF!U3*'Assumptions &amp; WACC'!$D$7</f>
        <v>7055.0408185516144</v>
      </c>
      <c r="M13" s="85">
        <f>DCF!V3*'Assumptions &amp; WACC'!$D$7</f>
        <v>7336.973033862786</v>
      </c>
      <c r="N13" s="85">
        <f>DCF!W3*'Assumptions &amp; WACC'!$D$7</f>
        <v>7630.1717713776634</v>
      </c>
    </row>
    <row r="14" spans="1:14" x14ac:dyDescent="0.3">
      <c r="A14" s="29" t="s">
        <v>62</v>
      </c>
      <c r="B14" s="30">
        <v>0.23</v>
      </c>
      <c r="C14" s="30">
        <v>0.23</v>
      </c>
      <c r="D14" s="30">
        <v>0.23</v>
      </c>
      <c r="E14" s="30">
        <v>0.23</v>
      </c>
      <c r="F14" s="30">
        <v>0.23</v>
      </c>
      <c r="G14" s="17"/>
      <c r="H14" s="42" t="str">
        <f t="shared" ref="H14:H15" si="1">H6</f>
        <v>WC-Fluor</v>
      </c>
      <c r="I14" s="77">
        <f>DCF!Z3*'Assumptions &amp; WACC'!$E$7</f>
        <v>1933.989676044185</v>
      </c>
      <c r="J14" s="77">
        <f>DCF!AA3*'Assumptions &amp; WACC'!$E$7</f>
        <v>1949.6928999692063</v>
      </c>
      <c r="K14" s="77">
        <f>DCF!AB3*'Assumptions &amp; WACC'!$E$7</f>
        <v>1965.5236278021819</v>
      </c>
      <c r="L14" s="77">
        <f>DCF!AC3*'Assumptions &amp; WACC'!$E$7</f>
        <v>1981.4828948239322</v>
      </c>
      <c r="M14" s="77">
        <f>DCF!AD3*'Assumptions &amp; WACC'!$E$7</f>
        <v>1997.5717447213444</v>
      </c>
      <c r="N14" s="77">
        <f>DCF!AE3*'Assumptions &amp; WACC'!$E$7</f>
        <v>2013.7912296556258</v>
      </c>
    </row>
    <row r="15" spans="1:14" x14ac:dyDescent="0.3">
      <c r="A15" s="37" t="s">
        <v>63</v>
      </c>
      <c r="B15" s="38">
        <f>B13*(1-B14)</f>
        <v>2.9404691504040997E-2</v>
      </c>
      <c r="C15" s="38">
        <f>C13*(1-C14)</f>
        <v>3.3698042616891487E-2</v>
      </c>
      <c r="D15" s="38">
        <f t="shared" ref="D15:F15" si="2">D13*(1-D14)</f>
        <v>5.8669976141528156E-2</v>
      </c>
      <c r="E15" s="38">
        <f t="shared" si="2"/>
        <v>3.9858291420389887E-2</v>
      </c>
      <c r="F15" s="38">
        <f t="shared" si="2"/>
        <v>3.188394661209653E-2</v>
      </c>
      <c r="G15" s="17"/>
      <c r="H15" s="42" t="str">
        <f t="shared" si="1"/>
        <v>WC-Vulcan</v>
      </c>
      <c r="I15" s="77">
        <f>DCF!AH3*'Assumptions &amp; WACC'!$F$7</f>
        <v>1435.9344926523668</v>
      </c>
      <c r="J15" s="77">
        <f>DCF!AI3*'Assumptions &amp; WACC'!$F$7</f>
        <v>1562.8524282016908</v>
      </c>
      <c r="K15" s="77">
        <f>DCF!AJ3*'Assumptions &amp; WACC'!$F$7</f>
        <v>1700.9882587500749</v>
      </c>
      <c r="L15" s="77">
        <f>DCF!AK3*'Assumptions &amp; WACC'!$F$7</f>
        <v>1851.33350033239</v>
      </c>
      <c r="M15" s="77">
        <f>DCF!AL3*'Assumptions &amp; WACC'!$F$7</f>
        <v>2014.9673061068263</v>
      </c>
      <c r="N15" s="77">
        <f>DCF!AM3*'Assumptions &amp; WACC'!$F$7</f>
        <v>2193.0642123369171</v>
      </c>
    </row>
    <row r="16" spans="1:14" x14ac:dyDescent="0.3">
      <c r="A16" s="29" t="s">
        <v>33</v>
      </c>
      <c r="B16" s="39">
        <f>Financials!F21</f>
        <v>38409</v>
      </c>
      <c r="C16" s="39">
        <f>Financials!M21</f>
        <v>2224.3540000000003</v>
      </c>
      <c r="D16" s="81">
        <f>Financials!T21</f>
        <v>2517.2539999999999</v>
      </c>
      <c r="E16" s="81">
        <f>Financials!AB21</f>
        <v>1104</v>
      </c>
      <c r="F16" s="81">
        <f>Financials!AJ21</f>
        <v>5307.4</v>
      </c>
      <c r="G16" s="17"/>
      <c r="H16" s="17"/>
      <c r="I16" s="17"/>
      <c r="J16" s="17"/>
      <c r="K16" s="17"/>
      <c r="L16" s="17"/>
      <c r="M16" s="17"/>
      <c r="N16" s="17"/>
    </row>
    <row r="17" spans="1:14" x14ac:dyDescent="0.3">
      <c r="A17" s="29" t="s">
        <v>6</v>
      </c>
      <c r="B17" s="39">
        <f ca="1">Profile!B8</f>
        <v>260154.53943599999</v>
      </c>
      <c r="C17" s="39">
        <f ca="1">Profile!C8</f>
        <v>17834.845799999999</v>
      </c>
      <c r="D17" s="39">
        <f ca="1">Profile!D8</f>
        <v>15395.534664000001</v>
      </c>
      <c r="E17" s="39">
        <f ca="1">Profile!E8</f>
        <v>6774.5004749999998</v>
      </c>
      <c r="F17" s="39">
        <f ca="1">Profile!F8</f>
        <v>37507.998583000001</v>
      </c>
      <c r="G17" s="17"/>
      <c r="H17" s="17"/>
      <c r="I17" s="17"/>
      <c r="J17" s="17"/>
      <c r="K17" s="17"/>
      <c r="L17" s="17"/>
      <c r="M17" s="17"/>
      <c r="N17" s="17"/>
    </row>
    <row r="18" spans="1:14" x14ac:dyDescent="0.3">
      <c r="A18" s="29" t="s">
        <v>64</v>
      </c>
      <c r="B18" s="39">
        <f ca="1">B16+B17</f>
        <v>298563.53943599999</v>
      </c>
      <c r="C18" s="39">
        <f ca="1">C16+C17</f>
        <v>20059.199799999999</v>
      </c>
      <c r="D18" s="39">
        <f t="shared" ref="D18:F18" ca="1" si="3">D16+D17</f>
        <v>17912.788664</v>
      </c>
      <c r="E18" s="39">
        <f t="shared" ca="1" si="3"/>
        <v>7878.5004749999998</v>
      </c>
      <c r="F18" s="39">
        <f t="shared" ca="1" si="3"/>
        <v>42815.398583000002</v>
      </c>
      <c r="G18" s="17"/>
      <c r="H18" s="17"/>
      <c r="I18" s="17"/>
      <c r="J18" s="17"/>
      <c r="K18" s="17"/>
      <c r="L18" s="17"/>
      <c r="M18" s="17"/>
      <c r="N18" s="17"/>
    </row>
    <row r="19" spans="1:14" x14ac:dyDescent="0.3">
      <c r="A19" s="29" t="s">
        <v>65</v>
      </c>
      <c r="B19" s="30">
        <f ca="1">B16/B18</f>
        <v>0.1286459829373551</v>
      </c>
      <c r="C19" s="30">
        <f ca="1">C16/C18</f>
        <v>0.11088946828277768</v>
      </c>
      <c r="D19" s="30">
        <f t="shared" ref="D19:F19" ca="1" si="4">D16/D18</f>
        <v>0.14052831455880566</v>
      </c>
      <c r="E19" s="30">
        <f t="shared" ca="1" si="4"/>
        <v>0.14012818854339157</v>
      </c>
      <c r="F19" s="30">
        <f t="shared" ca="1" si="4"/>
        <v>0.1239600745444729</v>
      </c>
      <c r="G19" s="17"/>
      <c r="H19" s="17"/>
      <c r="I19" s="17"/>
      <c r="J19" s="17"/>
      <c r="K19" s="17"/>
      <c r="L19" s="17"/>
      <c r="M19" s="17"/>
      <c r="N19" s="17"/>
    </row>
    <row r="20" spans="1:14" x14ac:dyDescent="0.3">
      <c r="A20" s="29" t="s">
        <v>66</v>
      </c>
      <c r="B20" s="30">
        <f ca="1">B17/B18</f>
        <v>0.87135401706264493</v>
      </c>
      <c r="C20" s="30">
        <f ca="1">C17/C18</f>
        <v>0.88911053171722232</v>
      </c>
      <c r="D20" s="30">
        <f t="shared" ref="D20:F20" ca="1" si="5">D17/D18</f>
        <v>0.85947168544119446</v>
      </c>
      <c r="E20" s="30">
        <f t="shared" ca="1" si="5"/>
        <v>0.8598718114566084</v>
      </c>
      <c r="F20" s="30">
        <f t="shared" ca="1" si="5"/>
        <v>0.876039925455527</v>
      </c>
      <c r="G20" s="17"/>
      <c r="H20" s="17"/>
      <c r="I20" s="17"/>
      <c r="J20" s="17"/>
      <c r="K20" s="17"/>
      <c r="L20" s="17"/>
      <c r="M20" s="17"/>
      <c r="N20" s="17"/>
    </row>
    <row r="21" spans="1:14" x14ac:dyDescent="0.3">
      <c r="A21" s="37" t="s">
        <v>67</v>
      </c>
      <c r="B21" s="38">
        <f ca="1">(B12*B20)+(B15*B19)</f>
        <v>9.5301709087868405E-2</v>
      </c>
      <c r="C21" s="38">
        <f ca="1">(C12*C20)+(C15*C19)</f>
        <v>6.9063363037507167E-2</v>
      </c>
      <c r="D21" s="38">
        <f t="shared" ref="D21:F21" ca="1" si="6">(D12*D20)+(D15*D19)</f>
        <v>7.9920992726338236E-2</v>
      </c>
      <c r="E21" s="38">
        <f t="shared" ca="1" si="6"/>
        <v>8.7988944145307391E-2</v>
      </c>
      <c r="F21" s="38">
        <f t="shared" ca="1" si="6"/>
        <v>7.79175874797155E-2</v>
      </c>
      <c r="G21" s="17"/>
      <c r="H21" s="17"/>
      <c r="I21" s="17"/>
      <c r="J21" s="17"/>
      <c r="K21" s="17"/>
      <c r="L21" s="17"/>
      <c r="M21" s="17"/>
      <c r="N21" s="17"/>
    </row>
    <row r="22" spans="1:14" x14ac:dyDescent="0.3">
      <c r="A22" s="29" t="s">
        <v>68</v>
      </c>
      <c r="B22" s="35">
        <v>2030</v>
      </c>
      <c r="C22" s="35">
        <v>2030</v>
      </c>
      <c r="D22" s="35">
        <v>2030</v>
      </c>
      <c r="E22" s="35">
        <v>2030</v>
      </c>
      <c r="F22" s="35">
        <v>2030</v>
      </c>
      <c r="G22" s="17"/>
      <c r="H22" s="17"/>
      <c r="I22" s="17"/>
      <c r="J22" s="17"/>
      <c r="K22" s="17"/>
      <c r="L22" s="17"/>
      <c r="M22" s="17"/>
      <c r="N22" s="17"/>
    </row>
    <row r="23" spans="1:14" x14ac:dyDescent="0.3">
      <c r="A23" s="29" t="s">
        <v>69</v>
      </c>
      <c r="B23" s="30">
        <f ca="1">1/(1+B21)^6</f>
        <v>0.57915846446981012</v>
      </c>
      <c r="C23" s="30">
        <f ca="1">1/(1+C21)^6</f>
        <v>0.66985271384638279</v>
      </c>
      <c r="D23" s="30">
        <f t="shared" ref="D23:F23" ca="1" si="7">1/(1+D21)^6</f>
        <v>0.63044629763016735</v>
      </c>
      <c r="E23" s="30">
        <f t="shared" ca="1" si="7"/>
        <v>0.60291086012403061</v>
      </c>
      <c r="F23" s="30">
        <f t="shared" ca="1" si="7"/>
        <v>0.63750948692264642</v>
      </c>
      <c r="G23" s="17"/>
      <c r="H23" s="17"/>
      <c r="I23" s="17"/>
      <c r="J23" s="17"/>
      <c r="K23" s="17"/>
      <c r="L23" s="17"/>
      <c r="M23" s="17"/>
      <c r="N23" s="17"/>
    </row>
    <row r="24" spans="1:14" x14ac:dyDescent="0.3">
      <c r="A24" s="29" t="s">
        <v>70</v>
      </c>
      <c r="B24" s="39">
        <f>Financials!F14</f>
        <v>6889</v>
      </c>
      <c r="C24" s="39">
        <f>Financials!M14</f>
        <v>1144.7950000000001</v>
      </c>
      <c r="D24" s="81">
        <f>Financials!T14</f>
        <v>1580.877</v>
      </c>
      <c r="E24" s="81">
        <f>Financials!AB14</f>
        <v>2829</v>
      </c>
      <c r="F24" s="81">
        <f>Financials!AJ14</f>
        <v>559.70000000000005</v>
      </c>
      <c r="G24" s="17"/>
      <c r="H24" s="17"/>
      <c r="I24" s="17"/>
      <c r="J24" s="17"/>
      <c r="K24" s="17"/>
      <c r="L24" s="17"/>
      <c r="M24" s="17"/>
      <c r="N24" s="17"/>
    </row>
    <row r="25" spans="1:14" x14ac:dyDescent="0.3">
      <c r="A25" s="29" t="s">
        <v>71</v>
      </c>
      <c r="B25" s="30">
        <v>2.5000000000000001E-2</v>
      </c>
      <c r="C25" s="30">
        <v>0.02</v>
      </c>
      <c r="D25" s="30">
        <v>0.02</v>
      </c>
      <c r="E25" s="30">
        <v>0.02</v>
      </c>
      <c r="F25" s="30">
        <v>0.02</v>
      </c>
      <c r="G25" s="17"/>
      <c r="H25" s="17"/>
      <c r="I25" s="17"/>
      <c r="J25" s="17"/>
      <c r="K25" s="17"/>
      <c r="L25" s="17"/>
      <c r="M25" s="17"/>
      <c r="N25" s="17"/>
    </row>
    <row r="26" spans="1:14" x14ac:dyDescent="0.3">
      <c r="A26" s="29" t="s">
        <v>72</v>
      </c>
      <c r="B26" s="39">
        <f ca="1">Profile!B6</f>
        <v>467.9796</v>
      </c>
      <c r="C26" s="39">
        <f ca="1">Profile!C6</f>
        <v>119.5365</v>
      </c>
      <c r="D26" s="39">
        <f ca="1">Profile!D6</f>
        <v>132.4461</v>
      </c>
      <c r="E26" s="39">
        <f ca="1">Profile!E6</f>
        <v>161.1825</v>
      </c>
      <c r="F26" s="39">
        <f ca="1">Profile!F6</f>
        <v>132.1309</v>
      </c>
      <c r="G26" s="17"/>
      <c r="H26" s="17"/>
      <c r="I26" s="17"/>
      <c r="J26" s="17"/>
      <c r="K26" s="17"/>
      <c r="L26" s="17"/>
      <c r="M26" s="17"/>
      <c r="N26" s="1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355D-84B3-492A-BD22-71595C54D393}">
  <dimension ref="A1:AM22"/>
  <sheetViews>
    <sheetView tabSelected="1" topLeftCell="AE1" workbookViewId="0">
      <selection activeCell="AJ12" sqref="AJ12"/>
    </sheetView>
  </sheetViews>
  <sheetFormatPr defaultRowHeight="14.4" x14ac:dyDescent="0.3"/>
  <cols>
    <col min="1" max="1" width="22.77734375" bestFit="1" customWidth="1"/>
    <col min="2" max="2" width="12.33203125" bestFit="1" customWidth="1"/>
    <col min="3" max="7" width="10.88671875" bestFit="1" customWidth="1"/>
    <col min="9" max="9" width="22.77734375" bestFit="1" customWidth="1"/>
    <col min="10" max="10" width="12.33203125" bestFit="1" customWidth="1"/>
    <col min="11" max="15" width="10.88671875" bestFit="1" customWidth="1"/>
    <col min="17" max="17" width="22.77734375" bestFit="1" customWidth="1"/>
    <col min="18" max="18" width="12.33203125" bestFit="1" customWidth="1"/>
    <col min="19" max="23" width="10.88671875" bestFit="1" customWidth="1"/>
    <col min="25" max="25" width="22.77734375" bestFit="1" customWidth="1"/>
    <col min="26" max="26" width="12.33203125" bestFit="1" customWidth="1"/>
    <col min="27" max="31" width="10.88671875" bestFit="1" customWidth="1"/>
    <col min="33" max="33" width="22.77734375" bestFit="1" customWidth="1"/>
    <col min="34" max="34" width="12.33203125" bestFit="1" customWidth="1"/>
    <col min="35" max="39" width="10.88671875" bestFit="1" customWidth="1"/>
  </cols>
  <sheetData>
    <row r="1" spans="1:39" x14ac:dyDescent="0.3">
      <c r="A1" s="16" t="s">
        <v>75</v>
      </c>
      <c r="B1" s="17"/>
      <c r="C1" s="17"/>
      <c r="D1" s="17"/>
      <c r="E1" s="17"/>
      <c r="F1" s="17"/>
      <c r="G1" s="18" t="s">
        <v>40</v>
      </c>
      <c r="H1" s="17"/>
      <c r="I1" s="17"/>
      <c r="J1" s="19"/>
      <c r="K1" s="19"/>
      <c r="L1" s="19"/>
      <c r="M1" s="19"/>
      <c r="N1" s="19"/>
      <c r="O1" s="18" t="s">
        <v>41</v>
      </c>
      <c r="Q1" s="16" t="s">
        <v>75</v>
      </c>
      <c r="R1" s="17"/>
      <c r="S1" s="17"/>
      <c r="T1" s="17"/>
      <c r="U1" s="17"/>
      <c r="V1" s="17"/>
      <c r="W1" s="18" t="s">
        <v>124</v>
      </c>
      <c r="X1" s="17"/>
      <c r="Y1" s="17"/>
      <c r="Z1" s="19"/>
      <c r="AA1" s="19"/>
      <c r="AB1" s="19"/>
      <c r="AC1" s="19"/>
      <c r="AD1" s="19"/>
      <c r="AE1" s="18" t="s">
        <v>125</v>
      </c>
      <c r="AG1" s="16" t="s">
        <v>75</v>
      </c>
      <c r="AH1" s="17"/>
      <c r="AI1" s="17"/>
      <c r="AJ1" s="17"/>
      <c r="AK1" s="17"/>
      <c r="AL1" s="17"/>
      <c r="AM1" s="18" t="s">
        <v>126</v>
      </c>
    </row>
    <row r="2" spans="1:39" x14ac:dyDescent="0.3">
      <c r="A2" s="17" t="s">
        <v>11</v>
      </c>
      <c r="B2" s="40" t="s">
        <v>50</v>
      </c>
      <c r="C2" s="40" t="s">
        <v>51</v>
      </c>
      <c r="D2" s="40" t="s">
        <v>52</v>
      </c>
      <c r="E2" s="40" t="s">
        <v>53</v>
      </c>
      <c r="F2" s="40" t="s">
        <v>54</v>
      </c>
      <c r="G2" s="40" t="s">
        <v>55</v>
      </c>
      <c r="H2" s="17"/>
      <c r="I2" s="17" t="s">
        <v>11</v>
      </c>
      <c r="J2" s="41" t="s">
        <v>50</v>
      </c>
      <c r="K2" s="41" t="s">
        <v>51</v>
      </c>
      <c r="L2" s="41" t="s">
        <v>52</v>
      </c>
      <c r="M2" s="41" t="s">
        <v>53</v>
      </c>
      <c r="N2" s="41" t="s">
        <v>54</v>
      </c>
      <c r="O2" s="41" t="s">
        <v>55</v>
      </c>
      <c r="Q2" s="17" t="s">
        <v>11</v>
      </c>
      <c r="R2" s="40" t="s">
        <v>50</v>
      </c>
      <c r="S2" s="40" t="s">
        <v>51</v>
      </c>
      <c r="T2" s="40" t="s">
        <v>52</v>
      </c>
      <c r="U2" s="40" t="s">
        <v>53</v>
      </c>
      <c r="V2" s="40" t="s">
        <v>54</v>
      </c>
      <c r="W2" s="40" t="s">
        <v>55</v>
      </c>
      <c r="X2" s="17"/>
      <c r="Y2" s="17" t="s">
        <v>11</v>
      </c>
      <c r="Z2" s="41" t="s">
        <v>50</v>
      </c>
      <c r="AA2" s="41" t="s">
        <v>51</v>
      </c>
      <c r="AB2" s="41" t="s">
        <v>52</v>
      </c>
      <c r="AC2" s="41" t="s">
        <v>53</v>
      </c>
      <c r="AD2" s="41" t="s">
        <v>54</v>
      </c>
      <c r="AE2" s="41" t="s">
        <v>55</v>
      </c>
      <c r="AG2" s="17" t="s">
        <v>11</v>
      </c>
      <c r="AH2" s="40" t="s">
        <v>50</v>
      </c>
      <c r="AI2" s="40" t="s">
        <v>51</v>
      </c>
      <c r="AJ2" s="40" t="s">
        <v>52</v>
      </c>
      <c r="AK2" s="40" t="s">
        <v>53</v>
      </c>
      <c r="AL2" s="40" t="s">
        <v>54</v>
      </c>
      <c r="AM2" s="40" t="s">
        <v>55</v>
      </c>
    </row>
    <row r="3" spans="1:39" x14ac:dyDescent="0.3">
      <c r="A3" s="17" t="s">
        <v>17</v>
      </c>
      <c r="B3" s="67">
        <f>Table1[[#This Row],[2024]]*(1+'Assumptions &amp; WACC'!B3)</f>
        <v>70767.727459228307</v>
      </c>
      <c r="C3" s="67">
        <f>Table9[[#This Row],[2025]]*(1+'Assumptions &amp; WACC'!$B$3)</f>
        <v>77274.317606252473</v>
      </c>
      <c r="D3" s="67">
        <f>Table9[[#This Row],[2026]]*(1+'Assumptions &amp; WACC'!$B$3)</f>
        <v>84379.142525839357</v>
      </c>
      <c r="E3" s="67">
        <f>Table9[[#This Row],[2027]]*(1+'Assumptions &amp; WACC'!$B$3)</f>
        <v>92137.205658349631</v>
      </c>
      <c r="F3" s="67">
        <f>Table9[[#This Row],[2028]]*(1+'Assumptions &amp; WACC'!$B$3)</f>
        <v>100608.56762000578</v>
      </c>
      <c r="G3" s="67">
        <f>Table9[[#This Row],[2029]]*(1+'Assumptions &amp; WACC'!$B$3)</f>
        <v>109858.81117431083</v>
      </c>
      <c r="H3" s="17"/>
      <c r="I3" s="42" t="s">
        <v>17</v>
      </c>
      <c r="J3" s="43">
        <f>Table18[[#This Row],[2024]]*(1+'Assumptions &amp; WACC'!C3)</f>
        <v>11127.137267922344</v>
      </c>
      <c r="K3" s="43">
        <f>Table10[[#This Row],[2025]]*(1+'Assumptions &amp; WACC'!$C$3)</f>
        <v>10765.48290954508</v>
      </c>
      <c r="L3" s="43">
        <f>Table10[[#This Row],[2026]]*(1+'Assumptions &amp; WACC'!$C$3)</f>
        <v>10415.583045768179</v>
      </c>
      <c r="M3" s="43">
        <f>Table10[[#This Row],[2027]]*(1+'Assumptions &amp; WACC'!$C$3)</f>
        <v>10077.055631857185</v>
      </c>
      <c r="N3" s="43">
        <f>Table10[[#This Row],[2028]]*(1+'Assumptions &amp; WACC'!$C$3)</f>
        <v>9749.5310403005133</v>
      </c>
      <c r="O3" s="43">
        <f>Table10[[#This Row],[2029]]*(1+'Assumptions &amp; WACC'!$C$3)</f>
        <v>9432.6516572247037</v>
      </c>
      <c r="Q3" s="17" t="s">
        <v>17</v>
      </c>
      <c r="R3" s="67">
        <f>Table110[[#This Row],[2024]]*(1+'Assumptions &amp; WACC'!D3)</f>
        <v>16749.10288431048</v>
      </c>
      <c r="S3" s="67">
        <f>Table927[[#This Row],[2025]]*(1+'Assumptions &amp; WACC'!$D$3)</f>
        <v>17418.427386052739</v>
      </c>
      <c r="T3" s="67">
        <f>Table927[[#This Row],[2026]]*(1+'Assumptions &amp; WACC'!$D$3)</f>
        <v>18114.499307745005</v>
      </c>
      <c r="U3" s="67">
        <f>Table927[[#This Row],[2027]]*(1+'Assumptions &amp; WACC'!$D$3)</f>
        <v>18838.387524756581</v>
      </c>
      <c r="V3" s="67">
        <f>Table927[[#This Row],[2028]]*(1+'Assumptions &amp; WACC'!$D$3)</f>
        <v>19591.203626653398</v>
      </c>
      <c r="W3" s="67">
        <f>Table927[[#This Row],[2029]]*(1+'Assumptions &amp; WACC'!$D$3)</f>
        <v>20374.103624134714</v>
      </c>
      <c r="X3" s="17"/>
      <c r="Y3" s="42" t="s">
        <v>17</v>
      </c>
      <c r="Z3" s="43">
        <f>Table1813[[#This Row],[2024]]*(1+'Assumptions &amp; WACC'!E3)</f>
        <v>16447.471285400421</v>
      </c>
      <c r="AA3" s="43">
        <f>Table1028[[#This Row],[2025]]*(1+'Assumptions &amp; WACC'!$E$3)</f>
        <v>16581.018184742348</v>
      </c>
      <c r="AB3" s="43">
        <f>Table1028[[#This Row],[2026]]*(1+'Assumptions &amp; WACC'!$E$3)</f>
        <v>16715.649431581489</v>
      </c>
      <c r="AC3" s="43">
        <f>Table1028[[#This Row],[2027]]*(1+'Assumptions &amp; WACC'!$E$3)</f>
        <v>16851.373830386543</v>
      </c>
      <c r="AD3" s="43">
        <f>Table1028[[#This Row],[2028]]*(1+'Assumptions &amp; WACC'!$E$3)</f>
        <v>16988.200257114975</v>
      </c>
      <c r="AE3" s="43">
        <f>Table1028[[#This Row],[2029]]*(1+'Assumptions &amp; WACC'!$E$3)</f>
        <v>17126.13765979348</v>
      </c>
      <c r="AG3" s="17" t="s">
        <v>17</v>
      </c>
      <c r="AH3" s="67">
        <f>Table181323[[#This Row],[2024]]*(1+'Assumptions &amp; WACC'!F3)</f>
        <v>8073.3282165666587</v>
      </c>
      <c r="AI3" s="67">
        <f>Table92731[[#This Row],[2025]]*(1+'Assumptions &amp; WACC'!$F$3)</f>
        <v>8786.9054413647609</v>
      </c>
      <c r="AJ3" s="67">
        <f>Table92731[[#This Row],[2026]]*(1+'Assumptions &amp; WACC'!$F$3)</f>
        <v>9563.5536131244517</v>
      </c>
      <c r="AK3" s="67">
        <f>Table92731[[#This Row],[2027]]*(1+'Assumptions &amp; WACC'!$F$3)</f>
        <v>10408.847383351398</v>
      </c>
      <c r="AL3" s="67">
        <f>Table92731[[#This Row],[2028]]*(1+'Assumptions &amp; WACC'!$F$3)</f>
        <v>11328.854130248848</v>
      </c>
      <c r="AM3" s="67">
        <f>Table92731[[#This Row],[2029]]*(1+'Assumptions &amp; WACC'!$F$3)</f>
        <v>12330.177509350036</v>
      </c>
    </row>
    <row r="4" spans="1:39" x14ac:dyDescent="0.3">
      <c r="A4" s="17" t="s">
        <v>76</v>
      </c>
      <c r="B4" s="67">
        <f>B3*'Assumptions &amp; WACC'!$B$4</f>
        <v>12283.532307395866</v>
      </c>
      <c r="C4" s="67">
        <f>C3*'Assumptions &amp; WACC'!$B$4</f>
        <v>13412.915900051175</v>
      </c>
      <c r="D4" s="67">
        <f>D3*'Assumptions &amp; WACC'!$B$4</f>
        <v>14646.138296353462</v>
      </c>
      <c r="E4" s="67">
        <f>E3*'Assumptions &amp; WACC'!$B$4</f>
        <v>15992.746737127687</v>
      </c>
      <c r="F4" s="67">
        <f>F3*'Assumptions &amp; WACC'!$B$4</f>
        <v>17463.166264215077</v>
      </c>
      <c r="G4" s="67">
        <f>G3*'Assumptions &amp; WACC'!$B$4</f>
        <v>19068.780428044909</v>
      </c>
      <c r="H4" s="17"/>
      <c r="I4" s="42" t="s">
        <v>76</v>
      </c>
      <c r="J4" s="43">
        <f>J3*'Assumptions &amp; WACC'!$C$4</f>
        <v>601.61136709274388</v>
      </c>
      <c r="K4" s="43">
        <f>K3*'Assumptions &amp; WACC'!$C$4</f>
        <v>582.05778671357234</v>
      </c>
      <c r="L4" s="43">
        <f>L3*'Assumptions &amp; WACC'!$C$4</f>
        <v>563.13973705499268</v>
      </c>
      <c r="M4" s="43">
        <f>M3*'Assumptions &amp; WACC'!$C$4</f>
        <v>544.83656208936281</v>
      </c>
      <c r="N4" s="43">
        <f>N3*'Assumptions &amp; WACC'!$C$4</f>
        <v>527.12827715151604</v>
      </c>
      <c r="O4" s="43">
        <f>O3*'Assumptions &amp; WACC'!$C$4</f>
        <v>509.99554711812999</v>
      </c>
      <c r="Q4" s="17" t="s">
        <v>76</v>
      </c>
      <c r="R4" s="67">
        <f>R3*'Assumptions &amp; WACC'!$D$4</f>
        <v>710.14123598345373</v>
      </c>
      <c r="S4" s="67">
        <f>S3*'Assumptions &amp; WACC'!$D$4</f>
        <v>738.51976659636807</v>
      </c>
      <c r="T4" s="67">
        <f>T3*'Assumptions &amp; WACC'!$D$4</f>
        <v>768.03235471635401</v>
      </c>
      <c r="U4" s="67">
        <f>U3*'Assumptions &amp; WACC'!$D$4</f>
        <v>798.72431933638154</v>
      </c>
      <c r="V4" s="67">
        <f>V3*'Assumptions &amp; WACC'!$D$4</f>
        <v>830.64279047850084</v>
      </c>
      <c r="W4" s="67">
        <f>W3*'Assumptions &amp; WACC'!$D$4</f>
        <v>863.83678156584574</v>
      </c>
      <c r="X4" s="17"/>
      <c r="Y4" s="42" t="s">
        <v>76</v>
      </c>
      <c r="Z4" s="43">
        <f>Z3*'Assumptions &amp; WACC'!$E$4</f>
        <v>165.4554021544661</v>
      </c>
      <c r="AA4" s="43">
        <f>AA3*'Assumptions &amp; WACC'!$E$4</f>
        <v>166.79883395341469</v>
      </c>
      <c r="AB4" s="43">
        <f>AB3*'Assumptions &amp; WACC'!$E$4</f>
        <v>168.15317388213674</v>
      </c>
      <c r="AC4" s="43">
        <f>AC3*'Assumptions &amp; WACC'!$E$4</f>
        <v>169.51851051029044</v>
      </c>
      <c r="AD4" s="43">
        <f>AD3*'Assumptions &amp; WACC'!$E$4</f>
        <v>170.89493312668415</v>
      </c>
      <c r="AE4" s="43">
        <f>AE3*'Assumptions &amp; WACC'!$E$4</f>
        <v>172.2825317451157</v>
      </c>
      <c r="AG4" s="17" t="s">
        <v>76</v>
      </c>
      <c r="AH4" s="67">
        <f>AH3*'Assumptions &amp; WACC'!$F$4</f>
        <v>1427.665442326349</v>
      </c>
      <c r="AI4" s="67">
        <f>AI3*'Assumptions &amp; WACC'!$F$4</f>
        <v>1553.8525013616663</v>
      </c>
      <c r="AJ4" s="67">
        <f>AJ3*'Assumptions &amp; WACC'!$F$4</f>
        <v>1691.1928554168846</v>
      </c>
      <c r="AK4" s="67">
        <f>AK3*'Assumptions &amp; WACC'!$F$4</f>
        <v>1840.6723107288074</v>
      </c>
      <c r="AL4" s="67">
        <f>AL3*'Assumptions &amp; WACC'!$F$4</f>
        <v>2003.3638059856607</v>
      </c>
      <c r="AM4" s="67">
        <f>AM3*'Assumptions &amp; WACC'!$F$4</f>
        <v>2180.4351137026852</v>
      </c>
    </row>
    <row r="5" spans="1:39" s="100" customFormat="1" x14ac:dyDescent="0.3">
      <c r="A5" s="16" t="s">
        <v>77</v>
      </c>
      <c r="B5" s="68">
        <f>B4*(1-'Assumptions &amp; WACC'!$B$14)</f>
        <v>9458.3198766948171</v>
      </c>
      <c r="C5" s="68">
        <f>C4*(1-'Assumptions &amp; WACC'!$B$14)</f>
        <v>10327.945243039405</v>
      </c>
      <c r="D5" s="68">
        <f>D4*(1-'Assumptions &amp; WACC'!$B$14)</f>
        <v>11277.526488192165</v>
      </c>
      <c r="E5" s="68">
        <f>E4*(1-'Assumptions &amp; WACC'!$B$14)</f>
        <v>12314.414987588319</v>
      </c>
      <c r="F5" s="68">
        <f>F4*(1-'Assumptions &amp; WACC'!$B$14)</f>
        <v>13446.63802344561</v>
      </c>
      <c r="G5" s="68">
        <f>G4*(1-'Assumptions &amp; WACC'!$B$14)</f>
        <v>14682.960929594581</v>
      </c>
      <c r="H5" s="16"/>
      <c r="I5" s="86" t="s">
        <v>77</v>
      </c>
      <c r="J5" s="104">
        <f>J4*(1-'Assumptions &amp; WACC'!$C$14)</f>
        <v>463.24075266141278</v>
      </c>
      <c r="K5" s="104">
        <f>K4*(1-'Assumptions &amp; WACC'!$C$14)</f>
        <v>448.18449576945073</v>
      </c>
      <c r="L5" s="104">
        <f>L4*(1-'Assumptions &amp; WACC'!$C$14)</f>
        <v>433.61759753234435</v>
      </c>
      <c r="M5" s="104">
        <f>M4*(1-'Assumptions &amp; WACC'!$C$14)</f>
        <v>419.52415280880939</v>
      </c>
      <c r="N5" s="104">
        <f>N4*(1-'Assumptions &amp; WACC'!$C$14)</f>
        <v>405.88877340666738</v>
      </c>
      <c r="O5" s="104">
        <f>O4*(1-'Assumptions &amp; WACC'!$C$14)</f>
        <v>392.69657128096009</v>
      </c>
      <c r="Q5" s="16" t="s">
        <v>77</v>
      </c>
      <c r="R5" s="68">
        <f>R4*(1-'Assumptions &amp; WACC'!$B$14)</f>
        <v>546.80875170725938</v>
      </c>
      <c r="S5" s="68">
        <f>S4*(1-'Assumptions &amp; WACC'!$B$14)</f>
        <v>568.66022027920337</v>
      </c>
      <c r="T5" s="68">
        <f>T4*(1-'Assumptions &amp; WACC'!$B$14)</f>
        <v>591.38491313159261</v>
      </c>
      <c r="U5" s="68">
        <f>U4*(1-'Assumptions &amp; WACC'!$B$14)</f>
        <v>615.01772588901383</v>
      </c>
      <c r="V5" s="68">
        <f>V4*(1-'Assumptions &amp; WACC'!$B$14)</f>
        <v>639.59494866844568</v>
      </c>
      <c r="W5" s="68">
        <f>W4*(1-'Assumptions &amp; WACC'!$B$14)</f>
        <v>665.15432180570122</v>
      </c>
      <c r="X5" s="16"/>
      <c r="Y5" s="86" t="s">
        <v>77</v>
      </c>
      <c r="Z5" s="104">
        <f>Z4*(1-'Assumptions &amp; WACC'!$C$14)</f>
        <v>127.40065965893891</v>
      </c>
      <c r="AA5" s="104">
        <f>AA4*(1-'Assumptions &amp; WACC'!$C$14)</f>
        <v>128.4351021441293</v>
      </c>
      <c r="AB5" s="104">
        <f>AB4*(1-'Assumptions &amp; WACC'!$C$14)</f>
        <v>129.4779438892453</v>
      </c>
      <c r="AC5" s="104">
        <f>AC4*(1-'Assumptions &amp; WACC'!$C$14)</f>
        <v>130.52925309292365</v>
      </c>
      <c r="AD5" s="104">
        <f>AD4*(1-'Assumptions &amp; WACC'!$C$14)</f>
        <v>131.58909850754679</v>
      </c>
      <c r="AE5" s="104">
        <f>AE4*(1-'Assumptions &amp; WACC'!$C$14)</f>
        <v>132.6575494437391</v>
      </c>
      <c r="AG5" s="16" t="s">
        <v>77</v>
      </c>
      <c r="AH5" s="68">
        <f>AH4*(1-'Assumptions &amp; WACC'!$B$14)</f>
        <v>1099.3023905912887</v>
      </c>
      <c r="AI5" s="68">
        <f>AI4*(1-'Assumptions &amp; WACC'!$B$14)</f>
        <v>1196.4664260484831</v>
      </c>
      <c r="AJ5" s="68">
        <f>AJ4*(1-'Assumptions &amp; WACC'!$B$14)</f>
        <v>1302.2184986710013</v>
      </c>
      <c r="AK5" s="68">
        <f>AK4*(1-'Assumptions &amp; WACC'!$B$14)</f>
        <v>1417.3176792611816</v>
      </c>
      <c r="AL5" s="68">
        <f>AL4*(1-'Assumptions &amp; WACC'!$B$14)</f>
        <v>1542.5901306089588</v>
      </c>
      <c r="AM5" s="68">
        <f>AM4*(1-'Assumptions &amp; WACC'!$B$14)</f>
        <v>1678.9350375510676</v>
      </c>
    </row>
    <row r="6" spans="1:39" x14ac:dyDescent="0.3">
      <c r="A6" s="17" t="s">
        <v>78</v>
      </c>
      <c r="B6" s="67">
        <f>B3*'Assumptions &amp; WACC'!$B$5</f>
        <v>2815.6094582655137</v>
      </c>
      <c r="C6" s="67">
        <f>C3*'Assumptions &amp; WACC'!$B$5</f>
        <v>3074.4847594340195</v>
      </c>
      <c r="D6" s="67">
        <f>D3*'Assumptions &amp; WACC'!$B$5</f>
        <v>3357.1618067425479</v>
      </c>
      <c r="E6" s="67">
        <f>E3*'Assumptions &amp; WACC'!$B$5</f>
        <v>3665.8290017757895</v>
      </c>
      <c r="F6" s="67">
        <f>F3*'Assumptions &amp; WACC'!$B$5</f>
        <v>4002.8759541082877</v>
      </c>
      <c r="G6" s="67">
        <f>G3*'Assumptions &amp; WACC'!$B$5</f>
        <v>4370.9119809506983</v>
      </c>
      <c r="H6" s="17"/>
      <c r="I6" s="42" t="s">
        <v>78</v>
      </c>
      <c r="J6" s="43">
        <f>J3*'Assumptions &amp; WACC'!$C$5</f>
        <v>231.24504609286808</v>
      </c>
      <c r="K6" s="43">
        <f>K3*'Assumptions &amp; WACC'!$C$5</f>
        <v>223.72911663509726</v>
      </c>
      <c r="L6" s="43">
        <f>L3*'Assumptions &amp; WACC'!$C$5</f>
        <v>216.45747001308288</v>
      </c>
      <c r="M6" s="43">
        <f>M3*'Assumptions &amp; WACC'!$C$5</f>
        <v>209.42216654296004</v>
      </c>
      <c r="N6" s="43">
        <f>N3*'Assumptions &amp; WACC'!$C$5</f>
        <v>202.61552459657088</v>
      </c>
      <c r="O6" s="43">
        <f>O3*'Assumptions &amp; WACC'!$C$5</f>
        <v>196.03011221413448</v>
      </c>
      <c r="Q6" s="17" t="s">
        <v>78</v>
      </c>
      <c r="R6" s="67">
        <f>R3*'Assumptions &amp; WACC'!$D$5</f>
        <v>224.04323451756494</v>
      </c>
      <c r="S6" s="67">
        <f>S3*'Assumptions &amp; WACC'!$D$5</f>
        <v>232.99640815008615</v>
      </c>
      <c r="T6" s="67">
        <f>T3*'Assumptions &amp; WACC'!$D$5</f>
        <v>242.30736682470729</v>
      </c>
      <c r="U6" s="67">
        <f>U3*'Assumptions &amp; WACC'!$D$5</f>
        <v>251.99040828004092</v>
      </c>
      <c r="V6" s="67">
        <f>V3*'Assumptions &amp; WACC'!$D$5</f>
        <v>262.06040161824296</v>
      </c>
      <c r="W6" s="67">
        <f>W3*'Assumptions &amp; WACC'!$D$5</f>
        <v>272.53281013773534</v>
      </c>
      <c r="X6" s="17"/>
      <c r="Y6" s="42" t="s">
        <v>78</v>
      </c>
      <c r="Z6" s="43">
        <f>Z3*'Assumptions &amp; WACC'!$E$5</f>
        <v>1092.9063752855143</v>
      </c>
      <c r="AA6" s="43">
        <f>AA3*'Assumptions &amp; WACC'!$E$5</f>
        <v>1101.780338653972</v>
      </c>
      <c r="AB6" s="43">
        <f>AB3*'Assumptions &amp; WACC'!$E$5</f>
        <v>1110.7263550615971</v>
      </c>
      <c r="AC6" s="43">
        <f>AC3*'Assumptions &amp; WACC'!$E$5</f>
        <v>1119.745009550297</v>
      </c>
      <c r="AD6" s="43">
        <f>AD3*'Assumptions &amp; WACC'!$E$5</f>
        <v>1128.8368919122852</v>
      </c>
      <c r="AE6" s="43">
        <f>AE3*'Assumptions &amp; WACC'!$E$5</f>
        <v>1138.0025967286529</v>
      </c>
      <c r="AG6" s="17" t="s">
        <v>78</v>
      </c>
      <c r="AH6" s="67">
        <f>AH3*'Assumptions &amp; WACC'!$F$5</f>
        <v>661.21652981464854</v>
      </c>
      <c r="AI6" s="67">
        <f>AI3*'Assumptions &amp; WACC'!$F$5</f>
        <v>719.65947226402955</v>
      </c>
      <c r="AJ6" s="67">
        <f>AJ3*'Assumptions &amp; WACC'!$F$5</f>
        <v>783.26801080505561</v>
      </c>
      <c r="AK6" s="67">
        <f>AK3*'Assumptions &amp; WACC'!$F$5</f>
        <v>852.49871695626609</v>
      </c>
      <c r="AL6" s="67">
        <f>AL3*'Assumptions &amp; WACC'!$F$5</f>
        <v>927.84851722095755</v>
      </c>
      <c r="AM6" s="67">
        <f>AM3*'Assumptions &amp; WACC'!$F$5</f>
        <v>1009.8582599430407</v>
      </c>
    </row>
    <row r="7" spans="1:39" x14ac:dyDescent="0.3">
      <c r="A7" s="17" t="s">
        <v>37</v>
      </c>
      <c r="B7" s="67">
        <f>B3*'Assumptions &amp; WACC'!$B$6</f>
        <v>1732.22273927981</v>
      </c>
      <c r="C7" s="67">
        <f>C3*'Assumptions &amp; WACC'!$B$6</f>
        <v>1891.4883227951595</v>
      </c>
      <c r="D7" s="67">
        <f>D3*'Assumptions &amp; WACC'!$B$6</f>
        <v>2065.3972460596633</v>
      </c>
      <c r="E7" s="67">
        <f>E3*'Assumptions &amp; WACC'!$B$6</f>
        <v>2255.2958602075478</v>
      </c>
      <c r="F7" s="67">
        <f>F3*'Assumptions &amp; WACC'!$B$6</f>
        <v>2462.6543038018422</v>
      </c>
      <c r="G7" s="67">
        <f>G3*'Assumptions &amp; WACC'!$B$6</f>
        <v>2689.0778842096684</v>
      </c>
      <c r="H7" s="17"/>
      <c r="I7" s="42" t="s">
        <v>37</v>
      </c>
      <c r="J7" s="43">
        <f>J3*'Assumptions &amp; WACC'!$C$6</f>
        <v>102.35216790258315</v>
      </c>
      <c r="K7" s="43">
        <f>K3*'Assumptions &amp; WACC'!$C$6</f>
        <v>99.025516427001733</v>
      </c>
      <c r="L7" s="43">
        <f>L3*'Assumptions &amp; WACC'!$C$6</f>
        <v>95.806987820400721</v>
      </c>
      <c r="M7" s="43">
        <f>M3*'Assumptions &amp; WACC'!$C$6</f>
        <v>92.693067871903949</v>
      </c>
      <c r="N7" s="43">
        <f>N3*'Assumptions &amp; WACC'!$C$6</f>
        <v>89.680356589562336</v>
      </c>
      <c r="O7" s="43">
        <f>O3*'Assumptions &amp; WACC'!$C$6</f>
        <v>86.765564488008778</v>
      </c>
      <c r="Q7" s="17" t="s">
        <v>37</v>
      </c>
      <c r="R7" s="67">
        <f>R3*'Assumptions &amp; WACC'!$D$6</f>
        <v>146.24537894096989</v>
      </c>
      <c r="S7" s="67">
        <f>S3*'Assumptions &amp; WACC'!$D$6</f>
        <v>152.08960928977655</v>
      </c>
      <c r="T7" s="67">
        <f>T3*'Assumptions &amp; WACC'!$D$6</f>
        <v>158.1673856734545</v>
      </c>
      <c r="U7" s="67">
        <f>U3*'Assumptions &amp; WACC'!$D$6</f>
        <v>164.48804101475812</v>
      </c>
      <c r="V7" s="67">
        <f>V3*'Assumptions &amp; WACC'!$D$6</f>
        <v>171.06128119694694</v>
      </c>
      <c r="W7" s="67">
        <f>W3*'Assumptions &amp; WACC'!$D$6</f>
        <v>177.8971999679631</v>
      </c>
      <c r="X7" s="17"/>
      <c r="Y7" s="42" t="s">
        <v>37</v>
      </c>
      <c r="Z7" s="43">
        <f>Z3*'Assumptions &amp; WACC'!$E$6</f>
        <v>116.42868533704454</v>
      </c>
      <c r="AA7" s="43">
        <f>AA3*'Assumptions &amp; WACC'!$E$6</f>
        <v>117.37403977186402</v>
      </c>
      <c r="AB7" s="43">
        <f>AB3*'Assumptions &amp; WACC'!$E$6</f>
        <v>118.32707010721302</v>
      </c>
      <c r="AC7" s="43">
        <f>AC3*'Assumptions &amp; WACC'!$E$6</f>
        <v>119.28783866833889</v>
      </c>
      <c r="AD7" s="43">
        <f>AD3*'Assumptions &amp; WACC'!$E$6</f>
        <v>120.25640828654502</v>
      </c>
      <c r="AE7" s="43">
        <f>AE3*'Assumptions &amp; WACC'!$E$6</f>
        <v>121.23284230329995</v>
      </c>
      <c r="AG7" s="17" t="s">
        <v>37</v>
      </c>
      <c r="AH7" s="67">
        <f>AH3*'Assumptions &amp; WACC'!$F$6</f>
        <v>711.65376436354825</v>
      </c>
      <c r="AI7" s="67">
        <f>AI3*'Assumptions &amp; WACC'!$F$6</f>
        <v>774.55470243635011</v>
      </c>
      <c r="AJ7" s="67">
        <f>AJ3*'Assumptions &amp; WACC'!$F$6</f>
        <v>843.01526543993134</v>
      </c>
      <c r="AK7" s="67">
        <f>AK3*'Assumptions &amp; WACC'!$F$6</f>
        <v>917.52685191806495</v>
      </c>
      <c r="AL7" s="67">
        <f>AL3*'Assumptions &amp; WACC'!$F$6</f>
        <v>998.62429365540424</v>
      </c>
      <c r="AM7" s="67">
        <f>AM3*'Assumptions &amp; WACC'!$F$6</f>
        <v>1086.8896946111497</v>
      </c>
    </row>
    <row r="8" spans="1:39" x14ac:dyDescent="0.3">
      <c r="A8" s="44" t="s">
        <v>79</v>
      </c>
      <c r="B8" s="67">
        <f>'Assumptions &amp; WACC'!I11-'Assumptions &amp; WACC'!M3</f>
        <v>2845.7841643577085</v>
      </c>
      <c r="C8" s="67">
        <f>'Assumptions &amp; WACC'!J11-'Assumptions &amp; WACC'!I11</f>
        <v>1494.6039511710878</v>
      </c>
      <c r="D8" s="67">
        <f>'Assumptions &amp; WACC'!K11-'Assumptions &amp; WACC'!J11</f>
        <v>1632.0221740184461</v>
      </c>
      <c r="E8" s="67">
        <f>'Assumptions &amp; WACC'!L11-'Assumptions &amp; WACC'!K11</f>
        <v>1782.0750268998818</v>
      </c>
      <c r="F8" s="67">
        <f>'Assumptions &amp; WACC'!M11-'Assumptions &amp; WACC'!L11</f>
        <v>1945.9241743515195</v>
      </c>
      <c r="G8" s="67">
        <f>'Assumptions &amp; WACC'!N11-'Assumptions &amp; WACC'!M11</f>
        <v>2124.838087716711</v>
      </c>
      <c r="H8" s="17"/>
      <c r="I8" s="42" t="s">
        <v>79</v>
      </c>
      <c r="J8" s="43">
        <f>'Assumptions &amp; WACC'!I12-'Assumptions &amp; WACC'!M4</f>
        <v>252.53974208039199</v>
      </c>
      <c r="K8" s="43">
        <f>'Assumptions &amp; WACC'!J12-'Assumptions &amp; WACC'!I12</f>
        <v>-34.724459595269991</v>
      </c>
      <c r="L8" s="43">
        <f>'Assumptions &amp; WACC'!K12-'Assumptions &amp; WACC'!J12</f>
        <v>-33.595844763571108</v>
      </c>
      <c r="M8" s="43">
        <f>'Assumptions &amp; WACC'!L12-'Assumptions &amp; WACC'!K12</f>
        <v>-32.503912185626177</v>
      </c>
      <c r="N8" s="43">
        <f>'Assumptions &amp; WACC'!M12-'Assumptions &amp; WACC'!L12</f>
        <v>-31.447469614351917</v>
      </c>
      <c r="O8" s="43">
        <f>'Assumptions &amp; WACC'!N12-'Assumptions &amp; WACC'!M12</f>
        <v>-30.425363553096304</v>
      </c>
      <c r="Q8" s="44" t="s">
        <v>79</v>
      </c>
      <c r="R8" s="67">
        <f>'Assumptions &amp; WACC'!I13-'Assumptions &amp; WACC'!M5</f>
        <v>1386.9865461557138</v>
      </c>
      <c r="S8" s="67">
        <f>'Assumptions &amp; WACC'!J13-'Assumptions &amp; WACC'!I13</f>
        <v>250.66432434531816</v>
      </c>
      <c r="T8" s="67">
        <f>'Assumptions &amp; WACC'!K13-'Assumptions &amp; WACC'!J13</f>
        <v>260.68132496653561</v>
      </c>
      <c r="U8" s="67">
        <f>'Assumptions &amp; WACC'!L13-'Assumptions &amp; WACC'!K13</f>
        <v>271.09862308404718</v>
      </c>
      <c r="V8" s="67">
        <f>'Assumptions &amp; WACC'!M13-'Assumptions &amp; WACC'!L13</f>
        <v>281.9322153111716</v>
      </c>
      <c r="W8" s="67">
        <f>'Assumptions &amp; WACC'!N13-'Assumptions &amp; WACC'!M13</f>
        <v>293.19873751487739</v>
      </c>
      <c r="X8" s="17"/>
      <c r="Y8" s="42" t="s">
        <v>79</v>
      </c>
      <c r="Z8" s="43">
        <f>'Assumptions &amp; WACC'!I14-'Assumptions &amp; WACC'!M6</f>
        <v>-170.01032395581501</v>
      </c>
      <c r="AA8" s="43">
        <f>'Assumptions &amp; WACC'!J14-'Assumptions &amp; WACC'!I14</f>
        <v>15.703223925021348</v>
      </c>
      <c r="AB8" s="43">
        <f>'Assumptions &amp; WACC'!K14-'Assumptions &amp; WACC'!J14</f>
        <v>15.830727832975526</v>
      </c>
      <c r="AC8" s="43">
        <f>'Assumptions &amp; WACC'!L14-'Assumptions &amp; WACC'!K14</f>
        <v>15.959267021750293</v>
      </c>
      <c r="AD8" s="43">
        <f>'Assumptions &amp; WACC'!M14-'Assumptions &amp; WACC'!L14</f>
        <v>16.088849897412274</v>
      </c>
      <c r="AE8" s="43">
        <f>'Assumptions &amp; WACC'!N14-'Assumptions &amp; WACC'!M14</f>
        <v>16.219484934281354</v>
      </c>
      <c r="AG8" s="44" t="s">
        <v>79</v>
      </c>
      <c r="AH8" s="67">
        <f>'Assumptions &amp; WACC'!I15-'Assumptions &amp; WACC'!M7</f>
        <v>409.33449265236686</v>
      </c>
      <c r="AI8" s="67">
        <f>'Assumptions &amp; WACC'!J15-'Assumptions &amp; WACC'!I15</f>
        <v>126.91793554932406</v>
      </c>
      <c r="AJ8" s="67">
        <f>'Assumptions &amp; WACC'!K15-'Assumptions &amp; WACC'!J15</f>
        <v>138.13583054838409</v>
      </c>
      <c r="AK8" s="67">
        <f>'Assumptions &amp; WACC'!L15-'Assumptions &amp; WACC'!K15</f>
        <v>150.34524158231511</v>
      </c>
      <c r="AL8" s="67">
        <f>'Assumptions &amp; WACC'!M15-'Assumptions &amp; WACC'!L15</f>
        <v>163.63380577443627</v>
      </c>
      <c r="AM8" s="67">
        <f>'Assumptions &amp; WACC'!N15-'Assumptions &amp; WACC'!M15</f>
        <v>178.09690623009078</v>
      </c>
    </row>
    <row r="9" spans="1:39" x14ac:dyDescent="0.3">
      <c r="A9" s="16" t="s">
        <v>80</v>
      </c>
      <c r="B9" s="68">
        <f>B5+B6-B7-B8</f>
        <v>7695.9224313228115</v>
      </c>
      <c r="C9" s="68">
        <f t="shared" ref="C9:G9" si="0">C5+C6-C7-C8</f>
        <v>10016.337728507177</v>
      </c>
      <c r="D9" s="68">
        <f t="shared" si="0"/>
        <v>10937.268874856603</v>
      </c>
      <c r="E9" s="68">
        <f t="shared" si="0"/>
        <v>11942.873102256679</v>
      </c>
      <c r="F9" s="68">
        <f t="shared" si="0"/>
        <v>13040.935499400537</v>
      </c>
      <c r="G9" s="68">
        <f t="shared" si="0"/>
        <v>14239.956938618901</v>
      </c>
      <c r="H9" s="17"/>
      <c r="I9" s="45" t="s">
        <v>80</v>
      </c>
      <c r="J9" s="46">
        <f>J5+J6-J7-J8</f>
        <v>339.59388877130573</v>
      </c>
      <c r="K9" s="46">
        <f t="shared" ref="K9:O9" si="1">K5+K6-K7-K8</f>
        <v>607.61255557281618</v>
      </c>
      <c r="L9" s="46">
        <f t="shared" si="1"/>
        <v>587.8639244885976</v>
      </c>
      <c r="M9" s="46">
        <f t="shared" si="1"/>
        <v>568.7571636654917</v>
      </c>
      <c r="N9" s="46">
        <f t="shared" si="1"/>
        <v>550.27141102802796</v>
      </c>
      <c r="O9" s="46">
        <f t="shared" si="1"/>
        <v>532.38648256018212</v>
      </c>
      <c r="Q9" s="16" t="s">
        <v>80</v>
      </c>
      <c r="R9" s="68">
        <f>R5+R6-R7-R8</f>
        <v>-762.37993887185939</v>
      </c>
      <c r="S9" s="68">
        <f t="shared" ref="S9:W9" si="2">S5+S6-S7-S8</f>
        <v>398.90269479419476</v>
      </c>
      <c r="T9" s="68">
        <f t="shared" si="2"/>
        <v>414.84356931630975</v>
      </c>
      <c r="U9" s="68">
        <f t="shared" si="2"/>
        <v>431.42147007024948</v>
      </c>
      <c r="V9" s="68">
        <f t="shared" si="2"/>
        <v>448.66185377857005</v>
      </c>
      <c r="W9" s="68">
        <f t="shared" si="2"/>
        <v>466.59119446059594</v>
      </c>
      <c r="X9" s="17"/>
      <c r="Y9" s="45" t="s">
        <v>80</v>
      </c>
      <c r="Z9" s="46">
        <f>Z5+Z6-Z7-Z8</f>
        <v>1273.8886735632236</v>
      </c>
      <c r="AA9" s="46">
        <f t="shared" ref="AA9:AE9" si="3">AA5+AA6-AA7-AA8</f>
        <v>1097.1381771012159</v>
      </c>
      <c r="AB9" s="46">
        <f t="shared" si="3"/>
        <v>1106.0465010106539</v>
      </c>
      <c r="AC9" s="46">
        <f t="shared" si="3"/>
        <v>1115.0271569531315</v>
      </c>
      <c r="AD9" s="46">
        <f t="shared" si="3"/>
        <v>1124.0807322358746</v>
      </c>
      <c r="AE9" s="46">
        <f t="shared" si="3"/>
        <v>1133.2078189348106</v>
      </c>
      <c r="AG9" s="16" t="s">
        <v>80</v>
      </c>
      <c r="AH9" s="68">
        <f>AH5+AH6-AH7-AH8</f>
        <v>639.53066339002226</v>
      </c>
      <c r="AI9" s="68">
        <f t="shared" ref="AI9:AM9" si="4">AI5+AI6-AI7-AI8</f>
        <v>1014.6532603268386</v>
      </c>
      <c r="AJ9" s="68">
        <f t="shared" si="4"/>
        <v>1104.3354134877418</v>
      </c>
      <c r="AK9" s="68">
        <f t="shared" si="4"/>
        <v>1201.9443027170676</v>
      </c>
      <c r="AL9" s="68">
        <f t="shared" si="4"/>
        <v>1308.1805484000761</v>
      </c>
      <c r="AM9" s="68">
        <f t="shared" si="4"/>
        <v>1423.8066966528677</v>
      </c>
    </row>
    <row r="10" spans="1:39" x14ac:dyDescent="0.3">
      <c r="A10" s="18"/>
      <c r="B10" s="47"/>
      <c r="C10" s="47"/>
      <c r="D10" s="47"/>
      <c r="E10" s="47"/>
      <c r="F10" s="47"/>
      <c r="G10" s="47"/>
      <c r="H10" s="16"/>
      <c r="I10" s="16"/>
      <c r="J10" s="48"/>
      <c r="K10" s="48"/>
      <c r="L10" s="48"/>
      <c r="M10" s="48"/>
      <c r="N10" s="48"/>
      <c r="O10" s="48"/>
      <c r="Q10" s="18"/>
      <c r="R10" s="47"/>
      <c r="S10" s="47"/>
      <c r="T10" s="47"/>
      <c r="U10" s="47"/>
      <c r="V10" s="47"/>
      <c r="W10" s="47"/>
      <c r="X10" s="16"/>
      <c r="Y10" s="16"/>
      <c r="Z10" s="48"/>
      <c r="AA10" s="48"/>
      <c r="AB10" s="48"/>
      <c r="AC10" s="48"/>
      <c r="AD10" s="48"/>
      <c r="AE10" s="48"/>
      <c r="AG10" s="18"/>
      <c r="AH10" s="47"/>
      <c r="AI10" s="47"/>
      <c r="AJ10" s="47"/>
      <c r="AK10" s="47"/>
      <c r="AL10" s="47"/>
      <c r="AM10" s="47"/>
    </row>
    <row r="11" spans="1:39" x14ac:dyDescent="0.3">
      <c r="A11" s="17"/>
      <c r="B11" s="17"/>
      <c r="C11" s="17"/>
      <c r="D11" s="17"/>
      <c r="E11" s="17"/>
      <c r="F11" s="17"/>
      <c r="G11" s="17"/>
      <c r="H11" s="17"/>
      <c r="I11" s="17"/>
      <c r="J11" s="19"/>
      <c r="K11" s="19"/>
      <c r="L11" s="19"/>
      <c r="M11" s="19"/>
      <c r="N11" s="19"/>
      <c r="O11" s="19"/>
      <c r="Q11" s="17"/>
      <c r="R11" s="17"/>
      <c r="S11" s="17"/>
      <c r="T11" s="17"/>
      <c r="U11" s="17"/>
      <c r="V11" s="17"/>
      <c r="W11" s="17"/>
      <c r="X11" s="17"/>
      <c r="Y11" s="17"/>
      <c r="Z11" s="19"/>
      <c r="AA11" s="19"/>
      <c r="AB11" s="19"/>
      <c r="AC11" s="19"/>
      <c r="AD11" s="19"/>
      <c r="AE11" s="19"/>
      <c r="AG11" s="17"/>
      <c r="AH11" s="17"/>
      <c r="AI11" s="17"/>
      <c r="AJ11" s="17"/>
      <c r="AK11" s="17"/>
      <c r="AL11" s="17"/>
      <c r="AM11" s="17"/>
    </row>
    <row r="12" spans="1:39" x14ac:dyDescent="0.3">
      <c r="A12" s="17" t="s">
        <v>81</v>
      </c>
      <c r="B12" s="19" t="s">
        <v>82</v>
      </c>
      <c r="C12" s="17"/>
      <c r="D12" s="17"/>
      <c r="E12" s="17"/>
      <c r="F12" s="17"/>
      <c r="G12" s="17"/>
      <c r="H12" s="17"/>
      <c r="I12" s="17" t="s">
        <v>81</v>
      </c>
      <c r="J12" s="19" t="s">
        <v>82</v>
      </c>
      <c r="K12" s="19"/>
      <c r="L12" s="19"/>
      <c r="M12" s="19"/>
      <c r="N12" s="19"/>
      <c r="O12" s="19"/>
      <c r="Q12" s="17" t="s">
        <v>81</v>
      </c>
      <c r="R12" s="19" t="s">
        <v>82</v>
      </c>
      <c r="S12" s="17"/>
      <c r="T12" s="17"/>
      <c r="U12" s="17"/>
      <c r="V12" s="17"/>
      <c r="W12" s="17"/>
      <c r="X12" s="17"/>
      <c r="Y12" s="17" t="s">
        <v>81</v>
      </c>
      <c r="Z12" s="19" t="s">
        <v>82</v>
      </c>
      <c r="AA12" s="19"/>
      <c r="AB12" s="19"/>
      <c r="AC12" s="19"/>
      <c r="AD12" s="19"/>
      <c r="AE12" s="19"/>
      <c r="AG12" s="17" t="s">
        <v>81</v>
      </c>
      <c r="AH12" s="19" t="s">
        <v>82</v>
      </c>
      <c r="AI12" s="17"/>
      <c r="AJ12" s="17"/>
      <c r="AK12" s="17"/>
      <c r="AL12" s="17"/>
      <c r="AM12" s="17"/>
    </row>
    <row r="13" spans="1:39" x14ac:dyDescent="0.3">
      <c r="A13" s="17" t="s">
        <v>83</v>
      </c>
      <c r="B13" s="20">
        <f ca="1">G9*(1+'Assumptions &amp; WACC'!B25)/('Assumptions &amp; WACC'!B21-'Assumptions &amp; WACC'!B25)</f>
        <v>207618.79122798058</v>
      </c>
      <c r="C13" s="17"/>
      <c r="D13" s="17"/>
      <c r="E13" s="17"/>
      <c r="F13" s="17"/>
      <c r="G13" s="17"/>
      <c r="H13" s="17"/>
      <c r="I13" s="42" t="s">
        <v>83</v>
      </c>
      <c r="J13" s="51">
        <f ca="1">O9*(1+'Assumptions &amp; WACC'!C25)/('Assumptions &amp; WACC'!C21-'Assumptions &amp; WACC'!C25)</f>
        <v>11068.018549732431</v>
      </c>
      <c r="K13" s="19"/>
      <c r="L13" s="19"/>
      <c r="M13" s="19"/>
      <c r="N13" s="19"/>
      <c r="O13" s="19"/>
      <c r="Q13" s="17" t="s">
        <v>83</v>
      </c>
      <c r="R13" s="20">
        <f ca="1">W9*(1+'Assumptions &amp; WACC'!D25)/('Assumptions &amp; WACC'!D21-'Assumptions &amp; WACC'!D25)</f>
        <v>7942.5089054076407</v>
      </c>
      <c r="S13" s="17"/>
      <c r="T13" s="17"/>
      <c r="U13" s="17"/>
      <c r="V13" s="17"/>
      <c r="W13" s="17"/>
      <c r="X13" s="17"/>
      <c r="Y13" s="42" t="s">
        <v>83</v>
      </c>
      <c r="Z13" s="43">
        <f ca="1">AE9*(1+'Assumptions &amp; WACC'!E25)/('Assumptions &amp; WACC'!E21-'Assumptions &amp; WACC'!E25)</f>
        <v>17000.881390997234</v>
      </c>
      <c r="AA13" s="19"/>
      <c r="AB13" s="19"/>
      <c r="AC13" s="19"/>
      <c r="AD13" s="19"/>
      <c r="AE13" s="19"/>
      <c r="AG13" s="17" t="s">
        <v>83</v>
      </c>
      <c r="AH13" s="20">
        <f ca="1">AM9*(1+'Assumptions &amp; WACC'!F25)/('Assumptions &amp; WACC'!F21-'Assumptions &amp; WACC'!F25)</f>
        <v>25074.988337429604</v>
      </c>
      <c r="AI13" s="17"/>
      <c r="AJ13" s="17"/>
      <c r="AK13" s="17"/>
      <c r="AL13" s="17"/>
      <c r="AM13" s="17"/>
    </row>
    <row r="14" spans="1:39" x14ac:dyDescent="0.3">
      <c r="A14" s="17" t="s">
        <v>84</v>
      </c>
      <c r="B14" s="20">
        <f ca="1">B13*'Assumptions &amp; WACC'!B23</f>
        <v>120244.18032267531</v>
      </c>
      <c r="C14" s="17"/>
      <c r="D14" s="17"/>
      <c r="E14" s="17"/>
      <c r="F14" s="17"/>
      <c r="G14" s="17"/>
      <c r="H14" s="17"/>
      <c r="I14" s="42" t="s">
        <v>84</v>
      </c>
      <c r="J14" s="43">
        <f ca="1">J13*'Assumptions &amp; WACC'!C23</f>
        <v>7413.9422624403751</v>
      </c>
      <c r="K14" s="19"/>
      <c r="L14" s="19"/>
      <c r="M14" s="19"/>
      <c r="N14" s="19"/>
      <c r="O14" s="19"/>
      <c r="Q14" s="17" t="s">
        <v>84</v>
      </c>
      <c r="R14" s="20">
        <f ca="1">R13*'Assumptions &amp; WACC'!D23</f>
        <v>5007.3253333088805</v>
      </c>
      <c r="S14" s="17"/>
      <c r="T14" s="17"/>
      <c r="U14" s="17"/>
      <c r="V14" s="17"/>
      <c r="W14" s="17"/>
      <c r="X14" s="17"/>
      <c r="Y14" s="42" t="s">
        <v>84</v>
      </c>
      <c r="Z14" s="43">
        <f ca="1">Z13*'Assumptions &amp; WACC'!E23</f>
        <v>10250.016022312768</v>
      </c>
      <c r="AA14" s="19"/>
      <c r="AB14" s="19"/>
      <c r="AC14" s="19"/>
      <c r="AD14" s="19"/>
      <c r="AE14" s="19"/>
      <c r="AG14" s="17" t="s">
        <v>84</v>
      </c>
      <c r="AH14" s="20">
        <f ca="1">AH13*'Assumptions &amp; WACC'!F23</f>
        <v>15985.54294958609</v>
      </c>
      <c r="AI14" s="17"/>
      <c r="AJ14" s="17"/>
      <c r="AK14" s="17"/>
      <c r="AL14" s="17"/>
      <c r="AM14" s="17"/>
    </row>
    <row r="15" spans="1:39" x14ac:dyDescent="0.3">
      <c r="A15" s="17" t="s">
        <v>85</v>
      </c>
      <c r="B15" s="20">
        <f ca="1">NPV('Assumptions &amp; WACC'!B21,DCF!B9:G9)</f>
        <v>48516.726185285588</v>
      </c>
      <c r="C15" s="17"/>
      <c r="D15" s="17"/>
      <c r="E15" s="17"/>
      <c r="F15" s="17"/>
      <c r="G15" s="17"/>
      <c r="H15" s="17"/>
      <c r="I15" s="42" t="s">
        <v>85</v>
      </c>
      <c r="J15" s="43">
        <f ca="1">NPV('Assumptions &amp; WACC'!C21,DCF!J9:O9)</f>
        <v>2516.5355586641831</v>
      </c>
      <c r="K15" s="19"/>
      <c r="L15" s="19"/>
      <c r="M15" s="19"/>
      <c r="N15" s="19"/>
      <c r="O15" s="19"/>
      <c r="Q15" s="17" t="s">
        <v>85</v>
      </c>
      <c r="R15" s="20">
        <f ca="1">NPV('Assumptions &amp; WACC'!D21,DCF!R9:W9)</f>
        <v>882.29889017917037</v>
      </c>
      <c r="S15" s="17"/>
      <c r="T15" s="17"/>
      <c r="U15" s="17"/>
      <c r="V15" s="17"/>
      <c r="W15" s="17"/>
      <c r="X15" s="17"/>
      <c r="Y15" s="42" t="s">
        <v>85</v>
      </c>
      <c r="Z15" s="43">
        <f ca="1">NPV('Assumptions &amp; WACC'!E21,DCF!Z9:AE9)</f>
        <v>5172.8829021791089</v>
      </c>
      <c r="AA15" s="19"/>
      <c r="AB15" s="19"/>
      <c r="AC15" s="19"/>
      <c r="AD15" s="19"/>
      <c r="AE15" s="19"/>
      <c r="AG15" s="17" t="s">
        <v>85</v>
      </c>
      <c r="AH15" s="20">
        <f ca="1">NPV('Assumptions &amp; WACC'!F21,DCF!AH9:AM9)</f>
        <v>5045.27672205216</v>
      </c>
      <c r="AI15" s="17"/>
      <c r="AJ15" s="17"/>
      <c r="AK15" s="17"/>
      <c r="AL15" s="17"/>
      <c r="AM15" s="17"/>
    </row>
    <row r="16" spans="1:39" x14ac:dyDescent="0.3">
      <c r="A16" s="17" t="s">
        <v>86</v>
      </c>
      <c r="B16" s="20">
        <f ca="1">B14+B15</f>
        <v>168760.9065079609</v>
      </c>
      <c r="C16" s="17"/>
      <c r="D16" s="17"/>
      <c r="E16" s="17"/>
      <c r="F16" s="17"/>
      <c r="G16" s="17"/>
      <c r="H16" s="17"/>
      <c r="I16" s="42" t="s">
        <v>86</v>
      </c>
      <c r="J16" s="43">
        <f ca="1">J14+J15</f>
        <v>9930.4778211045577</v>
      </c>
      <c r="K16" s="19"/>
      <c r="L16" s="19"/>
      <c r="M16" s="19"/>
      <c r="N16" s="19"/>
      <c r="O16" s="19"/>
      <c r="Q16" s="17" t="s">
        <v>86</v>
      </c>
      <c r="R16" s="20">
        <f ca="1">R14+R15</f>
        <v>5889.624223488051</v>
      </c>
      <c r="S16" s="17"/>
      <c r="T16" s="17"/>
      <c r="U16" s="17"/>
      <c r="V16" s="17"/>
      <c r="W16" s="17"/>
      <c r="X16" s="17"/>
      <c r="Y16" s="42" t="s">
        <v>86</v>
      </c>
      <c r="Z16" s="43">
        <f ca="1">Z14+Z15</f>
        <v>15422.898924491878</v>
      </c>
      <c r="AA16" s="19"/>
      <c r="AB16" s="19"/>
      <c r="AC16" s="19"/>
      <c r="AD16" s="19"/>
      <c r="AE16" s="19"/>
      <c r="AG16" s="17" t="s">
        <v>86</v>
      </c>
      <c r="AH16" s="20">
        <f ca="1">AH14+AH15</f>
        <v>21030.819671638252</v>
      </c>
      <c r="AI16" s="17"/>
      <c r="AJ16" s="17"/>
      <c r="AK16" s="17"/>
      <c r="AL16" s="17"/>
      <c r="AM16" s="17"/>
    </row>
    <row r="17" spans="1:39" x14ac:dyDescent="0.3">
      <c r="A17" s="17" t="s">
        <v>87</v>
      </c>
      <c r="B17" s="20">
        <f>'Assumptions &amp; WACC'!B16-'Assumptions &amp; WACC'!B24</f>
        <v>31520</v>
      </c>
      <c r="C17" s="17"/>
      <c r="D17" s="17"/>
      <c r="E17" s="17"/>
      <c r="F17" s="17"/>
      <c r="G17" s="17"/>
      <c r="H17" s="17"/>
      <c r="I17" s="42" t="s">
        <v>87</v>
      </c>
      <c r="J17" s="43">
        <f>'Assumptions &amp; WACC'!C16-'Assumptions &amp; WACC'!C24</f>
        <v>1079.5590000000002</v>
      </c>
      <c r="K17" s="19"/>
      <c r="L17" s="19"/>
      <c r="M17" s="19"/>
      <c r="N17" s="19"/>
      <c r="O17" s="19"/>
      <c r="Q17" s="17" t="s">
        <v>87</v>
      </c>
      <c r="R17" s="20">
        <f>'Assumptions &amp; WACC'!D16-'Assumptions &amp; WACC'!D24</f>
        <v>936.37699999999995</v>
      </c>
      <c r="S17" s="17"/>
      <c r="T17" s="17"/>
      <c r="U17" s="17"/>
      <c r="V17" s="17"/>
      <c r="W17" s="17"/>
      <c r="X17" s="17"/>
      <c r="Y17" s="42" t="s">
        <v>87</v>
      </c>
      <c r="Z17" s="43">
        <f>'Assumptions &amp; WACC'!E16-'Assumptions &amp; WACC'!E24</f>
        <v>-1725</v>
      </c>
      <c r="AA17" s="19"/>
      <c r="AB17" s="19"/>
      <c r="AC17" s="19"/>
      <c r="AD17" s="19"/>
      <c r="AE17" s="19"/>
      <c r="AG17" s="17" t="s">
        <v>87</v>
      </c>
      <c r="AH17" s="20">
        <f>'Assumptions &amp; WACC'!F16-'Assumptions &amp; WACC'!F24</f>
        <v>4747.7</v>
      </c>
      <c r="AI17" s="17"/>
      <c r="AJ17" s="17"/>
      <c r="AK17" s="17"/>
      <c r="AL17" s="17"/>
      <c r="AM17" s="17"/>
    </row>
    <row r="18" spans="1:39" x14ac:dyDescent="0.3">
      <c r="A18" s="17" t="s">
        <v>88</v>
      </c>
      <c r="B18" s="20">
        <f ca="1">B16-B17</f>
        <v>137240.9065079609</v>
      </c>
      <c r="C18" s="17"/>
      <c r="D18" s="17"/>
      <c r="E18" s="17"/>
      <c r="F18" s="17"/>
      <c r="G18" s="17"/>
      <c r="H18" s="17"/>
      <c r="I18" s="42" t="s">
        <v>88</v>
      </c>
      <c r="J18" s="43">
        <f ca="1">J16-J17</f>
        <v>8850.9188211045584</v>
      </c>
      <c r="K18" s="19"/>
      <c r="L18" s="19"/>
      <c r="M18" s="19"/>
      <c r="N18" s="19"/>
      <c r="O18" s="19"/>
      <c r="Q18" s="17" t="s">
        <v>88</v>
      </c>
      <c r="R18" s="20">
        <f ca="1">R16-R17</f>
        <v>4953.2472234880515</v>
      </c>
      <c r="S18" s="17"/>
      <c r="T18" s="17"/>
      <c r="U18" s="17"/>
      <c r="V18" s="17"/>
      <c r="W18" s="17"/>
      <c r="X18" s="17"/>
      <c r="Y18" s="42" t="s">
        <v>88</v>
      </c>
      <c r="Z18" s="43">
        <f ca="1">Z16-Z17</f>
        <v>17147.898924491878</v>
      </c>
      <c r="AA18" s="19"/>
      <c r="AB18" s="19"/>
      <c r="AC18" s="19"/>
      <c r="AD18" s="19"/>
      <c r="AE18" s="19"/>
      <c r="AG18" s="17" t="s">
        <v>88</v>
      </c>
      <c r="AH18" s="20">
        <f ca="1">AH16-AH17</f>
        <v>16283.119671638251</v>
      </c>
      <c r="AI18" s="17"/>
      <c r="AJ18" s="17"/>
      <c r="AK18" s="17"/>
      <c r="AL18" s="17"/>
      <c r="AM18" s="17"/>
    </row>
    <row r="19" spans="1:39" x14ac:dyDescent="0.3">
      <c r="A19" s="17" t="s">
        <v>89</v>
      </c>
      <c r="B19" s="20">
        <f ca="1">'Assumptions &amp; WACC'!B26</f>
        <v>467.9796</v>
      </c>
      <c r="C19" s="17"/>
      <c r="D19" s="17"/>
      <c r="E19" s="17"/>
      <c r="F19" s="17"/>
      <c r="G19" s="17"/>
      <c r="H19" s="17"/>
      <c r="I19" s="42" t="s">
        <v>89</v>
      </c>
      <c r="J19" s="43">
        <f ca="1">'Assumptions &amp; WACC'!C26</f>
        <v>119.5365</v>
      </c>
      <c r="K19" s="19"/>
      <c r="L19" s="19"/>
      <c r="M19" s="19"/>
      <c r="N19" s="19"/>
      <c r="O19" s="19"/>
      <c r="Q19" s="17" t="s">
        <v>89</v>
      </c>
      <c r="R19" s="20">
        <f ca="1">'Assumptions &amp; WACC'!D26</f>
        <v>132.4461</v>
      </c>
      <c r="S19" s="17"/>
      <c r="T19" s="17"/>
      <c r="U19" s="17"/>
      <c r="V19" s="17"/>
      <c r="W19" s="17"/>
      <c r="X19" s="17"/>
      <c r="Y19" s="42" t="s">
        <v>89</v>
      </c>
      <c r="Z19" s="43">
        <f ca="1">'Assumptions &amp; WACC'!E26</f>
        <v>161.1825</v>
      </c>
      <c r="AA19" s="19"/>
      <c r="AB19" s="19"/>
      <c r="AC19" s="19"/>
      <c r="AD19" s="19"/>
      <c r="AE19" s="19"/>
      <c r="AG19" s="17" t="s">
        <v>89</v>
      </c>
      <c r="AH19" s="20">
        <f ca="1">'Assumptions &amp; WACC'!F26</f>
        <v>132.1309</v>
      </c>
      <c r="AI19" s="17"/>
      <c r="AJ19" s="17"/>
      <c r="AK19" s="17"/>
      <c r="AL19" s="17"/>
      <c r="AM19" s="17"/>
    </row>
    <row r="20" spans="1:39" x14ac:dyDescent="0.3">
      <c r="A20" s="17" t="s">
        <v>90</v>
      </c>
      <c r="B20" s="20">
        <f ca="1">B18/B19</f>
        <v>293.26258347150366</v>
      </c>
      <c r="C20" s="17"/>
      <c r="D20" s="17"/>
      <c r="E20" s="17"/>
      <c r="F20" s="17"/>
      <c r="G20" s="17"/>
      <c r="H20" s="17"/>
      <c r="I20" s="42" t="s">
        <v>90</v>
      </c>
      <c r="J20" s="43">
        <f ca="1">J18/J19</f>
        <v>74.043650442371643</v>
      </c>
      <c r="K20" s="19"/>
      <c r="L20" s="19"/>
      <c r="M20" s="19"/>
      <c r="N20" s="19"/>
      <c r="O20" s="19"/>
      <c r="Q20" s="17" t="s">
        <v>90</v>
      </c>
      <c r="R20" s="20">
        <f ca="1">R18/R19</f>
        <v>37.398211223192313</v>
      </c>
      <c r="S20" s="17"/>
      <c r="T20" s="17"/>
      <c r="U20" s="17"/>
      <c r="V20" s="17"/>
      <c r="W20" s="17"/>
      <c r="X20" s="17"/>
      <c r="Y20" s="42" t="s">
        <v>90</v>
      </c>
      <c r="Z20" s="43">
        <f ca="1">Z18/Z19</f>
        <v>106.38809377253658</v>
      </c>
      <c r="AA20" s="19"/>
      <c r="AB20" s="19"/>
      <c r="AC20" s="19"/>
      <c r="AD20" s="19"/>
      <c r="AE20" s="19"/>
      <c r="AG20" s="17" t="s">
        <v>90</v>
      </c>
      <c r="AH20" s="20">
        <f ca="1">AH18/AH19</f>
        <v>123.23475940630277</v>
      </c>
      <c r="AI20" s="17"/>
      <c r="AJ20" s="17"/>
      <c r="AK20" s="17"/>
      <c r="AL20" s="17"/>
      <c r="AM20" s="17"/>
    </row>
    <row r="21" spans="1:39" x14ac:dyDescent="0.3">
      <c r="A21" s="17" t="s">
        <v>91</v>
      </c>
      <c r="B21" s="20">
        <f ca="1">Profile!B3</f>
        <v>555.91</v>
      </c>
      <c r="C21" s="17"/>
      <c r="D21" s="17"/>
      <c r="E21" s="17"/>
      <c r="F21" s="17"/>
      <c r="G21" s="17"/>
      <c r="H21" s="17"/>
      <c r="I21" s="42" t="s">
        <v>91</v>
      </c>
      <c r="J21" s="43">
        <f ca="1">Profile!C3</f>
        <v>149.19999999999999</v>
      </c>
      <c r="K21" s="19"/>
      <c r="L21" s="19"/>
      <c r="M21" s="19"/>
      <c r="N21" s="19"/>
      <c r="O21" s="19"/>
      <c r="Q21" s="17" t="s">
        <v>91</v>
      </c>
      <c r="R21" s="20">
        <f ca="1">Profile!D3</f>
        <v>116.24</v>
      </c>
      <c r="S21" s="17"/>
      <c r="T21" s="17"/>
      <c r="U21" s="17"/>
      <c r="V21" s="17"/>
      <c r="W21" s="17"/>
      <c r="X21" s="17"/>
      <c r="Y21" s="42" t="s">
        <v>91</v>
      </c>
      <c r="Z21" s="43">
        <f ca="1">Profile!E3</f>
        <v>42.03</v>
      </c>
      <c r="AA21" s="19"/>
      <c r="AB21" s="19"/>
      <c r="AC21" s="19"/>
      <c r="AD21" s="19"/>
      <c r="AE21" s="19"/>
      <c r="AG21" s="17" t="s">
        <v>91</v>
      </c>
      <c r="AH21" s="20">
        <f ca="1">Profile!F3</f>
        <v>283.87</v>
      </c>
      <c r="AI21" s="17"/>
      <c r="AJ21" s="17"/>
      <c r="AK21" s="17"/>
      <c r="AL21" s="17"/>
      <c r="AM21" s="17"/>
    </row>
    <row r="22" spans="1:39" x14ac:dyDescent="0.3">
      <c r="A22" s="17" t="s">
        <v>92</v>
      </c>
      <c r="B22" s="49">
        <f ca="1">(B20-B21)/B21</f>
        <v>-0.472463917771755</v>
      </c>
      <c r="C22" s="17"/>
      <c r="D22" s="17"/>
      <c r="E22" s="17"/>
      <c r="F22" s="17"/>
      <c r="G22" s="17"/>
      <c r="H22" s="17"/>
      <c r="I22" s="42" t="s">
        <v>92</v>
      </c>
      <c r="J22" s="50">
        <f ca="1">(J20-J21)/J21</f>
        <v>-0.50372888443450636</v>
      </c>
      <c r="K22" s="19"/>
      <c r="L22" s="19"/>
      <c r="M22" s="19"/>
      <c r="N22" s="19"/>
      <c r="O22" s="19"/>
      <c r="Q22" s="17" t="s">
        <v>92</v>
      </c>
      <c r="R22" s="49">
        <f ca="1">(R20-R21)/R21</f>
        <v>-0.67826728128705849</v>
      </c>
      <c r="S22" s="17"/>
      <c r="T22" s="17"/>
      <c r="U22" s="17"/>
      <c r="V22" s="17"/>
      <c r="W22" s="17"/>
      <c r="X22" s="17"/>
      <c r="Y22" s="42" t="s">
        <v>92</v>
      </c>
      <c r="Z22" s="50">
        <f ca="1">(Z20-Z21)/Z21</f>
        <v>1.5312418218543082</v>
      </c>
      <c r="AA22" s="19"/>
      <c r="AB22" s="19"/>
      <c r="AC22" s="19"/>
      <c r="AD22" s="19"/>
      <c r="AE22" s="19"/>
      <c r="AG22" s="17" t="s">
        <v>92</v>
      </c>
      <c r="AH22" s="49">
        <f ca="1">(AH20-AH21)/AH21</f>
        <v>-0.56587607212349744</v>
      </c>
      <c r="AI22" s="17"/>
      <c r="AJ22" s="17"/>
      <c r="AK22" s="17"/>
      <c r="AL22" s="17"/>
      <c r="AM22" s="17"/>
    </row>
  </sheetData>
  <conditionalFormatting sqref="B22">
    <cfRule type="cellIs" dxfId="64" priority="9" operator="lessThan">
      <formula>0</formula>
    </cfRule>
    <cfRule type="cellIs" dxfId="63" priority="10" operator="greaterThan">
      <formula>0</formula>
    </cfRule>
  </conditionalFormatting>
  <conditionalFormatting sqref="J22">
    <cfRule type="cellIs" dxfId="62" priority="7" operator="lessThan">
      <formula>0</formula>
    </cfRule>
    <cfRule type="cellIs" dxfId="61" priority="8" operator="greaterThan">
      <formula>0</formula>
    </cfRule>
  </conditionalFormatting>
  <conditionalFormatting sqref="R22">
    <cfRule type="cellIs" dxfId="60" priority="5" operator="lessThan">
      <formula>0</formula>
    </cfRule>
    <cfRule type="cellIs" dxfId="59" priority="6" operator="greaterThan">
      <formula>0</formula>
    </cfRule>
  </conditionalFormatting>
  <conditionalFormatting sqref="Z22">
    <cfRule type="cellIs" dxfId="58" priority="3" operator="lessThan">
      <formula>0</formula>
    </cfRule>
    <cfRule type="cellIs" dxfId="57" priority="4" operator="greaterThan">
      <formula>0</formula>
    </cfRule>
  </conditionalFormatting>
  <conditionalFormatting sqref="AH22">
    <cfRule type="cellIs" dxfId="56" priority="1" operator="lessThan">
      <formula>0</formula>
    </cfRule>
    <cfRule type="cellIs" dxfId="55" priority="2" operator="greaterThan">
      <formula>0</formula>
    </cfRule>
  </conditionalFormatting>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B6EE1-8C2A-4BEC-AE10-6454BDFA6B08}">
  <dimension ref="A1:M26"/>
  <sheetViews>
    <sheetView workbookViewId="0">
      <selection activeCell="J22" sqref="J22"/>
    </sheetView>
  </sheetViews>
  <sheetFormatPr defaultRowHeight="14.4" x14ac:dyDescent="0.3"/>
  <cols>
    <col min="1" max="1" width="66" bestFit="1" customWidth="1"/>
    <col min="2" max="2" width="10.21875" bestFit="1" customWidth="1"/>
    <col min="3" max="3" width="10.77734375" bestFit="1" customWidth="1"/>
    <col min="4" max="4" width="9.88671875" bestFit="1" customWidth="1"/>
    <col min="5" max="5" width="10.5546875" bestFit="1" customWidth="1"/>
    <col min="8" max="8" width="11" customWidth="1"/>
    <col min="9" max="11" width="10.88671875" bestFit="1" customWidth="1"/>
    <col min="12" max="12" width="12.33203125" bestFit="1" customWidth="1"/>
  </cols>
  <sheetData>
    <row r="1" spans="1:13" x14ac:dyDescent="0.3">
      <c r="A1" s="52" t="s">
        <v>0</v>
      </c>
      <c r="B1" s="53" t="s">
        <v>93</v>
      </c>
      <c r="C1" s="53" t="s">
        <v>8</v>
      </c>
      <c r="D1" s="53" t="s">
        <v>94</v>
      </c>
      <c r="E1" s="53" t="s">
        <v>95</v>
      </c>
      <c r="F1" s="17"/>
      <c r="G1" s="17"/>
      <c r="H1" s="54"/>
      <c r="I1" s="22"/>
      <c r="J1" s="22"/>
      <c r="K1" s="22"/>
      <c r="L1" s="22" t="s">
        <v>103</v>
      </c>
    </row>
    <row r="2" spans="1:13" x14ac:dyDescent="0.3">
      <c r="A2" s="29" t="e" vm="1">
        <v>#VALUE!</v>
      </c>
      <c r="B2" s="39">
        <v>12.81</v>
      </c>
      <c r="C2" s="39" cm="1">
        <f t="array" aca="1" ref="C2" ca="1">_FV(A2,"P/E",TRUE)</f>
        <v>28.523599999999998</v>
      </c>
      <c r="D2" s="39">
        <v>2.74</v>
      </c>
      <c r="E2" s="39">
        <v>8.94</v>
      </c>
      <c r="F2" s="17"/>
      <c r="G2" s="17"/>
      <c r="H2" s="89" t="s">
        <v>0</v>
      </c>
      <c r="I2" s="24" t="s">
        <v>93</v>
      </c>
      <c r="J2" s="24" t="s">
        <v>8</v>
      </c>
      <c r="K2" s="24" t="s">
        <v>94</v>
      </c>
      <c r="L2" s="24" t="s">
        <v>95</v>
      </c>
      <c r="M2" s="25" t="s">
        <v>131</v>
      </c>
    </row>
    <row r="3" spans="1:13" x14ac:dyDescent="0.3">
      <c r="A3" s="29" t="e" vm="2">
        <v>#VALUE!</v>
      </c>
      <c r="B3" s="39">
        <v>13.77</v>
      </c>
      <c r="C3" s="39" cm="1">
        <f t="array" aca="1" ref="C3" ca="1">_FV(A3,"P/E",TRUE)</f>
        <v>59.35</v>
      </c>
      <c r="D3" s="39">
        <v>1.46</v>
      </c>
      <c r="E3" s="39">
        <v>3.61</v>
      </c>
      <c r="F3" s="17"/>
      <c r="G3" s="17"/>
      <c r="H3" s="90" t="s">
        <v>40</v>
      </c>
      <c r="I3" s="91">
        <f ca="1">(B22*$B$19)/Relative!M3</f>
        <v>425.05329826342853</v>
      </c>
      <c r="J3" s="91">
        <f ca="1">(C22*$C$19)/Relative!M3</f>
        <v>386.42337601361248</v>
      </c>
      <c r="K3" s="91">
        <f ca="1">(D22*$D$19)/Relative!M3</f>
        <v>810.23436838913472</v>
      </c>
      <c r="L3" s="91">
        <f ca="1">(E22*$E$19)/Relative!M3</f>
        <v>204.34705647425662</v>
      </c>
      <c r="M3" s="94">
        <f ca="1">'Assumptions &amp; WACC'!B26</f>
        <v>467.9796</v>
      </c>
    </row>
    <row r="4" spans="1:13" x14ac:dyDescent="0.3">
      <c r="A4" s="29" t="e" vm="6">
        <v>#VALUE!</v>
      </c>
      <c r="B4" s="39">
        <v>6.76</v>
      </c>
      <c r="C4" s="39" cm="1">
        <f t="array" aca="1" ref="C4" ca="1">_FV(A4,"P/E",TRUE)</f>
        <v>13.9998</v>
      </c>
      <c r="D4" s="39">
        <v>0.91</v>
      </c>
      <c r="E4" s="39">
        <v>2.31</v>
      </c>
      <c r="F4" s="17"/>
      <c r="G4" s="17"/>
      <c r="H4" s="92" t="s">
        <v>41</v>
      </c>
      <c r="I4" s="91">
        <f ca="1">(B23*$B$19)/Relative!M4</f>
        <v>100.90353835439394</v>
      </c>
      <c r="J4" s="91">
        <f ca="1">(C23*$C$19)/Relative!M4</f>
        <v>16.171980120611895</v>
      </c>
      <c r="K4" s="91">
        <f ca="1">(D23*$D$19)/Relative!M4</f>
        <v>562.9049950276692</v>
      </c>
      <c r="L4" s="91">
        <f ca="1">(E23*$E$19)/Relative!M4</f>
        <v>187.43627075725826</v>
      </c>
      <c r="M4" s="95">
        <f ca="1">'Assumptions &amp; WACC'!C26</f>
        <v>119.5365</v>
      </c>
    </row>
    <row r="5" spans="1:13" x14ac:dyDescent="0.3">
      <c r="A5" s="29" t="e" vm="7">
        <v>#VALUE!</v>
      </c>
      <c r="B5" s="39">
        <v>0</v>
      </c>
      <c r="C5" s="39" cm="1">
        <f t="array" aca="1" ref="C5" ca="1">_FV(A5,"P/E",TRUE)</f>
        <v>0</v>
      </c>
      <c r="D5" s="39">
        <v>65.17</v>
      </c>
      <c r="E5" s="39">
        <v>1.5</v>
      </c>
      <c r="F5" s="17"/>
      <c r="G5" s="17"/>
      <c r="H5" s="90" t="str">
        <f>A24</f>
        <v>AECOM</v>
      </c>
      <c r="I5" s="91">
        <f ca="1">(B24*$B$19)/Relative!M5</f>
        <v>98.455305516734768</v>
      </c>
      <c r="J5" s="91">
        <f ca="1">(C24*$C$19)/Relative!M5</f>
        <v>67.836787370485112</v>
      </c>
      <c r="K5" s="91">
        <f ca="1">(D24*$D$19)/Relative!M5</f>
        <v>711.43830763042456</v>
      </c>
      <c r="L5" s="91">
        <f ca="1">(E24*$E$19)/Relative!M5</f>
        <v>87.796790968174989</v>
      </c>
      <c r="M5" s="96">
        <f ca="1">'Assumptions &amp; WACC'!D26</f>
        <v>132.4461</v>
      </c>
    </row>
    <row r="6" spans="1:13" x14ac:dyDescent="0.3">
      <c r="A6" s="29" t="e" vm="8">
        <v>#VALUE!</v>
      </c>
      <c r="B6" s="39">
        <v>4.1900000000000004</v>
      </c>
      <c r="C6" s="39" cm="1">
        <f t="array" aca="1" ref="C6" ca="1">_FV(A6,"P/E",TRUE)</f>
        <v>14.823600000000001</v>
      </c>
      <c r="D6" s="39">
        <v>0.19</v>
      </c>
      <c r="E6" s="39">
        <v>0.89</v>
      </c>
      <c r="F6" s="17"/>
      <c r="G6" s="17"/>
      <c r="H6" s="92" t="str">
        <f t="shared" ref="H6:H7" si="0">A25</f>
        <v>Fluor</v>
      </c>
      <c r="I6" s="91">
        <f ca="1">(B25*$B$19)/Relative!M6</f>
        <v>54.712949606812153</v>
      </c>
      <c r="J6" s="91">
        <f ca="1">(C25*$C$19)/Relative!M6</f>
        <v>-13.559146076652238</v>
      </c>
      <c r="K6" s="91">
        <f ca="1">(D25*$D$19)/Relative!M6</f>
        <v>592.20415910536167</v>
      </c>
      <c r="L6" s="91">
        <f ca="1">(E25*$E$19)/Relative!M6</f>
        <v>121.49740201324586</v>
      </c>
      <c r="M6" s="95">
        <f ca="1">'Assumptions &amp; WACC'!E26</f>
        <v>161.1825</v>
      </c>
    </row>
    <row r="7" spans="1:13" x14ac:dyDescent="0.3">
      <c r="A7" s="29" t="e" vm="4">
        <v>#VALUE!</v>
      </c>
      <c r="B7" s="39">
        <v>12.11</v>
      </c>
      <c r="C7" s="39" cm="1">
        <f t="array" aca="1" ref="C7" ca="1">_FV(A7,"P/E",TRUE)</f>
        <v>2.1295999999999999</v>
      </c>
      <c r="D7" s="39">
        <v>0.54</v>
      </c>
      <c r="E7" s="39">
        <v>3.71</v>
      </c>
      <c r="F7" s="17"/>
      <c r="G7" s="17"/>
      <c r="H7" s="93" t="str">
        <f t="shared" si="0"/>
        <v>Vulcan</v>
      </c>
      <c r="I7" s="91">
        <f ca="1">(B26*$B$19)/Relative!M7</f>
        <v>182.05615227021079</v>
      </c>
      <c r="J7" s="91">
        <f ca="1">(C26*$C$19)/Relative!M7</f>
        <v>50.976084677202586</v>
      </c>
      <c r="K7" s="91">
        <f ca="1">(D26*$D$19)/Relative!M7</f>
        <v>328.44838764058966</v>
      </c>
      <c r="L7" s="91">
        <f ca="1">(E26*$E$19)/Relative!M7</f>
        <v>302.30666378946944</v>
      </c>
      <c r="M7" s="97">
        <f ca="1">'Assumptions &amp; WACC'!F26</f>
        <v>132.1309</v>
      </c>
    </row>
    <row r="8" spans="1:13" x14ac:dyDescent="0.3">
      <c r="A8" s="29" t="e" vm="9">
        <v>#VALUE!</v>
      </c>
      <c r="B8" s="39">
        <v>13.92</v>
      </c>
      <c r="C8" s="39" cm="1">
        <f t="array" aca="1" ref="C8" ca="1">_FV(A8,"P/E",TRUE)</f>
        <v>12.804</v>
      </c>
      <c r="D8" s="39">
        <v>1.05</v>
      </c>
      <c r="E8" s="39">
        <v>5.14</v>
      </c>
      <c r="F8" s="17"/>
      <c r="G8" s="17"/>
      <c r="H8" s="54"/>
      <c r="I8" s="55"/>
      <c r="J8" s="55"/>
      <c r="K8" s="55"/>
      <c r="L8" s="55"/>
    </row>
    <row r="9" spans="1:13" x14ac:dyDescent="0.3">
      <c r="A9" s="29" t="e" vm="10">
        <v>#VALUE!</v>
      </c>
      <c r="B9" s="39">
        <v>25.83</v>
      </c>
      <c r="C9" s="39" cm="1">
        <f t="array" aca="1" ref="C9" ca="1">_FV(A9,"P/E",TRUE)</f>
        <v>65.965100000000007</v>
      </c>
      <c r="D9" s="39">
        <v>2.0699999999999998</v>
      </c>
      <c r="E9" s="39">
        <v>6.6</v>
      </c>
      <c r="F9" s="17"/>
      <c r="G9" s="17"/>
      <c r="H9" s="54"/>
      <c r="I9" s="22"/>
      <c r="J9" s="22"/>
      <c r="K9" s="22"/>
      <c r="L9" s="22"/>
    </row>
    <row r="10" spans="1:13" x14ac:dyDescent="0.3">
      <c r="A10" s="29" t="e" vm="3">
        <v>#VALUE!</v>
      </c>
      <c r="B10" s="39">
        <v>14.43</v>
      </c>
      <c r="C10" s="39" cm="1">
        <f t="array" aca="1" ref="C10" ca="1">_FV(A10,"P/E",TRUE)</f>
        <v>24.278400000000001</v>
      </c>
      <c r="D10" s="39">
        <v>0.91</v>
      </c>
      <c r="E10" s="39">
        <v>6.49</v>
      </c>
      <c r="F10" s="17"/>
      <c r="G10" s="17"/>
      <c r="H10" s="54"/>
      <c r="I10" s="22"/>
      <c r="J10" s="22"/>
      <c r="K10" s="22"/>
      <c r="L10" s="22"/>
    </row>
    <row r="11" spans="1:13" x14ac:dyDescent="0.3">
      <c r="A11" s="29" t="e" vm="11">
        <v>#VALUE!</v>
      </c>
      <c r="B11" s="39">
        <v>19.420000000000002</v>
      </c>
      <c r="C11" s="39" cm="1">
        <f t="array" aca="1" ref="C11" ca="1">_FV(A11,"P/E",TRUE)</f>
        <v>33.54</v>
      </c>
      <c r="D11" s="39">
        <v>2.1</v>
      </c>
      <c r="E11" s="39">
        <v>5.56</v>
      </c>
      <c r="F11" s="17"/>
      <c r="G11" s="17"/>
      <c r="H11" s="54"/>
      <c r="I11" s="22"/>
      <c r="J11" s="22"/>
      <c r="K11" s="22"/>
      <c r="L11" s="22"/>
    </row>
    <row r="12" spans="1:13" x14ac:dyDescent="0.3">
      <c r="A12" s="29" t="e" vm="12">
        <v>#VALUE!</v>
      </c>
      <c r="B12" s="39">
        <v>5.68</v>
      </c>
      <c r="C12" s="39" cm="1">
        <f t="array" aca="1" ref="C12" ca="1">_FV(A12,"P/E",TRUE)</f>
        <v>15.270099999999999</v>
      </c>
      <c r="D12" s="39">
        <v>0.97</v>
      </c>
      <c r="E12" s="39">
        <v>3.29</v>
      </c>
      <c r="F12" s="17"/>
      <c r="G12" s="17"/>
      <c r="H12" s="56" t="s">
        <v>0</v>
      </c>
      <c r="I12" s="57" t="s">
        <v>96</v>
      </c>
      <c r="J12" s="57" t="s">
        <v>97</v>
      </c>
      <c r="K12" s="57" t="s">
        <v>98</v>
      </c>
      <c r="L12" s="22"/>
    </row>
    <row r="13" spans="1:13" x14ac:dyDescent="0.3">
      <c r="A13" s="29" t="e" vm="13">
        <v>#VALUE!</v>
      </c>
      <c r="B13" s="39">
        <v>21.52</v>
      </c>
      <c r="C13" s="39" cm="1">
        <f t="array" aca="1" ref="C13" ca="1">_FV(A13,"P/E",TRUE)</f>
        <v>11.6744</v>
      </c>
      <c r="D13" s="39">
        <v>3.25</v>
      </c>
      <c r="E13" s="39">
        <v>7.75</v>
      </c>
      <c r="F13" s="17"/>
      <c r="G13" s="17"/>
      <c r="H13" s="54" t="str">
        <f>H5</f>
        <v>AECOM</v>
      </c>
      <c r="I13" s="58">
        <f ca="1">AVERAGE(I3:L3)</f>
        <v>456.51452478510805</v>
      </c>
      <c r="J13" s="20">
        <f ca="1">Profile!B3</f>
        <v>555.91</v>
      </c>
      <c r="K13" s="49">
        <f ca="1">(Table24[[#This Row],[Target Price]]-J13)/J13</f>
        <v>-0.17879778240163322</v>
      </c>
      <c r="L13" s="22"/>
    </row>
    <row r="14" spans="1:13" x14ac:dyDescent="0.3">
      <c r="A14" s="29" t="e" vm="14">
        <v>#VALUE!</v>
      </c>
      <c r="B14" s="39">
        <v>11.68</v>
      </c>
      <c r="C14" s="39" cm="1">
        <f t="array" aca="1" ref="C14" ca="1">_FV(A14,"P/E",TRUE)</f>
        <v>15.9221</v>
      </c>
      <c r="D14" s="39">
        <v>0.56000000000000005</v>
      </c>
      <c r="E14" s="39">
        <v>1.65</v>
      </c>
      <c r="F14" s="17"/>
      <c r="G14" s="17"/>
      <c r="H14" s="54" t="str">
        <f>H6</f>
        <v>Fluor</v>
      </c>
      <c r="I14" s="58">
        <f t="shared" ref="I14:I17" ca="1" si="1">AVERAGE(I4:L4)</f>
        <v>216.85419606498334</v>
      </c>
      <c r="J14" s="20">
        <f ca="1">Profile!C3</f>
        <v>149.19999999999999</v>
      </c>
      <c r="K14" s="49">
        <f ca="1">(Table24[[#This Row],[Target Price]]-J14)/J14</f>
        <v>0.45344635432294478</v>
      </c>
      <c r="L14" s="22"/>
    </row>
    <row r="15" spans="1:13" x14ac:dyDescent="0.3">
      <c r="A15" s="29" t="e" vm="15">
        <v>#VALUE!</v>
      </c>
      <c r="B15" s="39">
        <v>2.85</v>
      </c>
      <c r="C15" s="39" cm="1">
        <f t="array" aca="1" ref="C15" ca="1">_FV(A15,"P/E",TRUE)</f>
        <v>24.893999999999998</v>
      </c>
      <c r="D15" s="39">
        <v>0.32</v>
      </c>
      <c r="E15" s="39">
        <v>13.54</v>
      </c>
      <c r="F15" s="17"/>
      <c r="G15" s="17"/>
      <c r="H15" s="54" t="str">
        <f t="shared" ref="H15" si="2">H7</f>
        <v>Vulcan</v>
      </c>
      <c r="I15" s="58">
        <f t="shared" ca="1" si="1"/>
        <v>241.38179787145486</v>
      </c>
      <c r="J15" s="20">
        <f ca="1">Profile!D3</f>
        <v>116.24</v>
      </c>
      <c r="K15" s="49">
        <f ca="1">(Table24[[#This Row],[Target Price]]-J15)/J15</f>
        <v>1.0765811929753517</v>
      </c>
      <c r="L15" s="22"/>
    </row>
    <row r="16" spans="1:13" x14ac:dyDescent="0.3">
      <c r="A16" s="29" t="e" vm="16">
        <v>#VALUE!</v>
      </c>
      <c r="B16" s="39">
        <v>16.690000000000001</v>
      </c>
      <c r="C16" s="39" cm="1">
        <f t="array" aca="1" ref="C16" ca="1">_FV(A16,"P/E",TRUE)</f>
        <v>27.01</v>
      </c>
      <c r="D16" s="39">
        <v>9.5500000000000007</v>
      </c>
      <c r="E16" s="39">
        <v>4.6500000000000004</v>
      </c>
      <c r="F16" s="17"/>
      <c r="G16" s="17"/>
      <c r="H16" s="54" t="str">
        <f>H6</f>
        <v>Fluor</v>
      </c>
      <c r="I16" s="58">
        <f t="shared" ca="1" si="1"/>
        <v>188.71384116219187</v>
      </c>
      <c r="J16" s="20">
        <f ca="1">Profile!E3</f>
        <v>42.03</v>
      </c>
      <c r="K16" s="49">
        <f ca="1">(Table24[[#This Row],[Target Price]]-J16)/J16</f>
        <v>3.4899795660764186</v>
      </c>
      <c r="L16" s="22"/>
    </row>
    <row r="17" spans="1:12" x14ac:dyDescent="0.3">
      <c r="A17" s="29" t="e" vm="17">
        <v>#VALUE!</v>
      </c>
      <c r="B17" s="39">
        <v>11.1</v>
      </c>
      <c r="C17" s="39" cm="1">
        <f t="array" aca="1" ref="C17" ca="1">_FV(A17,"P/E",TRUE)</f>
        <v>21.814800000000002</v>
      </c>
      <c r="D17" s="39">
        <v>1.82</v>
      </c>
      <c r="E17" s="39">
        <v>2.86</v>
      </c>
      <c r="F17" s="17"/>
      <c r="G17" s="17"/>
      <c r="H17" s="54" t="str">
        <f>H7</f>
        <v>Vulcan</v>
      </c>
      <c r="I17" s="58">
        <f t="shared" ca="1" si="1"/>
        <v>215.94682209436812</v>
      </c>
      <c r="J17" s="20">
        <f ca="1">Profile!F3</f>
        <v>283.87</v>
      </c>
      <c r="K17" s="49">
        <f ca="1">(Table24[[#This Row],[Target Price]]-J17)/J17</f>
        <v>-0.23927564697090883</v>
      </c>
      <c r="L17" s="22"/>
    </row>
    <row r="18" spans="1:12" x14ac:dyDescent="0.3">
      <c r="A18" s="59"/>
      <c r="B18" s="60"/>
      <c r="C18" s="60"/>
      <c r="D18" s="60"/>
      <c r="E18" s="61"/>
      <c r="F18" s="17"/>
      <c r="G18" s="17"/>
      <c r="H18" s="54"/>
      <c r="I18" s="22"/>
      <c r="J18" s="22"/>
      <c r="K18" s="22"/>
      <c r="L18" s="22"/>
    </row>
    <row r="19" spans="1:12" x14ac:dyDescent="0.3">
      <c r="A19" s="37" t="s">
        <v>99</v>
      </c>
      <c r="B19" s="62">
        <f>AVERAGE(B2:B17)</f>
        <v>12.047499999999999</v>
      </c>
      <c r="C19" s="62">
        <f t="shared" ref="C19:E19" ca="1" si="3">AVERAGE(C2:C17)</f>
        <v>23.249968749999997</v>
      </c>
      <c r="D19" s="62">
        <f t="shared" si="3"/>
        <v>5.8506249999999982</v>
      </c>
      <c r="E19" s="62">
        <f t="shared" si="3"/>
        <v>4.9056250000000006</v>
      </c>
      <c r="F19" s="17"/>
      <c r="G19" s="17"/>
      <c r="H19" s="54"/>
      <c r="I19" s="22"/>
      <c r="J19" s="22"/>
      <c r="K19" s="22"/>
      <c r="L19" s="22"/>
    </row>
    <row r="20" spans="1:12" x14ac:dyDescent="0.3">
      <c r="A20" s="17"/>
      <c r="B20" s="22"/>
      <c r="C20" s="22"/>
      <c r="D20" s="22"/>
      <c r="E20" s="22"/>
      <c r="F20" s="17"/>
      <c r="G20" s="17"/>
      <c r="H20" s="54"/>
      <c r="I20" s="22"/>
      <c r="J20" s="22"/>
      <c r="K20" s="22"/>
      <c r="L20" s="22"/>
    </row>
    <row r="21" spans="1:12" x14ac:dyDescent="0.3">
      <c r="A21" s="63" t="s">
        <v>0</v>
      </c>
      <c r="B21" s="64" t="s">
        <v>100</v>
      </c>
      <c r="C21" s="64" t="s">
        <v>101</v>
      </c>
      <c r="D21" s="64" t="s">
        <v>17</v>
      </c>
      <c r="E21" s="64" t="s">
        <v>102</v>
      </c>
      <c r="F21" s="1"/>
      <c r="G21" s="1"/>
      <c r="H21" s="65"/>
      <c r="I21" s="2"/>
      <c r="J21" s="2"/>
      <c r="K21" s="2"/>
      <c r="L21" s="2"/>
    </row>
    <row r="22" spans="1:12" x14ac:dyDescent="0.3">
      <c r="A22" s="42" t="str">
        <f>H3</f>
        <v>Caterpillar</v>
      </c>
      <c r="B22" s="66">
        <f>Financials!F6+Financials!F7</f>
        <v>16511</v>
      </c>
      <c r="C22" s="66">
        <f>Financials!F10</f>
        <v>7778</v>
      </c>
      <c r="D22" s="66">
        <f>Financials!F3</f>
        <v>64809</v>
      </c>
      <c r="E22" s="66">
        <f>Table2[[#This Row],[2024]]</f>
        <v>19494</v>
      </c>
      <c r="F22" s="17"/>
      <c r="G22" s="17"/>
      <c r="H22" s="54"/>
      <c r="I22" s="22"/>
      <c r="J22" s="22"/>
      <c r="K22" s="22"/>
      <c r="L22" s="22"/>
    </row>
    <row r="23" spans="1:12" x14ac:dyDescent="0.3">
      <c r="A23" s="42" t="str">
        <f>H4</f>
        <v>Jacobs</v>
      </c>
      <c r="B23" s="66">
        <f>Financials!M6+Financials!M7</f>
        <v>1001.1750000000011</v>
      </c>
      <c r="C23" s="66">
        <f>Financials!M10</f>
        <v>83.146000000001038</v>
      </c>
      <c r="D23" s="66">
        <f>Financials!M3</f>
        <v>11500.941000000001</v>
      </c>
      <c r="E23" s="66">
        <f>Financials!M22</f>
        <v>4567.3029999999999</v>
      </c>
      <c r="F23" s="17"/>
      <c r="G23" s="17"/>
      <c r="H23" s="54"/>
      <c r="I23" s="22"/>
      <c r="J23" s="22"/>
      <c r="K23" s="22"/>
      <c r="L23" s="22"/>
    </row>
    <row r="24" spans="1:12" x14ac:dyDescent="0.3">
      <c r="A24" s="87" t="s">
        <v>124</v>
      </c>
      <c r="B24" s="88">
        <f>Financials!T6+Financials!T7</f>
        <v>1082.3840000000005</v>
      </c>
      <c r="C24" s="66">
        <f>Financials!T10</f>
        <v>386.4400000000004</v>
      </c>
      <c r="D24" s="88">
        <f>Financials!T3</f>
        <v>16105.498</v>
      </c>
      <c r="E24" s="88">
        <f>Financials!T22</f>
        <v>2370.41</v>
      </c>
    </row>
    <row r="25" spans="1:12" x14ac:dyDescent="0.3">
      <c r="A25" s="87" t="s">
        <v>125</v>
      </c>
      <c r="B25" s="88">
        <f>Financials!AB6+Financials!AB7</f>
        <v>732</v>
      </c>
      <c r="C25" s="66">
        <f>Financials!AB10</f>
        <v>-94</v>
      </c>
      <c r="D25" s="88">
        <f>Financials!AB3</f>
        <v>16315</v>
      </c>
      <c r="E25" s="88">
        <f>Financials!AB22</f>
        <v>3992</v>
      </c>
    </row>
    <row r="26" spans="1:12" x14ac:dyDescent="0.3">
      <c r="A26" s="87" t="s">
        <v>126</v>
      </c>
      <c r="B26" s="88">
        <f>Financials!AJ6+Financials!AJ7</f>
        <v>1996.6999999999996</v>
      </c>
      <c r="C26" s="88">
        <f>Financials!AJ10</f>
        <v>289.69999999999948</v>
      </c>
      <c r="D26" s="88">
        <f>Financials!AJ3</f>
        <v>7417.7</v>
      </c>
      <c r="E26" s="88">
        <f>Financials!AJ22</f>
        <v>8142.5</v>
      </c>
    </row>
  </sheetData>
  <conditionalFormatting sqref="I8:L8">
    <cfRule type="cellIs" dxfId="54" priority="3" operator="lessThan">
      <formula>0</formula>
    </cfRule>
    <cfRule type="cellIs" dxfId="53" priority="4" operator="greaterThan">
      <formula>0</formula>
    </cfRule>
  </conditionalFormatting>
  <conditionalFormatting sqref="K13:K17">
    <cfRule type="cellIs" dxfId="52" priority="1" operator="greaterThan">
      <formula>0</formula>
    </cfRule>
    <cfRule type="cellIs" dxfId="51" priority="2" operator="lessThan">
      <formula>0</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FD18-AFE8-42E6-AC4F-D8292984218B}">
  <dimension ref="A1:AE73"/>
  <sheetViews>
    <sheetView topLeftCell="A17" workbookViewId="0">
      <selection activeCell="F69" sqref="F69"/>
    </sheetView>
  </sheetViews>
  <sheetFormatPr defaultRowHeight="14.4" x14ac:dyDescent="0.3"/>
  <cols>
    <col min="1" max="1" width="7.6640625" style="17" bestFit="1" customWidth="1"/>
    <col min="2" max="2" width="16.88671875" style="22" bestFit="1" customWidth="1"/>
    <col min="3" max="3" width="9.109375" style="22" bestFit="1" customWidth="1"/>
    <col min="4" max="4" width="10.88671875" style="22" bestFit="1" customWidth="1"/>
    <col min="5" max="5" width="8.88671875" style="17"/>
    <col min="6" max="6" width="15.5546875" style="17" customWidth="1"/>
    <col min="7" max="15" width="15.5546875" style="22" customWidth="1"/>
    <col min="18" max="21" width="9.88671875" bestFit="1" customWidth="1"/>
    <col min="22" max="23" width="10.88671875" bestFit="1" customWidth="1"/>
    <col min="25" max="25" width="9.44140625" bestFit="1" customWidth="1"/>
    <col min="26" max="26" width="6.21875" bestFit="1" customWidth="1"/>
    <col min="27" max="27" width="14.88671875" bestFit="1" customWidth="1"/>
    <col min="28" max="28" width="12.6640625" bestFit="1" customWidth="1"/>
    <col min="29" max="29" width="12.88671875" bestFit="1" customWidth="1"/>
    <col min="30" max="30" width="10.33203125" bestFit="1" customWidth="1"/>
    <col min="31" max="31" width="16" bestFit="1" customWidth="1"/>
  </cols>
  <sheetData>
    <row r="1" spans="1:31" ht="28.8" x14ac:dyDescent="0.3">
      <c r="A1" s="1" t="s">
        <v>9</v>
      </c>
      <c r="B1" s="2" t="s">
        <v>11</v>
      </c>
      <c r="C1" s="2" t="s">
        <v>0</v>
      </c>
      <c r="D1" s="2" t="s">
        <v>82</v>
      </c>
      <c r="E1" s="1"/>
      <c r="F1" s="1" t="s">
        <v>0</v>
      </c>
      <c r="G1" s="2" t="s">
        <v>104</v>
      </c>
      <c r="H1" s="2" t="s">
        <v>105</v>
      </c>
      <c r="I1" s="2" t="s">
        <v>106</v>
      </c>
      <c r="J1" s="2" t="s">
        <v>107</v>
      </c>
      <c r="K1" s="2" t="s">
        <v>37</v>
      </c>
      <c r="L1" s="2" t="s">
        <v>78</v>
      </c>
      <c r="M1" s="2" t="s">
        <v>108</v>
      </c>
      <c r="N1" s="2" t="s">
        <v>109</v>
      </c>
      <c r="O1" s="2" t="s">
        <v>110</v>
      </c>
      <c r="Q1" s="74" t="s">
        <v>11</v>
      </c>
      <c r="R1" s="75">
        <v>2020</v>
      </c>
      <c r="S1" s="75">
        <v>2021</v>
      </c>
      <c r="T1" s="75">
        <v>2022</v>
      </c>
      <c r="U1" s="75">
        <v>2023</v>
      </c>
      <c r="V1" s="75">
        <v>2024</v>
      </c>
      <c r="W1" s="22"/>
      <c r="X1" s="17"/>
      <c r="Y1" s="74" t="s">
        <v>0</v>
      </c>
      <c r="Z1" s="74" t="s">
        <v>67</v>
      </c>
      <c r="AA1" s="74" t="s">
        <v>122</v>
      </c>
      <c r="AB1" s="74" t="s">
        <v>60</v>
      </c>
      <c r="AC1" s="74" t="s">
        <v>123</v>
      </c>
      <c r="AD1" s="74" t="s">
        <v>2</v>
      </c>
      <c r="AE1" s="74" t="s">
        <v>92</v>
      </c>
    </row>
    <row r="2" spans="1:31" x14ac:dyDescent="0.3">
      <c r="A2" s="17" t="s">
        <v>111</v>
      </c>
      <c r="B2" s="22" t="s">
        <v>112</v>
      </c>
      <c r="C2" s="22" t="s">
        <v>40</v>
      </c>
      <c r="D2" s="58">
        <f>AVERAGE(Financials!B27:F27)</f>
        <v>1390.4</v>
      </c>
      <c r="F2" s="17" t="str">
        <f>C2</f>
        <v>Caterpillar</v>
      </c>
      <c r="G2" s="58">
        <f>Financials!F6-Financials!B6</f>
        <v>9216</v>
      </c>
      <c r="H2" s="20">
        <f>(87764-32272)-(78324-25717)</f>
        <v>2885</v>
      </c>
      <c r="I2" s="49">
        <f>G2/H2</f>
        <v>3.1944540727902946</v>
      </c>
      <c r="J2" s="58">
        <f>DCF!G4-DCF!B4</f>
        <v>6785.2481206490429</v>
      </c>
      <c r="K2" s="58">
        <f>D8</f>
        <v>2182.6893927256151</v>
      </c>
      <c r="L2" s="58">
        <f>AVERAGE(DCF!B6:G6)</f>
        <v>3547.8121602128099</v>
      </c>
      <c r="M2" s="20">
        <f>IF(K2-L2&lt;=0,K2,MAX(K2-L2,0.1*K2))</f>
        <v>2182.6893927256151</v>
      </c>
      <c r="N2" s="49">
        <f>J2/M2</f>
        <v>3.1086640835213029</v>
      </c>
      <c r="O2" s="69">
        <f>MIN(MAX(N2,0.06),0.14)</f>
        <v>0.14000000000000001</v>
      </c>
      <c r="Q2" s="42" t="s">
        <v>17</v>
      </c>
      <c r="R2" s="43" cm="1">
        <f t="array" ref="R2:V2">Financials!B3:F3</f>
        <v>41748</v>
      </c>
      <c r="S2" s="43">
        <v>50971</v>
      </c>
      <c r="T2" s="43">
        <v>59427</v>
      </c>
      <c r="U2" s="43">
        <v>67060</v>
      </c>
      <c r="V2" s="43">
        <v>64809</v>
      </c>
      <c r="W2" s="22"/>
      <c r="X2" s="17"/>
      <c r="Y2" s="42" t="s">
        <v>40</v>
      </c>
      <c r="Z2" s="76">
        <f ca="1">'Assumptions &amp; WACC'!B21</f>
        <v>9.5301709087868405E-2</v>
      </c>
      <c r="AA2" s="76">
        <f>'Assumptions &amp; WACC'!B25</f>
        <v>2.5000000000000001E-2</v>
      </c>
      <c r="AB2" s="76">
        <f ca="1">'Assumptions &amp; WACC'!B12</f>
        <v>0.10503069</v>
      </c>
      <c r="AC2" s="77">
        <f ca="1">DCF!B20</f>
        <v>293.26258347150366</v>
      </c>
      <c r="AD2" s="77">
        <f ca="1">DCF!B21</f>
        <v>555.91</v>
      </c>
      <c r="AE2" s="78">
        <f ca="1">(AC2-AD2)/AD2</f>
        <v>-0.472463917771755</v>
      </c>
    </row>
    <row r="3" spans="1:31" x14ac:dyDescent="0.3">
      <c r="A3" s="17" t="s">
        <v>111</v>
      </c>
      <c r="B3" s="22" t="s">
        <v>112</v>
      </c>
      <c r="C3" s="22" t="s">
        <v>41</v>
      </c>
      <c r="D3" s="58">
        <f>AVERAGE(Financials!I27:M27)</f>
        <v>119.45959999999999</v>
      </c>
      <c r="F3" s="17" t="str">
        <f t="shared" ref="F3:F6" si="0">C3</f>
        <v>Jacobs</v>
      </c>
      <c r="G3" s="58">
        <f>Financials!M6-Financials!I6</f>
        <v>156.46300000000156</v>
      </c>
      <c r="H3" s="20">
        <f>(11759-4080)-(12354-2942)</f>
        <v>-1733</v>
      </c>
      <c r="I3" s="49">
        <f>G3/H3</f>
        <v>-9.0284477784190159E-2</v>
      </c>
      <c r="J3" s="58">
        <f>DCF!O4-DCF!J4</f>
        <v>-91.615819974613885</v>
      </c>
      <c r="K3" s="58">
        <f t="shared" ref="K3:K6" si="1">D9</f>
        <v>94.387276849910108</v>
      </c>
      <c r="L3" s="58">
        <f>AVERAGE(DCF!J6:O6)</f>
        <v>213.24990601578563</v>
      </c>
      <c r="M3" s="20">
        <f>IF(K3-L3&lt;=0,K3,MAX(K3-L3,0.1*K3))</f>
        <v>94.387276849910108</v>
      </c>
      <c r="N3" s="49">
        <f>J3/M3</f>
        <v>-0.97063738919279074</v>
      </c>
      <c r="O3" s="69">
        <f>MIN(MAX(N3,0.06),0.14)</f>
        <v>0.06</v>
      </c>
      <c r="Q3" s="42" t="s">
        <v>121</v>
      </c>
      <c r="R3" s="43" cm="1">
        <f t="array" ref="R3:V3">Financials!B6:F6</f>
        <v>5142</v>
      </c>
      <c r="S3" s="43">
        <v>7333</v>
      </c>
      <c r="T3" s="43">
        <v>8469</v>
      </c>
      <c r="U3" s="43">
        <v>13996</v>
      </c>
      <c r="V3" s="43">
        <v>14358</v>
      </c>
      <c r="W3" s="22"/>
      <c r="X3" s="17"/>
      <c r="Y3" s="42" t="s">
        <v>41</v>
      </c>
      <c r="Z3" s="76">
        <f ca="1">'Assumptions &amp; WACC'!C21</f>
        <v>6.9063363037507167E-2</v>
      </c>
      <c r="AA3" s="76">
        <f>'Assumptions &amp; WACC'!C25</f>
        <v>0.02</v>
      </c>
      <c r="AB3" s="76">
        <f ca="1">'Assumptions &amp; WACC'!C12</f>
        <v>7.3474110000000009E-2</v>
      </c>
      <c r="AC3" s="77">
        <f ca="1">DCF!J20</f>
        <v>74.043650442371643</v>
      </c>
      <c r="AD3" s="77">
        <f ca="1">DCF!J21</f>
        <v>149.19999999999999</v>
      </c>
      <c r="AE3" s="78">
        <f ca="1">(AC3-AD3)/AD3</f>
        <v>-0.50372888443450636</v>
      </c>
    </row>
    <row r="4" spans="1:31" x14ac:dyDescent="0.3">
      <c r="A4" s="17" t="s">
        <v>111</v>
      </c>
      <c r="B4" s="22" t="s">
        <v>112</v>
      </c>
      <c r="C4" s="22" t="str">
        <f>Relative!A24</f>
        <v>AECOM</v>
      </c>
      <c r="D4" s="58">
        <f>AVERAGE(Financials!P27:T27)</f>
        <v>122.6134</v>
      </c>
      <c r="F4" s="17" t="str">
        <f t="shared" si="0"/>
        <v>AECOM</v>
      </c>
      <c r="G4" s="58">
        <f>Financials!T6-Financials!P6</f>
        <v>511.05499999999904</v>
      </c>
      <c r="H4" s="58">
        <f>(Financials!T15-Financials!T20)-(Financials!P15-Financials!P20)</f>
        <v>-1220.9089999999997</v>
      </c>
      <c r="I4" s="49">
        <f t="shared" ref="I4:I6" si="2">G4/H4</f>
        <v>-0.41858566035634037</v>
      </c>
      <c r="J4" s="58">
        <f>Table927[[#This Row],[2030]]-Table927[[#This Row],[2025]]</f>
        <v>153.69554558239201</v>
      </c>
      <c r="K4" s="58">
        <f t="shared" si="1"/>
        <v>161.65814934731154</v>
      </c>
      <c r="L4" s="58">
        <f>AVERAGE(DCF!R6:W6)</f>
        <v>247.65510492139629</v>
      </c>
      <c r="M4" s="20">
        <f t="shared" ref="M4:M6" si="3">IF(K4-L4&lt;=0,K4,MAX(K4-L4,0.1*K4))</f>
        <v>161.65814934731154</v>
      </c>
      <c r="N4" s="49">
        <f t="shared" ref="N4:N6" si="4">J4/M4</f>
        <v>0.95074418582008868</v>
      </c>
      <c r="O4" s="69">
        <f t="shared" ref="O4:O6" si="5">MIN(MAX(N4,0.06),0.14)</f>
        <v>0.14000000000000001</v>
      </c>
      <c r="Q4" s="42" t="s">
        <v>101</v>
      </c>
      <c r="R4" s="43" cm="1">
        <f t="array" ref="R4:V4">Financials!B10:F10</f>
        <v>601</v>
      </c>
      <c r="S4" s="43">
        <v>2296</v>
      </c>
      <c r="T4" s="43">
        <v>3175</v>
      </c>
      <c r="U4" s="43">
        <v>7530</v>
      </c>
      <c r="V4" s="43">
        <v>7778</v>
      </c>
      <c r="W4" s="22"/>
      <c r="X4" s="17"/>
      <c r="Y4" s="17"/>
      <c r="Z4" s="17"/>
      <c r="AA4" s="17"/>
      <c r="AB4" s="17"/>
      <c r="AC4" s="17"/>
      <c r="AD4" s="17"/>
      <c r="AE4" s="17"/>
    </row>
    <row r="5" spans="1:31" x14ac:dyDescent="0.3">
      <c r="A5" s="17" t="s">
        <v>111</v>
      </c>
      <c r="B5" s="22" t="s">
        <v>112</v>
      </c>
      <c r="C5" s="22" t="str">
        <f>Relative!A25</f>
        <v>Fluor</v>
      </c>
      <c r="D5" s="58">
        <f>AVERAGE(Financials!X27:AB270)</f>
        <v>3573.0767755587908</v>
      </c>
      <c r="F5" s="17" t="str">
        <f t="shared" si="0"/>
        <v>Fluor</v>
      </c>
      <c r="G5" s="58">
        <f>Financials!AB6-Financials!X6</f>
        <v>793.93199999999979</v>
      </c>
      <c r="H5" s="58">
        <f>(Financials!AB15-Financials!AB20)-(Financials!X15-Financials!X20)</f>
        <v>2334.2249999999999</v>
      </c>
      <c r="I5" s="49">
        <f t="shared" si="2"/>
        <v>0.34012659447996652</v>
      </c>
      <c r="J5" s="58">
        <f>DCF!AE4-DCF!Z4</f>
        <v>6.827129590649605</v>
      </c>
      <c r="K5" s="58">
        <f t="shared" si="1"/>
        <v>118.81781407905093</v>
      </c>
      <c r="L5" s="58">
        <f>AVERAGE(DCF!Z6:AE6)</f>
        <v>1115.3329278653864</v>
      </c>
      <c r="M5" s="20">
        <f t="shared" si="3"/>
        <v>118.81781407905093</v>
      </c>
      <c r="N5" s="49">
        <f t="shared" si="4"/>
        <v>5.745880483971396E-2</v>
      </c>
      <c r="O5" s="69">
        <f t="shared" si="5"/>
        <v>0.06</v>
      </c>
      <c r="Q5" s="42" t="s">
        <v>37</v>
      </c>
      <c r="R5" s="43" cm="1">
        <f t="array" ref="R5:V5">Financials!B27:F27</f>
        <v>978</v>
      </c>
      <c r="S5" s="43">
        <v>1093</v>
      </c>
      <c r="T5" s="43">
        <v>1296</v>
      </c>
      <c r="U5" s="43">
        <v>1597</v>
      </c>
      <c r="V5" s="43">
        <v>1988</v>
      </c>
      <c r="W5" s="22"/>
      <c r="X5" s="17"/>
      <c r="Y5" s="17"/>
      <c r="Z5" s="17"/>
      <c r="AA5" s="17"/>
      <c r="AB5" s="17"/>
      <c r="AC5" s="17"/>
      <c r="AD5" s="17"/>
      <c r="AE5" s="17"/>
    </row>
    <row r="6" spans="1:31" x14ac:dyDescent="0.3">
      <c r="A6" s="17" t="s">
        <v>111</v>
      </c>
      <c r="B6" s="22" t="s">
        <v>112</v>
      </c>
      <c r="C6" s="22" t="str">
        <f>Relative!A26</f>
        <v>Vulcan</v>
      </c>
      <c r="D6" s="58">
        <f>AVERAGE(Financials!AF27:AJ27)</f>
        <v>580.43880000000001</v>
      </c>
      <c r="F6" s="17" t="str">
        <f t="shared" si="0"/>
        <v>Vulcan</v>
      </c>
      <c r="G6" s="58">
        <f>Table181323[[#This Row],[2024]]-Table181323[[#This Row],[2020]]</f>
        <v>400.83999999999924</v>
      </c>
      <c r="H6" s="58">
        <f>(Financials!AJ15-Financials!AJ20)-(Financials!AF15-Financials!AF20)</f>
        <v>5226.6779999999981</v>
      </c>
      <c r="I6" s="49">
        <f t="shared" si="2"/>
        <v>7.6691160236004474E-2</v>
      </c>
      <c r="J6" s="58">
        <f>DCF!AM4-DCF!AH4</f>
        <v>752.76967137633619</v>
      </c>
      <c r="K6" s="58">
        <f t="shared" si="1"/>
        <v>888.71076207074145</v>
      </c>
      <c r="L6" s="20">
        <f>AVERAGE(Table92731[[#This Row],[2025]:[2030]])</f>
        <v>825.72491783399971</v>
      </c>
      <c r="M6" s="20">
        <f t="shared" si="3"/>
        <v>88.871076207074154</v>
      </c>
      <c r="N6" s="49">
        <f t="shared" si="4"/>
        <v>8.4703562002821293</v>
      </c>
      <c r="O6" s="69">
        <f t="shared" si="5"/>
        <v>0.14000000000000001</v>
      </c>
      <c r="Q6" s="17"/>
      <c r="R6" s="22"/>
      <c r="S6" s="22"/>
      <c r="T6" s="22"/>
      <c r="U6" s="22"/>
      <c r="V6" s="22"/>
      <c r="W6" s="22"/>
      <c r="X6" s="17"/>
      <c r="Y6" s="17"/>
      <c r="Z6" s="17"/>
      <c r="AA6" s="17"/>
      <c r="AB6" s="17"/>
      <c r="AC6" s="17"/>
      <c r="AD6" s="17"/>
      <c r="AE6" s="17"/>
    </row>
    <row r="7" spans="1:31" x14ac:dyDescent="0.3">
      <c r="A7" s="16"/>
      <c r="B7" s="70"/>
      <c r="C7" s="70" t="s">
        <v>99</v>
      </c>
      <c r="D7" s="71">
        <f>AVERAGE(D2:D6)</f>
        <v>1157.1977151117583</v>
      </c>
      <c r="H7" s="70" t="s">
        <v>99</v>
      </c>
      <c r="I7" s="72">
        <f>AVERAGE(I2:I6)</f>
        <v>0.62048033787314694</v>
      </c>
      <c r="J7" s="70"/>
      <c r="K7" s="71"/>
      <c r="L7" s="70"/>
      <c r="M7" s="70" t="s">
        <v>99</v>
      </c>
      <c r="N7" s="72">
        <f>AVERAGE(N2:N6)</f>
        <v>2.323317177054089</v>
      </c>
      <c r="O7" s="72">
        <f>AVERAGE(O2:O6)</f>
        <v>0.10800000000000001</v>
      </c>
      <c r="Q7" s="98" t="s">
        <v>11</v>
      </c>
      <c r="R7" s="75">
        <v>2020</v>
      </c>
      <c r="S7" s="75">
        <v>2021</v>
      </c>
      <c r="T7" s="75">
        <v>2022</v>
      </c>
      <c r="U7" s="75">
        <v>2023</v>
      </c>
      <c r="V7" s="75">
        <v>2024</v>
      </c>
      <c r="W7" s="22"/>
      <c r="X7" s="17"/>
      <c r="Y7" s="17"/>
      <c r="Z7" s="17"/>
      <c r="AA7" s="17"/>
      <c r="AB7" s="17"/>
      <c r="AC7" s="17"/>
      <c r="AD7" s="17"/>
      <c r="AE7" s="17"/>
    </row>
    <row r="8" spans="1:31" x14ac:dyDescent="0.3">
      <c r="A8" s="17" t="s">
        <v>113</v>
      </c>
      <c r="B8" s="22" t="s">
        <v>112</v>
      </c>
      <c r="C8" s="22" t="str">
        <f t="shared" ref="C8:D23" si="6">C2</f>
        <v>Caterpillar</v>
      </c>
      <c r="D8" s="101">
        <f>AVERAGE(DCF!B7:G7)</f>
        <v>2182.6893927256151</v>
      </c>
      <c r="Q8" s="42" t="s">
        <v>17</v>
      </c>
      <c r="R8" s="43" cm="1">
        <f t="array" ref="R8:V8">Financials!I3:M3</f>
        <v>13566.975</v>
      </c>
      <c r="S8" s="43">
        <v>14092.632</v>
      </c>
      <c r="T8" s="43">
        <v>14922.825000000001</v>
      </c>
      <c r="U8" s="43">
        <v>10851.42</v>
      </c>
      <c r="V8" s="43">
        <v>11500.941000000001</v>
      </c>
      <c r="W8" s="22"/>
      <c r="X8" s="17"/>
      <c r="Y8" s="17"/>
      <c r="Z8" s="17"/>
      <c r="AA8" s="17"/>
      <c r="AB8" s="17"/>
      <c r="AC8" s="17"/>
      <c r="AD8" s="17"/>
      <c r="AE8" s="17"/>
    </row>
    <row r="9" spans="1:31" x14ac:dyDescent="0.3">
      <c r="A9" s="17" t="s">
        <v>113</v>
      </c>
      <c r="B9" s="22" t="s">
        <v>112</v>
      </c>
      <c r="C9" s="22" t="str">
        <f t="shared" si="6"/>
        <v>Jacobs</v>
      </c>
      <c r="D9" s="101">
        <f>AVERAGE(DCF!J7:O7)</f>
        <v>94.387276849910108</v>
      </c>
      <c r="G9" s="22" t="s">
        <v>43</v>
      </c>
      <c r="H9" s="22" t="s">
        <v>111</v>
      </c>
      <c r="I9" s="22" t="s">
        <v>113</v>
      </c>
      <c r="Q9" s="42" t="s">
        <v>121</v>
      </c>
      <c r="R9" s="43" cm="1">
        <f t="array" ref="R9:V9">Financials!I6:M6</f>
        <v>535.9729999999995</v>
      </c>
      <c r="S9" s="43">
        <v>688.08899999999903</v>
      </c>
      <c r="T9" s="43">
        <v>917.85000000000082</v>
      </c>
      <c r="U9" s="43">
        <v>676.4839999999997</v>
      </c>
      <c r="V9" s="43">
        <v>692.43600000000106</v>
      </c>
      <c r="W9" s="22"/>
      <c r="X9" s="17"/>
      <c r="Y9" s="17"/>
      <c r="Z9" s="17"/>
      <c r="AA9" s="17"/>
      <c r="AB9" s="17"/>
      <c r="AC9" s="17"/>
      <c r="AD9" s="17"/>
      <c r="AE9" s="17"/>
    </row>
    <row r="10" spans="1:31" x14ac:dyDescent="0.3">
      <c r="A10" s="17" t="s">
        <v>113</v>
      </c>
      <c r="B10" s="22" t="s">
        <v>112</v>
      </c>
      <c r="C10" s="22" t="str">
        <f t="shared" si="6"/>
        <v>AECOM</v>
      </c>
      <c r="D10" s="58">
        <f>AVERAGE(DCF!R7:W7)</f>
        <v>161.65814934731154</v>
      </c>
      <c r="G10" s="22" t="s">
        <v>115</v>
      </c>
      <c r="H10" s="99">
        <f>AVERAGE(-0.035,0.058)</f>
        <v>1.15E-2</v>
      </c>
      <c r="I10" s="49">
        <v>2.1000000000000001E-2</v>
      </c>
      <c r="Q10" s="42" t="s">
        <v>101</v>
      </c>
      <c r="R10" s="43" cm="1">
        <f t="array" ref="R10:V10">Financials!I10:M10</f>
        <v>236.81399999999951</v>
      </c>
      <c r="S10" s="43">
        <v>89.793999999999016</v>
      </c>
      <c r="T10" s="43">
        <v>355.64500000000078</v>
      </c>
      <c r="U10" s="43">
        <v>99.81099999999968</v>
      </c>
      <c r="V10" s="43">
        <v>83.146000000001038</v>
      </c>
      <c r="W10" s="22"/>
      <c r="X10" s="17"/>
      <c r="Y10" s="17"/>
      <c r="Z10" s="17"/>
      <c r="AA10" s="17"/>
      <c r="AB10" s="17"/>
      <c r="AC10" s="17"/>
      <c r="AD10" s="17"/>
      <c r="AE10" s="17"/>
    </row>
    <row r="11" spans="1:31" x14ac:dyDescent="0.3">
      <c r="A11" s="17" t="s">
        <v>113</v>
      </c>
      <c r="B11" s="22" t="s">
        <v>112</v>
      </c>
      <c r="C11" s="22" t="str">
        <f t="shared" si="6"/>
        <v>Fluor</v>
      </c>
      <c r="D11" s="101">
        <f>AVERAGE(DCF!Z7:AE7)</f>
        <v>118.81781407905093</v>
      </c>
      <c r="G11" s="22" t="s">
        <v>115</v>
      </c>
      <c r="H11" s="99">
        <v>2.8000000000000001E-2</v>
      </c>
      <c r="I11" s="49">
        <v>2.5999999999999999E-2</v>
      </c>
      <c r="Q11" s="42" t="s">
        <v>37</v>
      </c>
      <c r="R11" s="43" cm="1">
        <f t="array" ref="R11:V11">Financials!I27:M27</f>
        <v>118.26900000000001</v>
      </c>
      <c r="S11" s="43">
        <v>92.813999999999993</v>
      </c>
      <c r="T11" s="43">
        <v>127.61499999999999</v>
      </c>
      <c r="U11" s="43">
        <v>137.48599999999999</v>
      </c>
      <c r="V11" s="43">
        <v>121.114</v>
      </c>
      <c r="W11" s="22"/>
      <c r="X11" s="17"/>
      <c r="Y11" s="17"/>
      <c r="Z11" s="17"/>
      <c r="AA11" s="17"/>
      <c r="AB11" s="17"/>
      <c r="AC11" s="17"/>
      <c r="AD11" s="17"/>
      <c r="AE11" s="17"/>
    </row>
    <row r="12" spans="1:31" x14ac:dyDescent="0.3">
      <c r="A12" s="17" t="s">
        <v>113</v>
      </c>
      <c r="B12" s="22" t="s">
        <v>112</v>
      </c>
      <c r="C12" s="22" t="str">
        <f t="shared" si="6"/>
        <v>Vulcan</v>
      </c>
      <c r="D12" s="101">
        <f>AVERAGE(DCF!AH7:AM7)</f>
        <v>888.71076207074145</v>
      </c>
      <c r="G12" s="22" t="s">
        <v>3</v>
      </c>
      <c r="H12" s="69">
        <f>H11-H10</f>
        <v>1.6500000000000001E-2</v>
      </c>
      <c r="I12" s="49">
        <f>I11-I10</f>
        <v>4.9999999999999975E-3</v>
      </c>
      <c r="Q12" s="17"/>
      <c r="R12" s="22"/>
      <c r="S12" s="22"/>
      <c r="T12" s="22"/>
      <c r="U12" s="22"/>
      <c r="V12" s="22"/>
      <c r="W12" s="22"/>
      <c r="X12" s="17"/>
      <c r="Y12" s="17"/>
      <c r="Z12" s="17"/>
      <c r="AA12" s="17"/>
      <c r="AB12" s="17"/>
      <c r="AC12" s="17"/>
      <c r="AD12" s="17"/>
      <c r="AE12" s="17"/>
    </row>
    <row r="13" spans="1:31" x14ac:dyDescent="0.3">
      <c r="B13" s="70" t="s">
        <v>112</v>
      </c>
      <c r="C13" s="70" t="str">
        <f t="shared" si="6"/>
        <v>Average</v>
      </c>
      <c r="D13" s="21">
        <f>AVERAGE(D8:D12)</f>
        <v>689.25267901452582</v>
      </c>
      <c r="G13" s="70" t="s">
        <v>117</v>
      </c>
      <c r="H13" s="21">
        <f>D61/H12</f>
        <v>251.03649467757336</v>
      </c>
      <c r="I13" s="21">
        <f>D67/I12</f>
        <v>47.402682041086791</v>
      </c>
      <c r="Q13" s="98" t="s">
        <v>11</v>
      </c>
      <c r="R13" s="75">
        <v>2025</v>
      </c>
      <c r="S13" s="75">
        <v>2026</v>
      </c>
      <c r="T13" s="75">
        <v>2027</v>
      </c>
      <c r="U13" s="75">
        <v>2028</v>
      </c>
      <c r="V13" s="75">
        <v>2029</v>
      </c>
      <c r="W13" s="75">
        <v>2030</v>
      </c>
      <c r="X13" s="17"/>
      <c r="Y13" s="17"/>
      <c r="Z13" s="17"/>
      <c r="AA13" s="17"/>
      <c r="AB13" s="17"/>
      <c r="AC13" s="17"/>
      <c r="AD13" s="17"/>
      <c r="AE13" s="17"/>
    </row>
    <row r="14" spans="1:31" x14ac:dyDescent="0.3">
      <c r="A14" s="17" t="s">
        <v>113</v>
      </c>
      <c r="B14" s="22" t="s">
        <v>114</v>
      </c>
      <c r="C14" s="22" t="str">
        <f t="shared" si="6"/>
        <v>Caterpillar</v>
      </c>
      <c r="D14" s="99">
        <f>(DCF!G7/DCF!B7)^(1/6)-1</f>
        <v>7.6052037731516586E-2</v>
      </c>
      <c r="Q14" s="42" t="s">
        <v>17</v>
      </c>
      <c r="R14" s="43" cm="1">
        <f t="array" ref="R14:W14">DCF!B3:G3</f>
        <v>70767.727459228307</v>
      </c>
      <c r="S14" s="43">
        <v>77274.317606252473</v>
      </c>
      <c r="T14" s="43">
        <v>84379.142525839357</v>
      </c>
      <c r="U14" s="43">
        <v>92137.205658349631</v>
      </c>
      <c r="V14" s="43">
        <v>100608.56762000578</v>
      </c>
      <c r="W14" s="43">
        <v>109858.81117431083</v>
      </c>
      <c r="X14" s="17"/>
      <c r="Y14" s="17"/>
      <c r="Z14" s="17"/>
      <c r="AA14" s="17"/>
      <c r="AB14" s="17"/>
      <c r="AC14" s="17"/>
      <c r="AD14" s="17"/>
      <c r="AE14" s="17"/>
    </row>
    <row r="15" spans="1:31" x14ac:dyDescent="0.3">
      <c r="A15" s="17" t="s">
        <v>113</v>
      </c>
      <c r="B15" s="22" t="s">
        <v>114</v>
      </c>
      <c r="C15" s="22" t="str">
        <f t="shared" si="6"/>
        <v>Jacobs</v>
      </c>
      <c r="D15" s="99">
        <f>(DCF!O7/DCF!J7)^(1/6)-1</f>
        <v>-2.7159314393880085E-2</v>
      </c>
      <c r="Q15" s="42" t="s">
        <v>121</v>
      </c>
      <c r="R15" s="43" cm="1">
        <f t="array" ref="R15:W15">DCF!B4:G4</f>
        <v>12283.532307395866</v>
      </c>
      <c r="S15" s="43">
        <v>13412.915900051175</v>
      </c>
      <c r="T15" s="43">
        <v>14646.138296353462</v>
      </c>
      <c r="U15" s="43">
        <v>15992.746737127687</v>
      </c>
      <c r="V15" s="43">
        <v>17463.166264215077</v>
      </c>
      <c r="W15" s="43">
        <v>19068.780428044909</v>
      </c>
      <c r="X15" s="17"/>
      <c r="Y15" s="17"/>
      <c r="Z15" s="17"/>
      <c r="AA15" s="17"/>
      <c r="AB15" s="17"/>
      <c r="AC15" s="17"/>
      <c r="AD15" s="17"/>
      <c r="AE15" s="17"/>
    </row>
    <row r="16" spans="1:31" x14ac:dyDescent="0.3">
      <c r="A16" s="17" t="s">
        <v>113</v>
      </c>
      <c r="B16" s="22" t="s">
        <v>114</v>
      </c>
      <c r="C16" s="22" t="str">
        <f t="shared" si="6"/>
        <v>AECOM</v>
      </c>
      <c r="D16" s="69">
        <f>(DCF!W7/DCF!R7)^(1/6)-1</f>
        <v>3.3192298060537029E-2</v>
      </c>
      <c r="Q16" s="42" t="s">
        <v>24</v>
      </c>
      <c r="R16" s="43" cm="1">
        <f t="array" ref="R16:W16">DCF!B5:G5</f>
        <v>9458.3198766948171</v>
      </c>
      <c r="S16" s="43">
        <v>10327.945243039405</v>
      </c>
      <c r="T16" s="43">
        <v>11277.526488192165</v>
      </c>
      <c r="U16" s="43">
        <v>12314.414987588319</v>
      </c>
      <c r="V16" s="43">
        <v>13446.63802344561</v>
      </c>
      <c r="W16" s="43">
        <v>14682.960929594581</v>
      </c>
      <c r="X16" s="17"/>
      <c r="Y16" s="17"/>
      <c r="Z16" s="17"/>
      <c r="AA16" s="17"/>
      <c r="AB16" s="17"/>
      <c r="AC16" s="17"/>
      <c r="AD16" s="17"/>
      <c r="AE16" s="17"/>
    </row>
    <row r="17" spans="1:31" x14ac:dyDescent="0.3">
      <c r="A17" s="17" t="s">
        <v>113</v>
      </c>
      <c r="B17" s="22" t="s">
        <v>114</v>
      </c>
      <c r="C17" s="22" t="str">
        <f t="shared" si="6"/>
        <v>Fluor</v>
      </c>
      <c r="D17" s="99">
        <f>(DCF!AE7/DCF!Z7)^(1/6)-1</f>
        <v>6.7617699815483157E-3</v>
      </c>
      <c r="H17" s="99"/>
      <c r="Q17" s="42" t="s">
        <v>37</v>
      </c>
      <c r="R17" s="43" cm="1">
        <f t="array" ref="R17:W17">DCF!B7:G7</f>
        <v>1732.22273927981</v>
      </c>
      <c r="S17" s="43">
        <v>1891.4883227951595</v>
      </c>
      <c r="T17" s="43">
        <v>2065.3972460596633</v>
      </c>
      <c r="U17" s="43">
        <v>2255.2958602075478</v>
      </c>
      <c r="V17" s="43">
        <v>2462.6543038018422</v>
      </c>
      <c r="W17" s="43">
        <v>2689.0778842096684</v>
      </c>
      <c r="X17" s="17"/>
      <c r="Y17" s="17"/>
      <c r="Z17" s="17"/>
      <c r="AA17" s="17"/>
      <c r="AB17" s="17"/>
      <c r="AC17" s="17"/>
      <c r="AD17" s="17"/>
      <c r="AE17" s="17"/>
    </row>
    <row r="18" spans="1:31" x14ac:dyDescent="0.3">
      <c r="A18" s="17" t="s">
        <v>113</v>
      </c>
      <c r="B18" s="22" t="s">
        <v>114</v>
      </c>
      <c r="C18" s="22" t="str">
        <f t="shared" si="6"/>
        <v>Vulcan</v>
      </c>
      <c r="D18" s="99">
        <f>(DCF!AM7/DCF!AH7)^(1/6)-1</f>
        <v>7.3131113597207476E-2</v>
      </c>
      <c r="Q18" s="42" t="s">
        <v>80</v>
      </c>
      <c r="R18" s="43" cm="1">
        <f t="array" ref="R18:W18">DCF!B9:G9</f>
        <v>7695.9224313228115</v>
      </c>
      <c r="S18" s="43">
        <v>10016.337728507177</v>
      </c>
      <c r="T18" s="43">
        <v>10937.268874856603</v>
      </c>
      <c r="U18" s="43">
        <v>11942.873102256679</v>
      </c>
      <c r="V18" s="43">
        <v>13040.935499400537</v>
      </c>
      <c r="W18" s="43">
        <v>14239.956938618901</v>
      </c>
      <c r="X18" s="17"/>
      <c r="Y18" s="17"/>
      <c r="Z18" s="17"/>
      <c r="AA18" s="17"/>
      <c r="AB18" s="17"/>
      <c r="AC18" s="17"/>
      <c r="AD18" s="17"/>
      <c r="AE18" s="17"/>
    </row>
    <row r="19" spans="1:31" x14ac:dyDescent="0.3">
      <c r="A19" s="16" t="s">
        <v>113</v>
      </c>
      <c r="B19" s="70" t="s">
        <v>114</v>
      </c>
      <c r="C19" s="70" t="str">
        <f t="shared" si="6"/>
        <v>Average</v>
      </c>
      <c r="D19" s="73">
        <f>AVERAGE(D14:D18)</f>
        <v>3.2395580995385864E-2</v>
      </c>
      <c r="Q19" s="17"/>
      <c r="R19" s="22"/>
      <c r="S19" s="22"/>
      <c r="T19" s="22"/>
      <c r="U19" s="22"/>
      <c r="V19" s="22"/>
      <c r="W19" s="22"/>
      <c r="X19" s="17"/>
      <c r="Y19" s="17"/>
      <c r="Z19" s="17"/>
      <c r="AA19" s="17"/>
      <c r="AB19" s="17"/>
      <c r="AC19" s="17"/>
      <c r="AD19" s="17"/>
      <c r="AE19" s="17"/>
    </row>
    <row r="20" spans="1:31" x14ac:dyDescent="0.3">
      <c r="A20" s="17" t="str">
        <f t="shared" ref="A20:A31" si="7">A14</f>
        <v>2025-30</v>
      </c>
      <c r="B20" s="22" t="s">
        <v>116</v>
      </c>
      <c r="C20" s="22" t="str">
        <f t="shared" si="6"/>
        <v>Caterpillar</v>
      </c>
      <c r="D20" s="99">
        <f>D14</f>
        <v>7.6052037731516586E-2</v>
      </c>
      <c r="Q20" s="98" t="s">
        <v>11</v>
      </c>
      <c r="R20" s="75">
        <v>2025</v>
      </c>
      <c r="S20" s="75">
        <v>2026</v>
      </c>
      <c r="T20" s="75">
        <v>2027</v>
      </c>
      <c r="U20" s="75">
        <v>2028</v>
      </c>
      <c r="V20" s="75">
        <v>2029</v>
      </c>
      <c r="W20" s="75">
        <v>2030</v>
      </c>
      <c r="X20" s="17"/>
      <c r="Y20" s="17"/>
      <c r="Z20" s="17"/>
      <c r="AA20" s="17"/>
      <c r="AB20" s="17"/>
      <c r="AC20" s="17"/>
      <c r="AD20" s="17"/>
      <c r="AE20" s="17"/>
    </row>
    <row r="21" spans="1:31" x14ac:dyDescent="0.3">
      <c r="A21" s="17" t="str">
        <f t="shared" si="7"/>
        <v>2025-30</v>
      </c>
      <c r="B21" s="22" t="s">
        <v>116</v>
      </c>
      <c r="C21" s="22" t="str">
        <f t="shared" si="6"/>
        <v>Jacobs</v>
      </c>
      <c r="D21" s="99">
        <f t="shared" si="6"/>
        <v>-2.7159314393880085E-2</v>
      </c>
      <c r="Q21" s="42" t="s">
        <v>17</v>
      </c>
      <c r="R21" s="43" cm="1">
        <f t="array" ref="R21:W21">DCF!J3:O3</f>
        <v>11127.137267922344</v>
      </c>
      <c r="S21" s="43">
        <v>10765.48290954508</v>
      </c>
      <c r="T21" s="43">
        <v>10415.583045768179</v>
      </c>
      <c r="U21" s="43">
        <v>10077.055631857185</v>
      </c>
      <c r="V21" s="43">
        <v>9749.5310403005133</v>
      </c>
      <c r="W21" s="43">
        <v>9432.6516572247037</v>
      </c>
      <c r="X21" s="17"/>
      <c r="Y21" s="17"/>
      <c r="Z21" s="17"/>
      <c r="AA21" s="17"/>
      <c r="AB21" s="17"/>
      <c r="AC21" s="17"/>
      <c r="AD21" s="17"/>
      <c r="AE21" s="17"/>
    </row>
    <row r="22" spans="1:31" x14ac:dyDescent="0.3">
      <c r="A22" s="17" t="str">
        <f t="shared" si="7"/>
        <v>2025-30</v>
      </c>
      <c r="B22" s="22" t="s">
        <v>116</v>
      </c>
      <c r="C22" s="22" t="str">
        <f t="shared" si="6"/>
        <v>AECOM</v>
      </c>
      <c r="D22" s="99">
        <f t="shared" si="6"/>
        <v>3.3192298060537029E-2</v>
      </c>
      <c r="Q22" s="42" t="s">
        <v>121</v>
      </c>
      <c r="R22" s="43" cm="1">
        <f t="array" ref="R22:W22">DCF!J4:O4</f>
        <v>601.61136709274388</v>
      </c>
      <c r="S22" s="43">
        <v>582.05778671357234</v>
      </c>
      <c r="T22" s="43">
        <v>563.13973705499268</v>
      </c>
      <c r="U22" s="43">
        <v>544.83656208936281</v>
      </c>
      <c r="V22" s="43">
        <v>527.12827715151604</v>
      </c>
      <c r="W22" s="43">
        <v>509.99554711812999</v>
      </c>
      <c r="X22" s="17"/>
      <c r="Y22" s="17"/>
      <c r="Z22" s="17"/>
      <c r="AA22" s="17"/>
      <c r="AB22" s="17"/>
      <c r="AC22" s="17"/>
      <c r="AD22" s="17"/>
      <c r="AE22" s="17"/>
    </row>
    <row r="23" spans="1:31" x14ac:dyDescent="0.3">
      <c r="A23" s="17" t="str">
        <f t="shared" si="7"/>
        <v>2025-30</v>
      </c>
      <c r="B23" s="22" t="s">
        <v>116</v>
      </c>
      <c r="C23" s="22" t="str">
        <f t="shared" si="6"/>
        <v>Fluor</v>
      </c>
      <c r="D23" s="99">
        <f t="shared" si="6"/>
        <v>6.7617699815483157E-3</v>
      </c>
      <c r="Q23" s="42" t="s">
        <v>24</v>
      </c>
      <c r="R23" s="43" cm="1">
        <f t="array" ref="R23:W23">DCF!J5:O5</f>
        <v>463.24075266141278</v>
      </c>
      <c r="S23" s="43">
        <v>448.18449576945073</v>
      </c>
      <c r="T23" s="43">
        <v>433.61759753234435</v>
      </c>
      <c r="U23" s="43">
        <v>419.52415280880939</v>
      </c>
      <c r="V23" s="43">
        <v>405.88877340666738</v>
      </c>
      <c r="W23" s="43">
        <v>392.69657128096009</v>
      </c>
      <c r="X23" s="17"/>
      <c r="Y23" s="17"/>
      <c r="Z23" s="17"/>
      <c r="AA23" s="17"/>
      <c r="AB23" s="17"/>
      <c r="AC23" s="17"/>
      <c r="AD23" s="17"/>
      <c r="AE23" s="17"/>
    </row>
    <row r="24" spans="1:31" x14ac:dyDescent="0.3">
      <c r="A24" s="17" t="str">
        <f t="shared" si="7"/>
        <v>2025-30</v>
      </c>
      <c r="B24" s="22" t="s">
        <v>116</v>
      </c>
      <c r="C24" s="22" t="str">
        <f t="shared" ref="C24:D39" si="8">C18</f>
        <v>Vulcan</v>
      </c>
      <c r="D24" s="99">
        <f t="shared" si="8"/>
        <v>7.3131113597207476E-2</v>
      </c>
      <c r="Q24" s="42" t="s">
        <v>37</v>
      </c>
      <c r="R24" s="43" cm="1">
        <f t="array" ref="R24:W24">DCF!J7:O7</f>
        <v>102.35216790258315</v>
      </c>
      <c r="S24" s="43">
        <v>99.025516427001733</v>
      </c>
      <c r="T24" s="43">
        <v>95.806987820400721</v>
      </c>
      <c r="U24" s="43">
        <v>92.693067871903949</v>
      </c>
      <c r="V24" s="43">
        <v>89.680356589562336</v>
      </c>
      <c r="W24" s="43">
        <v>86.765564488008778</v>
      </c>
      <c r="X24" s="17"/>
      <c r="Y24" s="17"/>
      <c r="Z24" s="17"/>
      <c r="AA24" s="17"/>
      <c r="AB24" s="17"/>
      <c r="AC24" s="17"/>
      <c r="AD24" s="17"/>
      <c r="AE24" s="17"/>
    </row>
    <row r="25" spans="1:31" x14ac:dyDescent="0.3">
      <c r="A25" s="16" t="str">
        <f t="shared" si="7"/>
        <v>2025-30</v>
      </c>
      <c r="B25" s="70" t="s">
        <v>116</v>
      </c>
      <c r="C25" s="70" t="str">
        <f t="shared" si="8"/>
        <v>Average</v>
      </c>
      <c r="D25" s="102">
        <f>AVERAGE(D20:D24)</f>
        <v>3.2395580995385864E-2</v>
      </c>
      <c r="Q25" s="42" t="s">
        <v>80</v>
      </c>
      <c r="R25" s="43" cm="1">
        <f t="array" ref="R25:W25">DCF!J9:O9</f>
        <v>339.59388877130573</v>
      </c>
      <c r="S25" s="43">
        <v>607.61255557281618</v>
      </c>
      <c r="T25" s="43">
        <v>587.8639244885976</v>
      </c>
      <c r="U25" s="43">
        <v>568.7571636654917</v>
      </c>
      <c r="V25" s="43">
        <v>550.27141102802796</v>
      </c>
      <c r="W25" s="43">
        <v>532.38648256018212</v>
      </c>
      <c r="X25" s="17"/>
      <c r="Y25" s="17"/>
      <c r="Z25" s="17"/>
      <c r="AA25" s="17"/>
      <c r="AB25" s="17"/>
      <c r="AC25" s="17"/>
      <c r="AD25" s="17"/>
      <c r="AE25" s="17"/>
    </row>
    <row r="26" spans="1:31" x14ac:dyDescent="0.3">
      <c r="A26" s="17" t="str">
        <f t="shared" si="7"/>
        <v>2025-30</v>
      </c>
      <c r="B26" s="22" t="s">
        <v>45</v>
      </c>
      <c r="C26" s="22" t="str">
        <f t="shared" si="8"/>
        <v>Caterpillar</v>
      </c>
      <c r="D26" s="103">
        <f>D20</f>
        <v>7.6052037731516586E-2</v>
      </c>
    </row>
    <row r="27" spans="1:31" x14ac:dyDescent="0.3">
      <c r="A27" s="17" t="str">
        <f t="shared" si="7"/>
        <v>2025-30</v>
      </c>
      <c r="B27" s="22" t="s">
        <v>45</v>
      </c>
      <c r="C27" s="22" t="str">
        <f t="shared" si="8"/>
        <v>Jacobs</v>
      </c>
      <c r="D27" s="103">
        <f t="shared" si="8"/>
        <v>-2.7159314393880085E-2</v>
      </c>
    </row>
    <row r="28" spans="1:31" x14ac:dyDescent="0.3">
      <c r="A28" s="17" t="str">
        <f t="shared" si="7"/>
        <v>2025-30</v>
      </c>
      <c r="B28" s="22" t="s">
        <v>45</v>
      </c>
      <c r="C28" s="22" t="str">
        <f t="shared" si="8"/>
        <v>AECOM</v>
      </c>
      <c r="D28" s="103">
        <f t="shared" si="8"/>
        <v>3.3192298060537029E-2</v>
      </c>
    </row>
    <row r="29" spans="1:31" x14ac:dyDescent="0.3">
      <c r="A29" s="17" t="str">
        <f t="shared" si="7"/>
        <v>2025-30</v>
      </c>
      <c r="B29" s="22" t="s">
        <v>45</v>
      </c>
      <c r="C29" s="22" t="str">
        <f t="shared" si="8"/>
        <v>Fluor</v>
      </c>
      <c r="D29" s="103">
        <f t="shared" si="8"/>
        <v>6.7617699815483157E-3</v>
      </c>
    </row>
    <row r="30" spans="1:31" x14ac:dyDescent="0.3">
      <c r="A30" s="17" t="str">
        <f t="shared" si="7"/>
        <v>2025-30</v>
      </c>
      <c r="B30" s="22" t="s">
        <v>45</v>
      </c>
      <c r="C30" s="22" t="str">
        <f t="shared" si="8"/>
        <v>Vulcan</v>
      </c>
      <c r="D30" s="103">
        <f t="shared" si="8"/>
        <v>7.3131113597207476E-2</v>
      </c>
    </row>
    <row r="31" spans="1:31" x14ac:dyDescent="0.3">
      <c r="A31" s="16" t="str">
        <f t="shared" si="7"/>
        <v>2025-30</v>
      </c>
      <c r="B31" s="70" t="s">
        <v>45</v>
      </c>
      <c r="C31" s="70" t="str">
        <f t="shared" si="8"/>
        <v>Average</v>
      </c>
      <c r="D31" s="73">
        <f>AVERAGE(D26:D30)</f>
        <v>3.2395580995385864E-2</v>
      </c>
    </row>
    <row r="32" spans="1:31" x14ac:dyDescent="0.3">
      <c r="A32" s="17" t="str">
        <f>A2</f>
        <v>2020-24</v>
      </c>
      <c r="B32" s="22" t="s">
        <v>119</v>
      </c>
      <c r="C32" s="22" t="str">
        <f t="shared" si="8"/>
        <v>Caterpillar</v>
      </c>
      <c r="D32" s="49">
        <f>(AVERAGE(Financials!B6:F6)+AVERAGE(Financials!B7:F7))/AVERAGE(Financials!B3:F3)</f>
        <v>0.2133619703184691</v>
      </c>
    </row>
    <row r="33" spans="1:4" x14ac:dyDescent="0.3">
      <c r="A33" s="17" t="str">
        <f>A3</f>
        <v>2020-24</v>
      </c>
      <c r="B33" s="22" t="s">
        <v>119</v>
      </c>
      <c r="C33" s="22" t="str">
        <f t="shared" si="8"/>
        <v>Jacobs</v>
      </c>
      <c r="D33" s="49">
        <f>(AVERAGE(Financials!I6:M6)+AVERAGE(Financials!I7:M7))/AVERAGE(Financials!I3:M3)</f>
        <v>7.484911825313742E-2</v>
      </c>
    </row>
    <row r="34" spans="1:4" x14ac:dyDescent="0.3">
      <c r="A34" s="17" t="str">
        <f>A4</f>
        <v>2020-24</v>
      </c>
      <c r="B34" s="22" t="s">
        <v>119</v>
      </c>
      <c r="C34" s="22" t="str">
        <f t="shared" si="8"/>
        <v>AECOM</v>
      </c>
      <c r="D34" s="49">
        <f>(AVERAGE(Financials!P6:T6)+AVERAGE(Financials!P7:T7))/AVERAGE(Financials!P3:T3)</f>
        <v>5.5775194465854327E-2</v>
      </c>
    </row>
    <row r="35" spans="1:4" x14ac:dyDescent="0.3">
      <c r="A35" s="17" t="str">
        <f>A5</f>
        <v>2020-24</v>
      </c>
      <c r="B35" s="22" t="s">
        <v>119</v>
      </c>
      <c r="C35" s="22" t="str">
        <f t="shared" si="8"/>
        <v>Fluor</v>
      </c>
      <c r="D35" s="49">
        <f>(AVERAGE(Financials!X6:AB6)+AVERAGE(Financials!X7:AB7))/AVERAGE(Financials!X3:AB3)</f>
        <v>1.5362005816622552E-2</v>
      </c>
    </row>
    <row r="36" spans="1:4" x14ac:dyDescent="0.3">
      <c r="A36" s="17" t="str">
        <f>A6</f>
        <v>2020-24</v>
      </c>
      <c r="B36" s="22" t="s">
        <v>119</v>
      </c>
      <c r="C36" s="22" t="str">
        <f t="shared" si="8"/>
        <v>Vulcan</v>
      </c>
      <c r="D36" s="49">
        <f>(AVERAGE(Financials!AF6:AJ6)+AVERAGE(Financials!AF7:AJ7))/AVERAGE(Financials!AF3:AJ3)</f>
        <v>0.25873864112876804</v>
      </c>
    </row>
    <row r="37" spans="1:4" x14ac:dyDescent="0.3">
      <c r="A37" s="16" t="str">
        <f>$A$36</f>
        <v>2020-24</v>
      </c>
      <c r="B37" s="70" t="s">
        <v>119</v>
      </c>
      <c r="C37" s="70" t="str">
        <f t="shared" si="8"/>
        <v>Average</v>
      </c>
      <c r="D37" s="73">
        <f>AVERAGE(D34:D36)</f>
        <v>0.10995861380374831</v>
      </c>
    </row>
    <row r="38" spans="1:4" x14ac:dyDescent="0.3">
      <c r="A38" s="17" t="str">
        <f t="shared" ref="A38:A39" si="9">$A$36</f>
        <v>2020-24</v>
      </c>
      <c r="B38" s="22" t="s">
        <v>120</v>
      </c>
      <c r="C38" s="22" t="str">
        <f t="shared" si="8"/>
        <v>Caterpillar</v>
      </c>
      <c r="D38" s="49">
        <f>AVERAGE(Financials!B10:F10)/AVERAGE(Financials!B3:F3)</f>
        <v>7.5277714205235643E-2</v>
      </c>
    </row>
    <row r="39" spans="1:4" x14ac:dyDescent="0.3">
      <c r="A39" s="17" t="str">
        <f t="shared" si="9"/>
        <v>2020-24</v>
      </c>
      <c r="B39" s="22" t="s">
        <v>120</v>
      </c>
      <c r="C39" s="22" t="str">
        <f t="shared" si="8"/>
        <v>Jacobs</v>
      </c>
      <c r="D39" s="49">
        <f>AVERAGE(Financials!I10:M10)/AVERAGE(Financials!I3:M3)</f>
        <v>1.3324289799460822E-2</v>
      </c>
    </row>
    <row r="40" spans="1:4" x14ac:dyDescent="0.3">
      <c r="A40" s="17" t="str">
        <f>A32</f>
        <v>2020-24</v>
      </c>
      <c r="B40" s="22" t="s">
        <v>120</v>
      </c>
      <c r="C40" s="22" t="str">
        <f t="shared" ref="C40:C55" si="10">C34</f>
        <v>AECOM</v>
      </c>
      <c r="D40" s="49">
        <f>AVERAGE(Financials!P10:T10)/AVERAGE(Financials!P3:T3)</f>
        <v>1.0036251280016405E-2</v>
      </c>
    </row>
    <row r="41" spans="1:4" x14ac:dyDescent="0.3">
      <c r="A41" s="17" t="str">
        <f>A33</f>
        <v>2020-24</v>
      </c>
      <c r="B41" s="22" t="s">
        <v>120</v>
      </c>
      <c r="C41" s="22" t="str">
        <f t="shared" si="10"/>
        <v>Fluor</v>
      </c>
      <c r="D41" s="49">
        <f>AVERAGE(Financials!X10:AB10)/AVERAGE(Financials!X3:AB3)</f>
        <v>-1.3909940217345651E-2</v>
      </c>
    </row>
    <row r="42" spans="1:4" x14ac:dyDescent="0.3">
      <c r="A42" s="17" t="str">
        <f>A34</f>
        <v>2020-24</v>
      </c>
      <c r="B42" s="22" t="s">
        <v>120</v>
      </c>
      <c r="C42" s="22" t="str">
        <f t="shared" si="10"/>
        <v>Vulcan</v>
      </c>
      <c r="D42" s="49">
        <f>AVERAGE(Financials!AF10:AJ10)/AVERAGE(Financials!AF3:AJ3)</f>
        <v>3.5967599877365392E-2</v>
      </c>
    </row>
    <row r="43" spans="1:4" x14ac:dyDescent="0.3">
      <c r="A43" s="16" t="str">
        <f>$A$42</f>
        <v>2020-24</v>
      </c>
      <c r="B43" s="70" t="s">
        <v>120</v>
      </c>
      <c r="C43" s="70" t="str">
        <f t="shared" si="10"/>
        <v>Average</v>
      </c>
      <c r="D43" s="73">
        <f>AVERAGE(D38:D42)</f>
        <v>2.4139182988946524E-2</v>
      </c>
    </row>
    <row r="44" spans="1:4" x14ac:dyDescent="0.3">
      <c r="A44" s="17" t="str">
        <f t="shared" ref="A44:A49" si="11">A26</f>
        <v>2025-30</v>
      </c>
      <c r="B44" s="22" t="s">
        <v>132</v>
      </c>
      <c r="C44" s="22" t="str">
        <f t="shared" si="10"/>
        <v>Caterpillar</v>
      </c>
      <c r="D44" s="20">
        <f>AVERAGE(DCF!B3:G3)</f>
        <v>89170.962007331065</v>
      </c>
    </row>
    <row r="45" spans="1:4" x14ac:dyDescent="0.3">
      <c r="A45" s="17" t="str">
        <f t="shared" si="11"/>
        <v>2025-30</v>
      </c>
      <c r="B45" s="22" t="s">
        <v>132</v>
      </c>
      <c r="C45" s="22" t="str">
        <f t="shared" si="10"/>
        <v>Jacobs</v>
      </c>
      <c r="D45" s="20">
        <f>AVERAGE(DCF!J3:O3)</f>
        <v>10261.240258769669</v>
      </c>
    </row>
    <row r="46" spans="1:4" x14ac:dyDescent="0.3">
      <c r="A46" s="17" t="str">
        <f t="shared" si="11"/>
        <v>2025-30</v>
      </c>
      <c r="B46" s="22" t="s">
        <v>132</v>
      </c>
      <c r="C46" s="22" t="str">
        <f t="shared" si="10"/>
        <v>AECOM</v>
      </c>
      <c r="D46" s="20">
        <f>AVERAGE(DCF!R3:W3)</f>
        <v>18514.287392275484</v>
      </c>
    </row>
    <row r="47" spans="1:4" x14ac:dyDescent="0.3">
      <c r="A47" s="17" t="str">
        <f t="shared" si="11"/>
        <v>2025-30</v>
      </c>
      <c r="B47" s="22" t="s">
        <v>132</v>
      </c>
      <c r="C47" s="22" t="str">
        <f t="shared" si="10"/>
        <v>Fluor</v>
      </c>
      <c r="D47" s="20">
        <f>AVERAGE(DCF!Z3:AE3)</f>
        <v>16784.975108169878</v>
      </c>
    </row>
    <row r="48" spans="1:4" x14ac:dyDescent="0.3">
      <c r="A48" s="17" t="str">
        <f t="shared" si="11"/>
        <v>2025-30</v>
      </c>
      <c r="B48" s="22" t="s">
        <v>132</v>
      </c>
      <c r="C48" s="22" t="str">
        <f t="shared" si="10"/>
        <v>Vulcan</v>
      </c>
      <c r="D48" s="20">
        <f>AVERAGE(DCF!AH3:AM3)</f>
        <v>10081.944382334359</v>
      </c>
    </row>
    <row r="49" spans="1:4" x14ac:dyDescent="0.3">
      <c r="A49" s="16" t="str">
        <f t="shared" si="11"/>
        <v>2025-30</v>
      </c>
      <c r="B49" s="70" t="s">
        <v>132</v>
      </c>
      <c r="C49" s="70" t="str">
        <f t="shared" si="10"/>
        <v>Average</v>
      </c>
      <c r="D49" s="21">
        <f>AVERAGE(D44:D48)</f>
        <v>28962.681829776091</v>
      </c>
    </row>
    <row r="50" spans="1:4" x14ac:dyDescent="0.3">
      <c r="A50" s="17" t="str">
        <f t="shared" ref="A50:A55" si="12">A44</f>
        <v>2025-30</v>
      </c>
      <c r="B50" s="22" t="s">
        <v>133</v>
      </c>
      <c r="C50" s="22" t="str">
        <f t="shared" si="10"/>
        <v>Caterpillar</v>
      </c>
      <c r="D50" s="49">
        <f>D8/D44</f>
        <v>2.4477580409485417E-2</v>
      </c>
    </row>
    <row r="51" spans="1:4" x14ac:dyDescent="0.3">
      <c r="A51" s="17" t="str">
        <f t="shared" si="12"/>
        <v>2025-30</v>
      </c>
      <c r="B51" s="22" t="s">
        <v>133</v>
      </c>
      <c r="C51" s="22" t="str">
        <f t="shared" si="10"/>
        <v>Jacobs</v>
      </c>
      <c r="D51" s="49">
        <f t="shared" ref="D51:D54" si="13">D9/D45</f>
        <v>9.1984277211756092E-3</v>
      </c>
    </row>
    <row r="52" spans="1:4" x14ac:dyDescent="0.3">
      <c r="A52" s="17" t="str">
        <f t="shared" si="12"/>
        <v>2025-30</v>
      </c>
      <c r="B52" s="22" t="s">
        <v>133</v>
      </c>
      <c r="C52" s="22" t="str">
        <f t="shared" si="10"/>
        <v>AECOM</v>
      </c>
      <c r="D52" s="49">
        <f t="shared" si="13"/>
        <v>8.7315350530184823E-3</v>
      </c>
    </row>
    <row r="53" spans="1:4" x14ac:dyDescent="0.3">
      <c r="A53" s="17" t="str">
        <f t="shared" si="12"/>
        <v>2025-30</v>
      </c>
      <c r="B53" s="22" t="s">
        <v>133</v>
      </c>
      <c r="C53" s="22" t="str">
        <f t="shared" si="10"/>
        <v>Fluor</v>
      </c>
      <c r="D53" s="49">
        <f t="shared" si="13"/>
        <v>7.0788197964748749E-3</v>
      </c>
    </row>
    <row r="54" spans="1:4" x14ac:dyDescent="0.3">
      <c r="A54" s="17" t="str">
        <f t="shared" si="12"/>
        <v>2025-30</v>
      </c>
      <c r="B54" s="22" t="s">
        <v>133</v>
      </c>
      <c r="C54" s="22" t="str">
        <f t="shared" si="10"/>
        <v>Vulcan</v>
      </c>
      <c r="D54" s="49">
        <f t="shared" si="13"/>
        <v>8.8148746746505122E-2</v>
      </c>
    </row>
    <row r="55" spans="1:4" x14ac:dyDescent="0.3">
      <c r="A55" s="16" t="str">
        <f t="shared" si="12"/>
        <v>2025-30</v>
      </c>
      <c r="B55" s="70" t="s">
        <v>133</v>
      </c>
      <c r="C55" s="70" t="str">
        <f t="shared" si="10"/>
        <v>Average</v>
      </c>
      <c r="D55" s="73">
        <f>AVERAGE(D50:D54)</f>
        <v>2.7527021945331898E-2</v>
      </c>
    </row>
    <row r="56" spans="1:4" x14ac:dyDescent="0.3">
      <c r="A56" s="17" t="str">
        <f>A38</f>
        <v>2020-24</v>
      </c>
      <c r="B56" s="22" t="s">
        <v>118</v>
      </c>
      <c r="C56" s="22" t="str">
        <f t="shared" ref="C56:C67" si="14">C50</f>
        <v>Caterpillar</v>
      </c>
      <c r="D56" s="49">
        <f>(Financials!F10-Financials!B10)/Financials!B10</f>
        <v>11.941763727121463</v>
      </c>
    </row>
    <row r="57" spans="1:4" x14ac:dyDescent="0.3">
      <c r="A57" s="17" t="str">
        <f>A39</f>
        <v>2020-24</v>
      </c>
      <c r="B57" s="22" t="s">
        <v>118</v>
      </c>
      <c r="C57" s="22" t="str">
        <f t="shared" si="14"/>
        <v>Jacobs</v>
      </c>
      <c r="D57" s="49">
        <f>(Financials!M10-Financials!I10)/Financials!I10</f>
        <v>-0.64889744694147644</v>
      </c>
    </row>
    <row r="58" spans="1:4" x14ac:dyDescent="0.3">
      <c r="A58" s="17" t="str">
        <f>A40</f>
        <v>2020-24</v>
      </c>
      <c r="B58" s="22" t="s">
        <v>118</v>
      </c>
      <c r="C58" s="22" t="str">
        <f t="shared" si="14"/>
        <v>AECOM</v>
      </c>
      <c r="D58" s="49">
        <f>(Financials!T10-Financials!P10)/ABS(Financials!P10)</f>
        <v>8.6483394687885529</v>
      </c>
    </row>
    <row r="59" spans="1:4" x14ac:dyDescent="0.3">
      <c r="A59" s="17" t="str">
        <f>A41</f>
        <v>2020-24</v>
      </c>
      <c r="B59" s="22" t="s">
        <v>118</v>
      </c>
      <c r="C59" s="22" t="str">
        <f t="shared" si="14"/>
        <v>Fluor</v>
      </c>
      <c r="D59" s="49">
        <f>(Financials!AB10-Financials!X10)/ABS(Financials!X10)</f>
        <v>0.71619899884668081</v>
      </c>
    </row>
    <row r="60" spans="1:4" x14ac:dyDescent="0.3">
      <c r="A60" s="17" t="str">
        <f>A42</f>
        <v>2020-24</v>
      </c>
      <c r="B60" s="22" t="s">
        <v>118</v>
      </c>
      <c r="C60" s="22" t="str">
        <f t="shared" si="14"/>
        <v>Vulcan</v>
      </c>
      <c r="D60" s="49">
        <f>(Financials!AJ10-Financials!AF10)/Financials!AF10</f>
        <v>5.310606308457648E-2</v>
      </c>
    </row>
    <row r="61" spans="1:4" x14ac:dyDescent="0.3">
      <c r="A61" s="16" t="str">
        <f>A60</f>
        <v>2020-24</v>
      </c>
      <c r="B61" s="70" t="s">
        <v>118</v>
      </c>
      <c r="C61" s="70" t="str">
        <f t="shared" si="14"/>
        <v>Average</v>
      </c>
      <c r="D61" s="73">
        <f>AVERAGE(D56:D60)</f>
        <v>4.1421021621799605</v>
      </c>
    </row>
    <row r="62" spans="1:4" x14ac:dyDescent="0.3">
      <c r="A62" s="17" t="str">
        <f t="shared" ref="A62:A67" si="15">A50</f>
        <v>2025-30</v>
      </c>
      <c r="B62" s="22" t="str">
        <f t="shared" ref="B62:B67" si="16">B56</f>
        <v>Earnings Growth</v>
      </c>
      <c r="C62" s="22" t="str">
        <f t="shared" si="14"/>
        <v>Caterpillar</v>
      </c>
      <c r="D62" s="49">
        <f>(DCF!G5-DCF!B5)/DCF!B5</f>
        <v>0.55238574302960664</v>
      </c>
    </row>
    <row r="63" spans="1:4" x14ac:dyDescent="0.3">
      <c r="A63" s="17" t="str">
        <f t="shared" si="15"/>
        <v>2025-30</v>
      </c>
      <c r="B63" s="22" t="str">
        <f t="shared" si="16"/>
        <v>Earnings Growth</v>
      </c>
      <c r="C63" s="22" t="str">
        <f t="shared" si="14"/>
        <v>Jacobs</v>
      </c>
      <c r="D63" s="49">
        <f>(DCF!O5-DCF!J5)/DCF!J5</f>
        <v>-0.15228405742621295</v>
      </c>
    </row>
    <row r="64" spans="1:4" x14ac:dyDescent="0.3">
      <c r="A64" s="17" t="str">
        <f t="shared" si="15"/>
        <v>2025-30</v>
      </c>
      <c r="B64" s="22" t="str">
        <f t="shared" si="16"/>
        <v>Earnings Growth</v>
      </c>
      <c r="C64" s="22" t="str">
        <f t="shared" si="14"/>
        <v>AECOM</v>
      </c>
      <c r="D64" s="49">
        <f>(DCF!W5-DCF!R5)/DCF!R5</f>
        <v>0.21642954639796907</v>
      </c>
    </row>
    <row r="65" spans="1:4" x14ac:dyDescent="0.3">
      <c r="A65" s="17" t="str">
        <f t="shared" si="15"/>
        <v>2025-30</v>
      </c>
      <c r="B65" s="22" t="str">
        <f t="shared" si="16"/>
        <v>Earnings Growth</v>
      </c>
      <c r="C65" s="22" t="str">
        <f t="shared" si="14"/>
        <v>Fluor</v>
      </c>
      <c r="D65" s="49">
        <f>(DCF!AE5-DCF!Z5)/DCF!Z5</f>
        <v>4.1262657500151734E-2</v>
      </c>
    </row>
    <row r="66" spans="1:4" x14ac:dyDescent="0.3">
      <c r="A66" s="17" t="str">
        <f t="shared" si="15"/>
        <v>2025-30</v>
      </c>
      <c r="B66" s="22" t="str">
        <f t="shared" si="16"/>
        <v>Earnings Growth</v>
      </c>
      <c r="C66" s="22" t="str">
        <f t="shared" si="14"/>
        <v>Vulcan</v>
      </c>
      <c r="D66" s="49">
        <f>(DCF!AM5-DCF!AH5)/DCF!AH5</f>
        <v>0.52727316152565462</v>
      </c>
    </row>
    <row r="67" spans="1:4" x14ac:dyDescent="0.3">
      <c r="A67" s="16" t="str">
        <f t="shared" si="15"/>
        <v>2025-30</v>
      </c>
      <c r="B67" s="70" t="str">
        <f t="shared" si="16"/>
        <v>Earnings Growth</v>
      </c>
      <c r="C67" s="70" t="str">
        <f t="shared" si="14"/>
        <v>Average</v>
      </c>
      <c r="D67" s="73">
        <f>AVERAGE(D62:D66)</f>
        <v>0.23701341020543384</v>
      </c>
    </row>
    <row r="68" spans="1:4" x14ac:dyDescent="0.3">
      <c r="A68" s="17" t="str">
        <f>A56</f>
        <v>2020-24</v>
      </c>
      <c r="B68" s="22" t="str">
        <f>B20</f>
        <v>Earnings CAGR</v>
      </c>
      <c r="C68" s="22" t="str">
        <f>C62</f>
        <v>Caterpillar</v>
      </c>
      <c r="D68" s="49">
        <f>(Financials!F10/Financials!C10)^(1/4)-1</f>
        <v>0.35666935087863738</v>
      </c>
    </row>
    <row r="69" spans="1:4" x14ac:dyDescent="0.3">
      <c r="A69" s="17" t="str">
        <f t="shared" ref="A69:A73" si="17">A57</f>
        <v>2020-24</v>
      </c>
      <c r="B69" s="22" t="str">
        <f t="shared" ref="B69:B73" si="18">B21</f>
        <v>Earnings CAGR</v>
      </c>
      <c r="C69" s="22" t="str">
        <f t="shared" ref="C69:C73" si="19">C63</f>
        <v>Jacobs</v>
      </c>
      <c r="D69" s="49">
        <f>(Financials!M10/Financials!I10)^(1/5)-1</f>
        <v>-0.18887684839454677</v>
      </c>
    </row>
    <row r="70" spans="1:4" x14ac:dyDescent="0.3">
      <c r="A70" s="17" t="str">
        <f t="shared" si="17"/>
        <v>2020-24</v>
      </c>
      <c r="B70" s="22" t="str">
        <f t="shared" si="18"/>
        <v>Earnings CAGR</v>
      </c>
      <c r="C70" s="22" t="str">
        <f t="shared" si="19"/>
        <v>AECOM</v>
      </c>
      <c r="D70" s="49">
        <f>(Financials!T10/Financials!Q10)^(1/4)-1</f>
        <v>0.28126372500346708</v>
      </c>
    </row>
    <row r="71" spans="1:4" x14ac:dyDescent="0.3">
      <c r="A71" s="17" t="str">
        <f t="shared" si="17"/>
        <v>2020-24</v>
      </c>
      <c r="B71" s="22" t="str">
        <f t="shared" si="18"/>
        <v>Earnings CAGR</v>
      </c>
      <c r="C71" s="22" t="str">
        <f t="shared" si="19"/>
        <v>Fluor</v>
      </c>
      <c r="D71" s="49">
        <f>(Financials!AB10/Financials!X10)^(1/5)-1</f>
        <v>-0.22267473312025299</v>
      </c>
    </row>
    <row r="72" spans="1:4" x14ac:dyDescent="0.3">
      <c r="A72" s="17" t="str">
        <f t="shared" si="17"/>
        <v>2020-24</v>
      </c>
      <c r="B72" s="22" t="str">
        <f t="shared" si="18"/>
        <v>Earnings CAGR</v>
      </c>
      <c r="C72" s="22" t="str">
        <f t="shared" si="19"/>
        <v>Vulcan</v>
      </c>
      <c r="D72" s="49">
        <f>(Financials!AJ10/Financials!AF10)^(1/5)-1</f>
        <v>1.0402524484611098E-2</v>
      </c>
    </row>
    <row r="73" spans="1:4" x14ac:dyDescent="0.3">
      <c r="A73" s="16" t="str">
        <f t="shared" si="17"/>
        <v>2020-24</v>
      </c>
      <c r="B73" s="70" t="str">
        <f t="shared" si="18"/>
        <v>Earnings CAGR</v>
      </c>
      <c r="C73" s="70" t="str">
        <f t="shared" si="19"/>
        <v>Average</v>
      </c>
      <c r="D73" s="73">
        <f>AVERAGE(D68:D72)</f>
        <v>4.7356803770383163E-2</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Profile</vt:lpstr>
      <vt:lpstr>Financials</vt:lpstr>
      <vt:lpstr>Assumptions &amp; WACC</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2025-11-19T19:07:40Z</dcterms:modified>
</cp:coreProperties>
</file>