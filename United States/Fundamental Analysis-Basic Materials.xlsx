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D:\Music\Job &amp; Future\Fundamental Analysis Project-Flagship\Fundamental Analysis-US\"/>
    </mc:Choice>
  </mc:AlternateContent>
  <xr:revisionPtr revIDLastSave="0" documentId="13_ncr:1_{9CA23DF9-35B9-4FDD-A3AB-A2FF8E6C08B0}" xr6:coauthVersionLast="47" xr6:coauthVersionMax="47" xr10:uidLastSave="{00000000-0000-0000-0000-000000000000}"/>
  <bookViews>
    <workbookView xWindow="13728" yWindow="0" windowWidth="9408" windowHeight="12336" firstSheet="3" activeTab="3" xr2:uid="{00000000-000D-0000-FFFF-FFFF00000000}"/>
  </bookViews>
  <sheets>
    <sheet name="Company Profile" sheetId="1" r:id="rId1"/>
    <sheet name="Financials" sheetId="2" r:id="rId2"/>
    <sheet name="Assumptions &amp; WACC" sheetId="3" r:id="rId3"/>
    <sheet name="DCF" sheetId="4" r:id="rId4"/>
    <sheet name="Relative" sheetId="5" r:id="rId5"/>
    <sheet name="Calc"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7" i="3" l="1" a="1"/>
  <c r="I27" i="3" s="1"/>
  <c r="C9" i="3" s="1"/>
  <c r="AO33" i="2"/>
  <c r="AP33" i="2"/>
  <c r="AQ33" i="2"/>
  <c r="AR33" i="2"/>
  <c r="AO34" i="2"/>
  <c r="AP34" i="2"/>
  <c r="AQ34" i="2"/>
  <c r="AR34" i="2"/>
  <c r="AO35" i="2"/>
  <c r="AP35" i="2"/>
  <c r="AQ35" i="2"/>
  <c r="AR35" i="2"/>
  <c r="AO38" i="2"/>
  <c r="AP38" i="2"/>
  <c r="AQ38" i="2"/>
  <c r="AR38" i="2"/>
  <c r="AS38" i="2"/>
  <c r="AO39" i="2"/>
  <c r="AP39" i="2"/>
  <c r="AQ39" i="2"/>
  <c r="AR39" i="2"/>
  <c r="AS39" i="2"/>
  <c r="AO40" i="2"/>
  <c r="AP40" i="2"/>
  <c r="AQ40" i="2"/>
  <c r="AR40" i="2"/>
  <c r="AS40" i="2"/>
  <c r="AN39" i="2"/>
  <c r="AN40" i="2"/>
  <c r="AN38" i="2"/>
  <c r="AN35" i="2"/>
  <c r="AN34" i="2"/>
  <c r="AN33" i="2"/>
  <c r="AG33" i="2"/>
  <c r="AH33" i="2"/>
  <c r="AI33" i="2"/>
  <c r="AJ33" i="2"/>
  <c r="AG34" i="2"/>
  <c r="AH34" i="2"/>
  <c r="AI34" i="2"/>
  <c r="AJ34" i="2"/>
  <c r="AG35" i="2"/>
  <c r="AH35" i="2"/>
  <c r="AI35" i="2"/>
  <c r="AJ35" i="2"/>
  <c r="AG38" i="2"/>
  <c r="AH38" i="2"/>
  <c r="AI38" i="2"/>
  <c r="AJ38" i="2"/>
  <c r="AK38" i="2"/>
  <c r="AG39" i="2"/>
  <c r="AH39" i="2"/>
  <c r="AI39" i="2"/>
  <c r="AJ39" i="2"/>
  <c r="AK39" i="2"/>
  <c r="AG40" i="2"/>
  <c r="AH40" i="2"/>
  <c r="AI40" i="2"/>
  <c r="AJ40" i="2"/>
  <c r="AK40" i="2"/>
  <c r="AF39" i="2"/>
  <c r="AF40" i="2"/>
  <c r="AF38" i="2"/>
  <c r="AF35" i="2"/>
  <c r="AF34" i="2"/>
  <c r="AF33" i="2"/>
  <c r="AM40" i="2"/>
  <c r="AM39" i="2"/>
  <c r="AM38" i="2"/>
  <c r="Y33" i="2"/>
  <c r="Z33" i="2"/>
  <c r="AA33" i="2"/>
  <c r="AB33" i="2"/>
  <c r="X33" i="2"/>
  <c r="Q33" i="2"/>
  <c r="R33" i="2"/>
  <c r="S33" i="2"/>
  <c r="T33" i="2"/>
  <c r="P33" i="2"/>
  <c r="AE40" i="2"/>
  <c r="AE39" i="2"/>
  <c r="AE38" i="2"/>
  <c r="W40" i="2"/>
  <c r="W39" i="2"/>
  <c r="W38" i="2"/>
  <c r="O39" i="2"/>
  <c r="O40" i="2"/>
  <c r="O38" i="2"/>
  <c r="A80" i="6"/>
  <c r="B80" i="6"/>
  <c r="C80" i="6"/>
  <c r="A81" i="6"/>
  <c r="B81" i="6"/>
  <c r="C81" i="6"/>
  <c r="A82" i="6"/>
  <c r="B82" i="6"/>
  <c r="C82" i="6"/>
  <c r="A83" i="6"/>
  <c r="B83" i="6"/>
  <c r="C83" i="6"/>
  <c r="A84" i="6"/>
  <c r="B84" i="6"/>
  <c r="C84" i="6"/>
  <c r="A85" i="6"/>
  <c r="B85" i="6"/>
  <c r="C85" i="6"/>
  <c r="C79" i="6"/>
  <c r="B79" i="6"/>
  <c r="A79" i="6"/>
  <c r="F9" i="3" l="1"/>
  <c r="B9" i="3"/>
  <c r="G9" i="3"/>
  <c r="E9" i="3"/>
  <c r="D9" i="3"/>
  <c r="H7" i="6"/>
  <c r="H6" i="6"/>
  <c r="H5" i="6"/>
  <c r="H4" i="6"/>
  <c r="F5" i="6"/>
  <c r="F6" i="6"/>
  <c r="F7" i="6"/>
  <c r="F4" i="6"/>
  <c r="I14" i="6"/>
  <c r="A73" i="6"/>
  <c r="B73" i="6"/>
  <c r="A74" i="6"/>
  <c r="B74" i="6"/>
  <c r="A75" i="6"/>
  <c r="B75" i="6"/>
  <c r="A76" i="6"/>
  <c r="B76" i="6"/>
  <c r="A77" i="6"/>
  <c r="B77" i="6"/>
  <c r="A78" i="6"/>
  <c r="B78" i="6"/>
  <c r="C78" i="6"/>
  <c r="C73" i="6"/>
  <c r="C74" i="6"/>
  <c r="C75" i="6"/>
  <c r="C76" i="6"/>
  <c r="C77" i="6"/>
  <c r="A72" i="6"/>
  <c r="C72" i="6"/>
  <c r="B72" i="6"/>
  <c r="A66" i="6"/>
  <c r="A67" i="6"/>
  <c r="A68" i="6"/>
  <c r="A69" i="6"/>
  <c r="A70" i="6"/>
  <c r="A71" i="6"/>
  <c r="C71" i="6"/>
  <c r="C66" i="6"/>
  <c r="C67" i="6"/>
  <c r="C68" i="6"/>
  <c r="C69" i="6"/>
  <c r="C70" i="6"/>
  <c r="A65" i="6"/>
  <c r="C65" i="6"/>
  <c r="D7" i="6"/>
  <c r="K4" i="6" s="1"/>
  <c r="D6" i="6"/>
  <c r="D5" i="6"/>
  <c r="D4" i="6"/>
  <c r="C10" i="6"/>
  <c r="C11" i="6"/>
  <c r="C12" i="6"/>
  <c r="C13" i="6"/>
  <c r="C14" i="6"/>
  <c r="C21" i="6" s="1"/>
  <c r="C28" i="6" s="1"/>
  <c r="C35" i="6" s="1"/>
  <c r="C42" i="6" s="1"/>
  <c r="C49" i="6" s="1"/>
  <c r="C56" i="6" s="1"/>
  <c r="C63" i="6" s="1"/>
  <c r="C15" i="6"/>
  <c r="C22" i="6" s="1"/>
  <c r="C29" i="6" s="1"/>
  <c r="C36" i="6" s="1"/>
  <c r="C43" i="6" s="1"/>
  <c r="C50" i="6" s="1"/>
  <c r="C57" i="6" s="1"/>
  <c r="C64" i="6" s="1"/>
  <c r="C16" i="6"/>
  <c r="C17" i="6"/>
  <c r="C24" i="6" s="1"/>
  <c r="C31" i="6" s="1"/>
  <c r="C38" i="6" s="1"/>
  <c r="C45" i="6" s="1"/>
  <c r="C52" i="6" s="1"/>
  <c r="C59" i="6" s="1"/>
  <c r="C18" i="6"/>
  <c r="C19" i="6"/>
  <c r="C20" i="6"/>
  <c r="C23" i="6"/>
  <c r="C30" i="6" s="1"/>
  <c r="C37" i="6" s="1"/>
  <c r="C44" i="6" s="1"/>
  <c r="C51" i="6" s="1"/>
  <c r="C58" i="6" s="1"/>
  <c r="C25" i="6"/>
  <c r="C32" i="6" s="1"/>
  <c r="C39" i="6" s="1"/>
  <c r="C46" i="6" s="1"/>
  <c r="C53" i="6" s="1"/>
  <c r="C60" i="6" s="1"/>
  <c r="C26" i="6"/>
  <c r="C27" i="6"/>
  <c r="C34" i="6" s="1"/>
  <c r="C41" i="6" s="1"/>
  <c r="C48" i="6" s="1"/>
  <c r="C55" i="6" s="1"/>
  <c r="C62" i="6" s="1"/>
  <c r="C33" i="6"/>
  <c r="C40" i="6" s="1"/>
  <c r="C47" i="6" s="1"/>
  <c r="C54" i="6" s="1"/>
  <c r="C61" i="6" s="1"/>
  <c r="C9" i="6"/>
  <c r="A57" i="6"/>
  <c r="A64" i="6" s="1"/>
  <c r="A56" i="6"/>
  <c r="A63" i="6" s="1"/>
  <c r="A54" i="6"/>
  <c r="A61" i="6" s="1"/>
  <c r="A50" i="6"/>
  <c r="A49" i="6"/>
  <c r="A48" i="6"/>
  <c r="A47" i="6"/>
  <c r="A46" i="6"/>
  <c r="A45" i="6"/>
  <c r="A44" i="6"/>
  <c r="A43" i="6"/>
  <c r="A42" i="6"/>
  <c r="A41" i="6"/>
  <c r="A40" i="6"/>
  <c r="A39" i="6"/>
  <c r="A38" i="6"/>
  <c r="A37" i="6"/>
  <c r="A36" i="6"/>
  <c r="A35" i="6"/>
  <c r="A34" i="6"/>
  <c r="A55" i="6" s="1"/>
  <c r="A62" i="6" s="1"/>
  <c r="A33" i="6"/>
  <c r="A32" i="6"/>
  <c r="A53" i="6" s="1"/>
  <c r="A60" i="6" s="1"/>
  <c r="A31" i="6"/>
  <c r="A52" i="6" s="1"/>
  <c r="A59" i="6" s="1"/>
  <c r="A30" i="6"/>
  <c r="A51" i="6" s="1"/>
  <c r="A58" i="6" s="1"/>
  <c r="A29" i="6"/>
  <c r="A28" i="6"/>
  <c r="A27" i="6"/>
  <c r="A26" i="6"/>
  <c r="A25" i="6"/>
  <c r="A24" i="6"/>
  <c r="A23" i="6"/>
  <c r="B15" i="6"/>
  <c r="B14" i="6"/>
  <c r="B13" i="6"/>
  <c r="B12" i="6"/>
  <c r="B11" i="6"/>
  <c r="B10" i="6"/>
  <c r="B9" i="6"/>
  <c r="AU1" i="4" l="1"/>
  <c r="AM1" i="4"/>
  <c r="AE1" i="4"/>
  <c r="W1" i="4"/>
  <c r="H25" i="5"/>
  <c r="H26" i="5"/>
  <c r="H27" i="5"/>
  <c r="H28" i="5"/>
  <c r="H24" i="5"/>
  <c r="H23" i="5"/>
  <c r="M5" i="5"/>
  <c r="M4" i="5"/>
  <c r="E28" i="5"/>
  <c r="E27" i="5"/>
  <c r="E26" i="5"/>
  <c r="E25" i="5"/>
  <c r="D28" i="5"/>
  <c r="D27" i="5"/>
  <c r="D26" i="5"/>
  <c r="D25" i="5"/>
  <c r="G6" i="3"/>
  <c r="G5" i="3"/>
  <c r="G3" i="3"/>
  <c r="AP3" i="4" s="1"/>
  <c r="F6" i="3"/>
  <c r="F5" i="3"/>
  <c r="F3" i="3"/>
  <c r="E6" i="3"/>
  <c r="E5" i="3"/>
  <c r="E3" i="3"/>
  <c r="K19" i="3"/>
  <c r="L19" i="3"/>
  <c r="M19" i="3"/>
  <c r="N19" i="3"/>
  <c r="K20" i="3"/>
  <c r="L20" i="3"/>
  <c r="M20" i="3"/>
  <c r="N20" i="3"/>
  <c r="J20" i="3"/>
  <c r="J19" i="3"/>
  <c r="K11" i="3"/>
  <c r="L11" i="3"/>
  <c r="M11" i="3"/>
  <c r="N11" i="3"/>
  <c r="K12" i="3"/>
  <c r="L12" i="3"/>
  <c r="M12" i="3"/>
  <c r="N12" i="3"/>
  <c r="J12" i="3"/>
  <c r="E7" i="3" s="1"/>
  <c r="J11" i="3"/>
  <c r="I15" i="3"/>
  <c r="I24" i="3"/>
  <c r="I23" i="3"/>
  <c r="I16" i="3"/>
  <c r="D6" i="3"/>
  <c r="D5" i="3"/>
  <c r="D3" i="3"/>
  <c r="G24" i="3"/>
  <c r="F24" i="3"/>
  <c r="E24" i="3"/>
  <c r="D24" i="3"/>
  <c r="E16" i="3"/>
  <c r="Z17" i="4" s="1"/>
  <c r="AR21" i="2"/>
  <c r="G16" i="3" s="1"/>
  <c r="AP17" i="4" s="1"/>
  <c r="AQ21" i="2"/>
  <c r="AR5" i="2"/>
  <c r="AR6" i="2" s="1"/>
  <c r="AQ5" i="2"/>
  <c r="AQ6" i="2" s="1"/>
  <c r="AQ10" i="2" s="1"/>
  <c r="AO21" i="2"/>
  <c r="AP5" i="2"/>
  <c r="AP6" i="2" s="1"/>
  <c r="AP10" i="2" s="1"/>
  <c r="AO5" i="2"/>
  <c r="AO6" i="2" s="1"/>
  <c r="AO10" i="2" s="1"/>
  <c r="AN21" i="2"/>
  <c r="AN5" i="2"/>
  <c r="AN6" i="2" s="1"/>
  <c r="AJ29" i="2"/>
  <c r="AI29" i="2"/>
  <c r="AJ21" i="2"/>
  <c r="F16" i="3" s="1"/>
  <c r="AI21" i="2"/>
  <c r="AJ19" i="2"/>
  <c r="AI19" i="2"/>
  <c r="AJ15" i="2"/>
  <c r="AI15" i="2"/>
  <c r="AI5" i="2"/>
  <c r="AI6" i="2" s="1"/>
  <c r="AJ5" i="2"/>
  <c r="AJ6" i="2" s="1"/>
  <c r="AH29" i="2"/>
  <c r="AG29" i="2"/>
  <c r="AH21" i="2"/>
  <c r="AG21" i="2"/>
  <c r="AH19" i="2"/>
  <c r="AG19" i="2"/>
  <c r="AH15" i="2"/>
  <c r="AG15" i="2"/>
  <c r="AH5" i="2"/>
  <c r="AH6" i="2" s="1"/>
  <c r="AH10" i="2" s="1"/>
  <c r="AG5" i="2"/>
  <c r="AG6" i="2" s="1"/>
  <c r="AF29" i="2"/>
  <c r="AF21" i="2"/>
  <c r="AF19" i="2"/>
  <c r="AF15" i="2"/>
  <c r="AF5" i="2"/>
  <c r="AF6" i="2" s="1"/>
  <c r="AA21" i="2"/>
  <c r="Y21" i="2"/>
  <c r="X29" i="2"/>
  <c r="X21" i="2"/>
  <c r="T21" i="2"/>
  <c r="D16" i="3" s="1"/>
  <c r="R17" i="4" s="1"/>
  <c r="S21" i="2"/>
  <c r="T5" i="2"/>
  <c r="T6" i="2" s="1"/>
  <c r="T34" i="2" s="1"/>
  <c r="S5" i="2"/>
  <c r="S6" i="2" s="1"/>
  <c r="R21" i="2"/>
  <c r="Q21" i="2"/>
  <c r="R5" i="2"/>
  <c r="R6" i="2" s="1"/>
  <c r="Q5" i="2"/>
  <c r="Q6" i="2" s="1"/>
  <c r="P21" i="2"/>
  <c r="P5" i="2"/>
  <c r="D2" i="1" a="1"/>
  <c r="D2" i="1" s="1"/>
  <c r="E2" i="1" a="1"/>
  <c r="E2" i="1" s="1"/>
  <c r="F2" i="1" a="1"/>
  <c r="F2" i="1" s="1"/>
  <c r="G2" i="1" a="1"/>
  <c r="G2" i="1" s="1"/>
  <c r="D3" i="1" a="1"/>
  <c r="D3" i="1" s="1"/>
  <c r="J25" i="5" s="1"/>
  <c r="E3" i="1" a="1"/>
  <c r="E3" i="1" s="1"/>
  <c r="J26" i="5" s="1"/>
  <c r="F3" i="1" a="1"/>
  <c r="F3" i="1" s="1"/>
  <c r="J27" i="5" s="1"/>
  <c r="G3" i="1" a="1"/>
  <c r="G3" i="1" s="1"/>
  <c r="J28" i="5" s="1"/>
  <c r="D4" i="1" a="1"/>
  <c r="D4" i="1" s="1"/>
  <c r="E4" i="1" a="1"/>
  <c r="E4" i="1" s="1"/>
  <c r="F4" i="1" a="1"/>
  <c r="F4" i="1" s="1"/>
  <c r="G4" i="1" a="1"/>
  <c r="G4" i="1" s="1"/>
  <c r="D5" i="1" a="1"/>
  <c r="D5" i="1" s="1"/>
  <c r="D6" i="1" s="1"/>
  <c r="D26" i="3" s="1"/>
  <c r="M6" i="5" s="1"/>
  <c r="E5" i="1" a="1"/>
  <c r="E5" i="1" s="1"/>
  <c r="E6" i="1" s="1"/>
  <c r="E26" i="3" s="1"/>
  <c r="M7" i="5" s="1"/>
  <c r="F5" i="1" a="1"/>
  <c r="F5" i="1" s="1"/>
  <c r="F6" i="1" s="1"/>
  <c r="F26" i="3" s="1"/>
  <c r="M8" i="5" s="1"/>
  <c r="G5" i="1" a="1"/>
  <c r="G5" i="1" s="1"/>
  <c r="G6" i="1" s="1"/>
  <c r="G26" i="3" s="1"/>
  <c r="M9" i="5" s="1"/>
  <c r="D7" i="1" a="1"/>
  <c r="D7" i="1" s="1"/>
  <c r="D8" i="1" s="1"/>
  <c r="D17" i="3" s="1"/>
  <c r="E7" i="1" a="1"/>
  <c r="E7" i="1" s="1"/>
  <c r="E8" i="1" s="1"/>
  <c r="E17" i="3" s="1"/>
  <c r="F7" i="1" a="1"/>
  <c r="F7" i="1" s="1"/>
  <c r="F8" i="1" s="1"/>
  <c r="F17" i="3" s="1"/>
  <c r="G7" i="1" a="1"/>
  <c r="G7" i="1" s="1"/>
  <c r="G8" i="1" s="1"/>
  <c r="G17" i="3" s="1"/>
  <c r="D9" i="1" a="1"/>
  <c r="D9" i="1" s="1"/>
  <c r="D11" i="3" s="1"/>
  <c r="D12" i="3" s="1"/>
  <c r="E9" i="1" a="1"/>
  <c r="E9" i="1" s="1"/>
  <c r="E11" i="3" s="1"/>
  <c r="E12" i="3" s="1"/>
  <c r="F9" i="1" a="1"/>
  <c r="F9" i="1" s="1"/>
  <c r="F11" i="3" s="1"/>
  <c r="F12" i="3" s="1"/>
  <c r="G9" i="1" a="1"/>
  <c r="G9" i="1" s="1"/>
  <c r="G11" i="3" s="1"/>
  <c r="G12" i="3" s="1"/>
  <c r="D10" i="1" a="1"/>
  <c r="D10" i="1" s="1"/>
  <c r="E10" i="1" a="1"/>
  <c r="E10" i="1" s="1"/>
  <c r="G10" i="1" a="1"/>
  <c r="G10" i="1" s="1"/>
  <c r="D11" i="1" a="1"/>
  <c r="D11" i="1" s="1"/>
  <c r="E11" i="1" a="1"/>
  <c r="E11" i="1" s="1"/>
  <c r="F11" i="1" a="1"/>
  <c r="F11" i="1" s="1"/>
  <c r="G11" i="1" a="1"/>
  <c r="G11" i="1" s="1"/>
  <c r="P6" i="2"/>
  <c r="P34" i="2" s="1"/>
  <c r="Y6" i="2"/>
  <c r="Z6" i="2"/>
  <c r="AA6" i="2"/>
  <c r="AB6" i="2"/>
  <c r="AB34" i="2" s="1"/>
  <c r="X6" i="2"/>
  <c r="X34" i="2" s="1"/>
  <c r="AH17" i="4" l="1"/>
  <c r="Z10" i="2"/>
  <c r="Z35" i="2" s="1"/>
  <c r="Z34" i="2"/>
  <c r="S10" i="2"/>
  <c r="S35" i="2" s="1"/>
  <c r="S34" i="2"/>
  <c r="AA10" i="2"/>
  <c r="AA35" i="2" s="1"/>
  <c r="AA34" i="2"/>
  <c r="Y10" i="2"/>
  <c r="Y35" i="2" s="1"/>
  <c r="Y34" i="2"/>
  <c r="Q10" i="2"/>
  <c r="Q35" i="2" s="1"/>
  <c r="Q34" i="2"/>
  <c r="E13" i="3"/>
  <c r="E15" i="3" s="1"/>
  <c r="R10" i="2"/>
  <c r="R35" i="2" s="1"/>
  <c r="R34" i="2"/>
  <c r="G13" i="3"/>
  <c r="G15" i="3" s="1"/>
  <c r="F7" i="3"/>
  <c r="F13" i="3"/>
  <c r="F15" i="3" s="1"/>
  <c r="D13" i="3"/>
  <c r="D15" i="3" s="1"/>
  <c r="G7" i="3"/>
  <c r="J24" i="3" s="1"/>
  <c r="AP8" i="4" s="1"/>
  <c r="E18" i="3"/>
  <c r="E19" i="3" s="1"/>
  <c r="D7" i="3"/>
  <c r="AP7" i="4"/>
  <c r="AP6" i="4"/>
  <c r="AQ3" i="4"/>
  <c r="AR3" i="4" s="1"/>
  <c r="D4" i="3"/>
  <c r="AG10" i="2"/>
  <c r="F4" i="3"/>
  <c r="AJ10" i="2"/>
  <c r="G6" i="6"/>
  <c r="I6" i="6" s="1"/>
  <c r="AB10" i="2"/>
  <c r="AB35" i="2" s="1"/>
  <c r="G5" i="6"/>
  <c r="I5" i="6" s="1"/>
  <c r="D41" i="6"/>
  <c r="T10" i="2"/>
  <c r="T35" i="2" s="1"/>
  <c r="G4" i="6"/>
  <c r="I4" i="6" s="1"/>
  <c r="B25" i="5"/>
  <c r="I6" i="5" s="1"/>
  <c r="R3" i="4"/>
  <c r="B26" i="5"/>
  <c r="I7" i="5" s="1"/>
  <c r="AH3" i="4"/>
  <c r="AH4" i="4" s="1"/>
  <c r="AH5" i="4" s="1"/>
  <c r="AR10" i="2"/>
  <c r="G7" i="6"/>
  <c r="I7" i="6" s="1"/>
  <c r="P10" i="2"/>
  <c r="D39" i="6"/>
  <c r="AN10" i="2"/>
  <c r="D42" i="6"/>
  <c r="B27" i="5"/>
  <c r="I8" i="5" s="1"/>
  <c r="Z3" i="4"/>
  <c r="X38" i="2" s="1"/>
  <c r="X10" i="2"/>
  <c r="X35" i="2" s="1"/>
  <c r="D40" i="6"/>
  <c r="E4" i="3"/>
  <c r="B28" i="5"/>
  <c r="G4" i="3"/>
  <c r="AP4" i="4" s="1"/>
  <c r="AP5" i="4" s="1"/>
  <c r="AP19" i="4"/>
  <c r="AP21" i="4"/>
  <c r="AH19" i="4"/>
  <c r="AH21" i="4"/>
  <c r="Z19" i="4"/>
  <c r="Z21" i="4"/>
  <c r="R19" i="4"/>
  <c r="R21" i="4"/>
  <c r="K9" i="5"/>
  <c r="L9" i="5"/>
  <c r="I9" i="5"/>
  <c r="K8" i="5"/>
  <c r="L8" i="5"/>
  <c r="K7" i="5"/>
  <c r="L7" i="5"/>
  <c r="L6" i="5"/>
  <c r="K6" i="5"/>
  <c r="F18" i="3"/>
  <c r="F19" i="3" s="1"/>
  <c r="D18" i="3"/>
  <c r="D20" i="3" s="1"/>
  <c r="G18" i="3"/>
  <c r="G19" i="3" s="1"/>
  <c r="AI10" i="2"/>
  <c r="AF10" i="2"/>
  <c r="BE4" i="2"/>
  <c r="BE3" i="2"/>
  <c r="AV9" i="2" a="1"/>
  <c r="AV9" i="2" s="1"/>
  <c r="AV6" i="2" a="1"/>
  <c r="AV6" i="2" s="1"/>
  <c r="AV3" i="2" a="1"/>
  <c r="AV3" i="2" s="1"/>
  <c r="AI3" i="4" l="1"/>
  <c r="AA3" i="4"/>
  <c r="Y38" i="2" s="1"/>
  <c r="D46" i="6"/>
  <c r="P35" i="2"/>
  <c r="S3" i="4"/>
  <c r="Q38" i="2" s="1"/>
  <c r="P38" i="2"/>
  <c r="D49" i="6"/>
  <c r="E20" i="3"/>
  <c r="E21" i="3" s="1"/>
  <c r="E23" i="3" s="1"/>
  <c r="D48" i="6"/>
  <c r="AP9" i="4"/>
  <c r="AS3" i="4"/>
  <c r="AR4" i="4"/>
  <c r="AR5" i="4" s="1"/>
  <c r="AR7" i="4"/>
  <c r="L24" i="3"/>
  <c r="AR6" i="4"/>
  <c r="S4" i="4"/>
  <c r="S6" i="4"/>
  <c r="S7" i="4"/>
  <c r="D82" i="6"/>
  <c r="D68" i="6"/>
  <c r="C26" i="5"/>
  <c r="J7" i="5" s="1"/>
  <c r="I26" i="5" s="1"/>
  <c r="K26" i="5" s="1"/>
  <c r="AA7" i="4"/>
  <c r="AA6" i="4"/>
  <c r="K16" i="3"/>
  <c r="AA4" i="4"/>
  <c r="T3" i="4"/>
  <c r="R38" i="2" s="1"/>
  <c r="R4" i="4"/>
  <c r="R6" i="4"/>
  <c r="R7" i="4"/>
  <c r="J15" i="3"/>
  <c r="R8" i="4" s="1"/>
  <c r="AQ4" i="4"/>
  <c r="AQ5" i="4" s="1"/>
  <c r="AQ7" i="4"/>
  <c r="K24" i="3"/>
  <c r="AQ8" i="4" s="1"/>
  <c r="AQ6" i="4"/>
  <c r="D83" i="6"/>
  <c r="D69" i="6"/>
  <c r="C27" i="5"/>
  <c r="J8" i="5" s="1"/>
  <c r="I27" i="5" s="1"/>
  <c r="K27" i="5" s="1"/>
  <c r="D47" i="6"/>
  <c r="D81" i="6"/>
  <c r="D67" i="6"/>
  <c r="C25" i="5"/>
  <c r="J6" i="5" s="1"/>
  <c r="I25" i="5" s="1"/>
  <c r="K25" i="5" s="1"/>
  <c r="AI6" i="4"/>
  <c r="AI7" i="4"/>
  <c r="K23" i="3"/>
  <c r="D84" i="6"/>
  <c r="D70" i="6"/>
  <c r="C28" i="5"/>
  <c r="J9" i="5" s="1"/>
  <c r="I28" i="5" s="1"/>
  <c r="K28" i="5" s="1"/>
  <c r="J16" i="3"/>
  <c r="Z4" i="4"/>
  <c r="Z7" i="4"/>
  <c r="Z6" i="4"/>
  <c r="AH7" i="4"/>
  <c r="AH6" i="4"/>
  <c r="J23" i="3"/>
  <c r="AH8" i="4" s="1"/>
  <c r="AB3" i="4"/>
  <c r="Z38" i="2" s="1"/>
  <c r="G20" i="3"/>
  <c r="G21" i="3" s="1"/>
  <c r="D19" i="3"/>
  <c r="D21" i="3" s="1"/>
  <c r="F20" i="3"/>
  <c r="F21" i="3" s="1"/>
  <c r="H3" i="6"/>
  <c r="H2" i="6"/>
  <c r="D2" i="6"/>
  <c r="H14" i="6"/>
  <c r="H12" i="6"/>
  <c r="K15" i="3" l="1"/>
  <c r="AJ3" i="4"/>
  <c r="AI4" i="4"/>
  <c r="AI5" i="4" s="1"/>
  <c r="R5" i="4"/>
  <c r="P40" i="2" s="1"/>
  <c r="P39" i="2"/>
  <c r="Z5" i="4"/>
  <c r="X40" i="2" s="1"/>
  <c r="X39" i="2"/>
  <c r="AA5" i="4"/>
  <c r="Y40" i="2" s="1"/>
  <c r="Y39" i="2"/>
  <c r="S5" i="4"/>
  <c r="Q40" i="2" s="1"/>
  <c r="Q39" i="2"/>
  <c r="AQ9" i="4"/>
  <c r="R9" i="4"/>
  <c r="AH9" i="4"/>
  <c r="U3" i="4"/>
  <c r="S38" i="2" s="1"/>
  <c r="L15" i="3"/>
  <c r="T8" i="4" s="1"/>
  <c r="T4" i="4"/>
  <c r="T6" i="4"/>
  <c r="T7" i="4"/>
  <c r="AT3" i="4"/>
  <c r="AS4" i="4"/>
  <c r="AS5" i="4" s="1"/>
  <c r="AS7" i="4"/>
  <c r="M24" i="3"/>
  <c r="AS8" i="4" s="1"/>
  <c r="AS6" i="4"/>
  <c r="AI8" i="4"/>
  <c r="S8" i="4"/>
  <c r="S9" i="4" s="1"/>
  <c r="AC3" i="4"/>
  <c r="AA38" i="2" s="1"/>
  <c r="AB7" i="4"/>
  <c r="AB6" i="4"/>
  <c r="L16" i="3"/>
  <c r="AB8" i="4" s="1"/>
  <c r="AB4" i="4"/>
  <c r="AA8" i="4"/>
  <c r="Z8" i="4"/>
  <c r="AR8" i="4"/>
  <c r="AR9" i="4" s="1"/>
  <c r="G23" i="3"/>
  <c r="F23" i="3"/>
  <c r="D23" i="3"/>
  <c r="E24" i="5"/>
  <c r="L5" i="5" s="1"/>
  <c r="E23" i="5"/>
  <c r="L4" i="5" s="1"/>
  <c r="D24" i="5"/>
  <c r="K5" i="5" s="1"/>
  <c r="D23" i="5"/>
  <c r="K4" i="5" s="1"/>
  <c r="C4" i="5" a="1"/>
  <c r="C4" i="5" s="1"/>
  <c r="C5" i="5" a="1"/>
  <c r="C5" i="5" s="1"/>
  <c r="C7" i="5" a="1"/>
  <c r="C7" i="5" s="1"/>
  <c r="C8" i="5" a="1"/>
  <c r="C8" i="5" s="1"/>
  <c r="C9" i="5" a="1"/>
  <c r="C9" i="5" s="1"/>
  <c r="C10" i="5" a="1"/>
  <c r="C10" i="5" s="1"/>
  <c r="C11" i="5" a="1"/>
  <c r="C11" i="5" s="1"/>
  <c r="C12" i="5" a="1"/>
  <c r="C12" i="5" s="1"/>
  <c r="C14" i="5" a="1"/>
  <c r="C14" i="5" s="1"/>
  <c r="C15" i="5" a="1"/>
  <c r="C15" i="5" s="1"/>
  <c r="C16" i="5" a="1"/>
  <c r="C16" i="5" s="1"/>
  <c r="C17" i="5" a="1"/>
  <c r="C17" i="5" s="1"/>
  <c r="C3" i="5" a="1"/>
  <c r="C3" i="5" s="1"/>
  <c r="C24" i="3"/>
  <c r="B24" i="3"/>
  <c r="B6" i="3"/>
  <c r="C5" i="3"/>
  <c r="J19" i="4"/>
  <c r="B19" i="4"/>
  <c r="C3" i="3"/>
  <c r="B3" i="3"/>
  <c r="B3" i="4" s="1"/>
  <c r="K3" i="3"/>
  <c r="L3" i="3"/>
  <c r="M3" i="3"/>
  <c r="N3" i="3"/>
  <c r="K4" i="3"/>
  <c r="L4" i="3"/>
  <c r="M4" i="3"/>
  <c r="N4" i="3"/>
  <c r="J4" i="3"/>
  <c r="J3" i="3"/>
  <c r="F7" i="2"/>
  <c r="E7" i="2"/>
  <c r="D7" i="2"/>
  <c r="C7" i="2"/>
  <c r="B7" i="2"/>
  <c r="M28" i="2"/>
  <c r="L28" i="2"/>
  <c r="M27" i="2"/>
  <c r="L27" i="2"/>
  <c r="M21" i="2"/>
  <c r="C16" i="3" s="1"/>
  <c r="L21" i="2"/>
  <c r="M16" i="2"/>
  <c r="L16" i="2"/>
  <c r="M5" i="2"/>
  <c r="M6" i="2" s="1"/>
  <c r="B24" i="5" s="1"/>
  <c r="I5" i="5" s="1"/>
  <c r="L5" i="2"/>
  <c r="L6" i="2" s="1"/>
  <c r="L10" i="2" s="1"/>
  <c r="K28" i="2"/>
  <c r="J28" i="2"/>
  <c r="K27" i="2"/>
  <c r="J27" i="2"/>
  <c r="K21" i="2"/>
  <c r="J21" i="2"/>
  <c r="K16" i="2"/>
  <c r="J16" i="2"/>
  <c r="K5" i="2"/>
  <c r="J5" i="2"/>
  <c r="K4" i="2"/>
  <c r="J4" i="2"/>
  <c r="I28" i="2"/>
  <c r="I27" i="2"/>
  <c r="I21" i="2"/>
  <c r="I16" i="2"/>
  <c r="I4" i="2"/>
  <c r="I5" i="2"/>
  <c r="F21" i="2"/>
  <c r="B16" i="3" s="1"/>
  <c r="E21" i="2"/>
  <c r="F5" i="2"/>
  <c r="F6" i="2" s="1"/>
  <c r="E5" i="2"/>
  <c r="E6" i="2" s="1"/>
  <c r="D21" i="2"/>
  <c r="C21" i="2"/>
  <c r="D5" i="2"/>
  <c r="D6" i="2" s="1"/>
  <c r="C5" i="2"/>
  <c r="C6" i="2" s="1"/>
  <c r="B21" i="2"/>
  <c r="B5" i="2"/>
  <c r="B6" i="2" s="1"/>
  <c r="A24" i="5"/>
  <c r="A23" i="5"/>
  <c r="E20" i="5"/>
  <c r="D20" i="5"/>
  <c r="B20" i="5"/>
  <c r="C3" i="6"/>
  <c r="F3" i="6" s="1"/>
  <c r="C2" i="6"/>
  <c r="F2" i="6" s="1"/>
  <c r="I8" i="3"/>
  <c r="I7" i="3"/>
  <c r="Z9" i="4" l="1"/>
  <c r="AJ7" i="4"/>
  <c r="AJ6" i="4"/>
  <c r="AJ4" i="4"/>
  <c r="AJ5" i="4" s="1"/>
  <c r="AK3" i="4"/>
  <c r="L23" i="3"/>
  <c r="AJ8" i="4" s="1"/>
  <c r="AJ9" i="4" s="1"/>
  <c r="AA9" i="4"/>
  <c r="AI9" i="4"/>
  <c r="T5" i="4"/>
  <c r="R40" i="2" s="1"/>
  <c r="R39" i="2"/>
  <c r="AB5" i="4"/>
  <c r="Z40" i="2" s="1"/>
  <c r="Z39" i="2"/>
  <c r="T9" i="4"/>
  <c r="AD3" i="4"/>
  <c r="AB38" i="2" s="1"/>
  <c r="AC4" i="4"/>
  <c r="AC7" i="4"/>
  <c r="AC6" i="4"/>
  <c r="M16" i="3"/>
  <c r="AC8" i="4" s="1"/>
  <c r="V3" i="4"/>
  <c r="T38" i="2" s="1"/>
  <c r="U7" i="4"/>
  <c r="M15" i="3"/>
  <c r="U8" i="4" s="1"/>
  <c r="U4" i="4"/>
  <c r="U6" i="4"/>
  <c r="AB9" i="4"/>
  <c r="AS9" i="4"/>
  <c r="D37" i="6"/>
  <c r="AU3" i="4"/>
  <c r="D56" i="6" s="1"/>
  <c r="AT4" i="4"/>
  <c r="AT5" i="4" s="1"/>
  <c r="AT7" i="4"/>
  <c r="N24" i="3"/>
  <c r="AT8" i="4" s="1"/>
  <c r="AT6" i="4"/>
  <c r="C3" i="4"/>
  <c r="D3" i="4" s="1"/>
  <c r="E3" i="4" s="1"/>
  <c r="E7" i="4" s="1"/>
  <c r="C13" i="3"/>
  <c r="C15" i="3" s="1"/>
  <c r="C10" i="2"/>
  <c r="B13" i="3"/>
  <c r="B15" i="3" s="1"/>
  <c r="C7" i="3"/>
  <c r="B7" i="3"/>
  <c r="J7" i="3" s="1"/>
  <c r="B8" i="4" s="1"/>
  <c r="B5" i="3"/>
  <c r="B23" i="5"/>
  <c r="I4" i="5" s="1"/>
  <c r="B4" i="3"/>
  <c r="B4" i="4" s="1"/>
  <c r="AV12" i="2" a="1"/>
  <c r="AV12" i="2" s="1"/>
  <c r="D3" i="6"/>
  <c r="D8" i="6" s="1"/>
  <c r="K5" i="6" s="1"/>
  <c r="C7" i="4"/>
  <c r="J3" i="4"/>
  <c r="D10" i="2"/>
  <c r="AV4" i="2" a="1"/>
  <c r="AV4" i="2" s="1"/>
  <c r="I6" i="2"/>
  <c r="B17" i="4"/>
  <c r="F10" i="2"/>
  <c r="D65" i="6" s="1"/>
  <c r="G2" i="6"/>
  <c r="I2" i="6" s="1"/>
  <c r="C6" i="3"/>
  <c r="J17" i="4"/>
  <c r="E10" i="2"/>
  <c r="M10" i="2"/>
  <c r="B7" i="4"/>
  <c r="B10" i="2"/>
  <c r="K6" i="2"/>
  <c r="K10" i="2" s="1"/>
  <c r="J6" i="2"/>
  <c r="J10" i="2" s="1"/>
  <c r="C20" i="5"/>
  <c r="AL3" i="4" l="1"/>
  <c r="M23" i="3"/>
  <c r="AK8" i="4" s="1"/>
  <c r="AK6" i="4"/>
  <c r="AK4" i="4"/>
  <c r="AK5" i="4" s="1"/>
  <c r="AK7" i="4"/>
  <c r="AC5" i="4"/>
  <c r="AA40" i="2" s="1"/>
  <c r="AA39" i="2"/>
  <c r="U5" i="4"/>
  <c r="S40" i="2" s="1"/>
  <c r="S39" i="2"/>
  <c r="C6" i="4"/>
  <c r="D44" i="6"/>
  <c r="D79" i="6"/>
  <c r="D80" i="6"/>
  <c r="D66" i="6"/>
  <c r="D71" i="6" s="1"/>
  <c r="H15" i="6" s="1"/>
  <c r="G3" i="6"/>
  <c r="I3" i="6" s="1"/>
  <c r="I8" i="6" s="1"/>
  <c r="D38" i="6"/>
  <c r="D43" i="6" s="1"/>
  <c r="AE3" i="4"/>
  <c r="AC38" i="2" s="1"/>
  <c r="N16" i="3"/>
  <c r="AD8" i="4" s="1"/>
  <c r="AD4" i="4"/>
  <c r="AD6" i="4"/>
  <c r="AD7" i="4"/>
  <c r="W3" i="4"/>
  <c r="U38" i="2" s="1"/>
  <c r="V7" i="4"/>
  <c r="N15" i="3"/>
  <c r="V8" i="4" s="1"/>
  <c r="V4" i="4"/>
  <c r="V6" i="4"/>
  <c r="K3" i="4"/>
  <c r="K7" i="4" s="1"/>
  <c r="AT9" i="4"/>
  <c r="AU6" i="4"/>
  <c r="L7" i="6" s="1"/>
  <c r="AU4" i="4"/>
  <c r="AU7" i="4"/>
  <c r="O24" i="3"/>
  <c r="AU8" i="4" s="1"/>
  <c r="K7" i="3"/>
  <c r="C8" i="4" s="1"/>
  <c r="B6" i="4"/>
  <c r="C4" i="4"/>
  <c r="C5" i="4" s="1"/>
  <c r="M7" i="3"/>
  <c r="F3" i="4"/>
  <c r="C23" i="5"/>
  <c r="J4" i="5" s="1"/>
  <c r="I23" i="5" s="1"/>
  <c r="E6" i="4"/>
  <c r="B5" i="4"/>
  <c r="D6" i="4"/>
  <c r="D7" i="4"/>
  <c r="I10" i="2"/>
  <c r="D45" i="6" s="1"/>
  <c r="AV10" i="2" a="1"/>
  <c r="AV10" i="2" s="1"/>
  <c r="C4" i="3"/>
  <c r="J8" i="3"/>
  <c r="J8" i="4" s="1"/>
  <c r="J6" i="4"/>
  <c r="J7" i="4"/>
  <c r="D4" i="4"/>
  <c r="D5" i="4" s="1"/>
  <c r="E4" i="4"/>
  <c r="E5" i="4" s="1"/>
  <c r="L7" i="3"/>
  <c r="C24" i="5"/>
  <c r="J5" i="5" s="1"/>
  <c r="I24" i="5" s="1"/>
  <c r="AV5" i="2" a="1"/>
  <c r="AV5" i="2" s="1"/>
  <c r="U9" i="4" l="1"/>
  <c r="D50" i="6"/>
  <c r="K6" i="4"/>
  <c r="AK9" i="4"/>
  <c r="K8" i="3"/>
  <c r="AL6" i="4"/>
  <c r="AM3" i="4"/>
  <c r="N23" i="3"/>
  <c r="AL8" i="4" s="1"/>
  <c r="AL7" i="4"/>
  <c r="AL4" i="4"/>
  <c r="AL5" i="4" s="1"/>
  <c r="V5" i="4"/>
  <c r="T40" i="2" s="1"/>
  <c r="T39" i="2"/>
  <c r="D53" i="6"/>
  <c r="D54" i="6"/>
  <c r="AC9" i="4"/>
  <c r="AD5" i="4"/>
  <c r="AB40" i="2" s="1"/>
  <c r="AB39" i="2"/>
  <c r="D85" i="6"/>
  <c r="L3" i="4"/>
  <c r="K4" i="4"/>
  <c r="K5" i="4" s="1"/>
  <c r="D8" i="4"/>
  <c r="D9" i="4" s="1"/>
  <c r="AE6" i="4"/>
  <c r="L5" i="6" s="1"/>
  <c r="M5" i="6" s="1"/>
  <c r="O16" i="3"/>
  <c r="AE8" i="4" s="1"/>
  <c r="AE4" i="4"/>
  <c r="AC39" i="2" s="1"/>
  <c r="AE7" i="4"/>
  <c r="G3" i="4"/>
  <c r="AV15" i="2" s="1" a="1"/>
  <c r="AV15" i="2" s="1"/>
  <c r="W4" i="4"/>
  <c r="U39" i="2" s="1"/>
  <c r="W6" i="4"/>
  <c r="L4" i="6" s="1"/>
  <c r="M4" i="6" s="1"/>
  <c r="W7" i="4"/>
  <c r="D18" i="6" s="1"/>
  <c r="D25" i="6" s="1"/>
  <c r="D32" i="6" s="1"/>
  <c r="O15" i="3"/>
  <c r="W8" i="4" s="1"/>
  <c r="D21" i="6"/>
  <c r="D28" i="6" s="1"/>
  <c r="D35" i="6" s="1"/>
  <c r="D14" i="6"/>
  <c r="D63" i="6" s="1"/>
  <c r="J7" i="6"/>
  <c r="AU5" i="4"/>
  <c r="B9" i="4"/>
  <c r="N7" i="3"/>
  <c r="F8" i="4" s="1"/>
  <c r="C9" i="4"/>
  <c r="J4" i="4"/>
  <c r="M3" i="4"/>
  <c r="L6" i="4"/>
  <c r="L8" i="3"/>
  <c r="L8" i="4" s="1"/>
  <c r="L4" i="4"/>
  <c r="L5" i="4" s="1"/>
  <c r="AV11" i="2" a="1"/>
  <c r="AV11" i="2" s="1"/>
  <c r="L7" i="4"/>
  <c r="K8" i="4"/>
  <c r="K9" i="4" s="1"/>
  <c r="F7" i="4"/>
  <c r="F4" i="4"/>
  <c r="F6" i="4"/>
  <c r="E8" i="4"/>
  <c r="E9" i="4" s="1"/>
  <c r="D55" i="6" l="1"/>
  <c r="AM6" i="4"/>
  <c r="L6" i="6" s="1"/>
  <c r="AM4" i="4"/>
  <c r="O23" i="3"/>
  <c r="AM8" i="4" s="1"/>
  <c r="AM7" i="4"/>
  <c r="AD9" i="4"/>
  <c r="AL9" i="4"/>
  <c r="D11" i="6"/>
  <c r="D60" i="6" s="1"/>
  <c r="V9" i="4"/>
  <c r="G6" i="4"/>
  <c r="O7" i="3"/>
  <c r="G8" i="4" s="1"/>
  <c r="J5" i="6"/>
  <c r="N5" i="6" s="1"/>
  <c r="O5" i="6" s="1"/>
  <c r="AE5" i="4"/>
  <c r="AC40" i="2" s="1"/>
  <c r="D77" i="6"/>
  <c r="AU9" i="4"/>
  <c r="J4" i="6"/>
  <c r="N4" i="6" s="1"/>
  <c r="O4" i="6" s="1"/>
  <c r="W5" i="4"/>
  <c r="U40" i="2" s="1"/>
  <c r="G4" i="4"/>
  <c r="G5" i="4" s="1"/>
  <c r="D19" i="6"/>
  <c r="D26" i="6" s="1"/>
  <c r="D33" i="6" s="1"/>
  <c r="D12" i="6"/>
  <c r="D61" i="6" s="1"/>
  <c r="G7" i="4"/>
  <c r="D16" i="6" s="1"/>
  <c r="D51" i="6"/>
  <c r="L2" i="6"/>
  <c r="L9" i="4"/>
  <c r="M6" i="4"/>
  <c r="M4" i="4"/>
  <c r="M5" i="4" s="1"/>
  <c r="M7" i="4"/>
  <c r="N3" i="4"/>
  <c r="M8" i="3"/>
  <c r="M8" i="4" s="1"/>
  <c r="J5" i="4"/>
  <c r="J2" i="6"/>
  <c r="F5" i="4"/>
  <c r="C2" i="1" a="1"/>
  <c r="C2" i="1" s="1"/>
  <c r="C3" i="1" a="1"/>
  <c r="C3" i="1" s="1"/>
  <c r="C4" i="1" a="1"/>
  <c r="C4" i="1" s="1"/>
  <c r="C5" i="1" a="1"/>
  <c r="C5" i="1" s="1"/>
  <c r="C6" i="1" s="1"/>
  <c r="C7" i="1" a="1"/>
  <c r="C7" i="1" s="1"/>
  <c r="C8" i="1" s="1"/>
  <c r="C9" i="1" a="1"/>
  <c r="C9" i="1" s="1"/>
  <c r="C10" i="1" a="1"/>
  <c r="C10" i="1" s="1"/>
  <c r="C11" i="1" a="1"/>
  <c r="C11" i="1" s="1"/>
  <c r="B11" i="1" a="1"/>
  <c r="B11" i="1" s="1"/>
  <c r="B10" i="1" a="1"/>
  <c r="B10" i="1" s="1"/>
  <c r="B9" i="1" a="1"/>
  <c r="B9" i="1" s="1"/>
  <c r="B7" i="1" a="1"/>
  <c r="B7" i="1" s="1"/>
  <c r="B8" i="1" s="1"/>
  <c r="B5" i="1" a="1"/>
  <c r="B5" i="1" s="1"/>
  <c r="B6" i="1" s="1"/>
  <c r="B4" i="1" a="1"/>
  <c r="B4" i="1" s="1"/>
  <c r="B3" i="1" a="1"/>
  <c r="B3" i="1" s="1"/>
  <c r="B2" i="1" a="1"/>
  <c r="B2" i="1" s="1"/>
  <c r="J6" i="6" l="1"/>
  <c r="AM5" i="4"/>
  <c r="D20" i="6"/>
  <c r="D27" i="6" s="1"/>
  <c r="D34" i="6" s="1"/>
  <c r="D13" i="6"/>
  <c r="D62" i="6" s="1"/>
  <c r="AV16" i="2" a="1"/>
  <c r="AV16" i="2" s="1"/>
  <c r="AV18" i="2" a="1"/>
  <c r="AV18" i="2" s="1"/>
  <c r="D75" i="6"/>
  <c r="AE9" i="4"/>
  <c r="G9" i="4"/>
  <c r="D72" i="6"/>
  <c r="D23" i="6"/>
  <c r="D30" i="6" s="1"/>
  <c r="W9" i="4"/>
  <c r="D74" i="6"/>
  <c r="AP13" i="4"/>
  <c r="AP14" i="4" s="1"/>
  <c r="AP15" i="4"/>
  <c r="D9" i="6"/>
  <c r="N6" i="4"/>
  <c r="N4" i="4"/>
  <c r="N7" i="4"/>
  <c r="N8" i="3"/>
  <c r="N8" i="4" s="1"/>
  <c r="O3" i="4"/>
  <c r="J9" i="4"/>
  <c r="BF7" i="2"/>
  <c r="AV17" i="2" a="1"/>
  <c r="AV17" i="2" s="1"/>
  <c r="F9" i="4"/>
  <c r="AV19" i="2" s="1" a="1"/>
  <c r="AV19" i="2" s="1"/>
  <c r="K2" i="6"/>
  <c r="M2" i="6" s="1"/>
  <c r="N2" i="6" s="1"/>
  <c r="M9" i="4"/>
  <c r="C17" i="3"/>
  <c r="C18" i="3" s="1"/>
  <c r="C19" i="3" s="1"/>
  <c r="C11" i="3"/>
  <c r="C12" i="3" s="1"/>
  <c r="BF4" i="2" s="1"/>
  <c r="B11" i="3"/>
  <c r="B17" i="3"/>
  <c r="B18" i="3" s="1"/>
  <c r="B19" i="3" s="1"/>
  <c r="B21" i="4"/>
  <c r="BH3" i="2" s="1"/>
  <c r="J23" i="5"/>
  <c r="K23" i="5" s="1"/>
  <c r="J21" i="4"/>
  <c r="BH4" i="2" s="1"/>
  <c r="J24" i="5"/>
  <c r="K24" i="5" s="1"/>
  <c r="AM9" i="4" l="1"/>
  <c r="D76" i="6"/>
  <c r="D58" i="6"/>
  <c r="K6" i="6"/>
  <c r="M6" i="6" s="1"/>
  <c r="N6" i="6" s="1"/>
  <c r="O6" i="6" s="1"/>
  <c r="Z13" i="4"/>
  <c r="Z14" i="4" s="1"/>
  <c r="Z15" i="4"/>
  <c r="AV22" i="2" a="1"/>
  <c r="AV22" i="2" s="1"/>
  <c r="D52" i="6"/>
  <c r="D57" i="6" s="1"/>
  <c r="AP16" i="4"/>
  <c r="AP18" i="4" s="1"/>
  <c r="AP20" i="4" s="1"/>
  <c r="AP22" i="4" s="1"/>
  <c r="O2" i="6"/>
  <c r="R13" i="4"/>
  <c r="R14" i="4" s="1"/>
  <c r="R15" i="4"/>
  <c r="B12" i="3"/>
  <c r="BF3" i="2" s="1"/>
  <c r="O8" i="3"/>
  <c r="O8" i="4" s="1"/>
  <c r="O6" i="4"/>
  <c r="L3" i="6" s="1"/>
  <c r="O7" i="4"/>
  <c r="D17" i="6" s="1"/>
  <c r="O4" i="4"/>
  <c r="N5" i="4"/>
  <c r="B20" i="3"/>
  <c r="C20" i="3"/>
  <c r="C21" i="3" s="1"/>
  <c r="BD4" i="2" s="1"/>
  <c r="AH13" i="4" l="1"/>
  <c r="AH14" i="4" s="1"/>
  <c r="AH15" i="4"/>
  <c r="R16" i="4"/>
  <c r="R18" i="4" s="1"/>
  <c r="R20" i="4" s="1"/>
  <c r="R22" i="4" s="1"/>
  <c r="Z16" i="4"/>
  <c r="Z18" i="4" s="1"/>
  <c r="Z20" i="4" s="1"/>
  <c r="Z22" i="4" s="1"/>
  <c r="D24" i="6"/>
  <c r="D22" i="6"/>
  <c r="D10" i="6"/>
  <c r="B21" i="3"/>
  <c r="B23" i="3" s="1"/>
  <c r="J3" i="6"/>
  <c r="O5" i="4"/>
  <c r="AV25" i="2" a="1"/>
  <c r="AV25" i="2" s="1"/>
  <c r="AV23" i="2" a="1"/>
  <c r="AV23" i="2" s="1"/>
  <c r="N9" i="4"/>
  <c r="C23" i="3"/>
  <c r="AH16" i="4" l="1"/>
  <c r="AH18" i="4" s="1"/>
  <c r="AH20" i="4" s="1"/>
  <c r="AH22" i="4" s="1"/>
  <c r="D59" i="6"/>
  <c r="D64" i="6" s="1"/>
  <c r="K7" i="6"/>
  <c r="M7" i="6" s="1"/>
  <c r="N7" i="6" s="1"/>
  <c r="O7" i="6" s="1"/>
  <c r="D15" i="6"/>
  <c r="D29" i="6"/>
  <c r="D31" i="6"/>
  <c r="D36" i="6" s="1"/>
  <c r="AV24" i="2" a="1"/>
  <c r="AV24" i="2" s="1"/>
  <c r="D73" i="6"/>
  <c r="D78" i="6" s="1"/>
  <c r="I15" i="6" s="1"/>
  <c r="B15" i="4"/>
  <c r="BD3" i="2"/>
  <c r="B13" i="4"/>
  <c r="B14" i="4" s="1"/>
  <c r="O9" i="4"/>
  <c r="J13" i="4" s="1"/>
  <c r="J14" i="4" s="1"/>
  <c r="K3" i="6"/>
  <c r="M3" i="6" s="1"/>
  <c r="N3" i="6" s="1"/>
  <c r="BF8" i="2"/>
  <c r="BF9" i="2" s="1"/>
  <c r="O3" i="6" l="1"/>
  <c r="O8" i="6" s="1"/>
  <c r="N8" i="6"/>
  <c r="B16" i="4"/>
  <c r="B18" i="4" s="1"/>
  <c r="B20" i="4" s="1"/>
  <c r="J15" i="4"/>
  <c r="J16" i="4" s="1"/>
  <c r="J18" i="4" s="1"/>
  <c r="J20" i="4" s="1"/>
  <c r="J22" i="4" s="1"/>
  <c r="AV26" i="2" a="1"/>
  <c r="AV26" i="2" s="1"/>
  <c r="B22" i="4"/>
  <c r="BG3" i="2"/>
  <c r="BI3" i="2" s="1"/>
  <c r="BG4" i="2" l="1"/>
  <c r="BI4" i="2"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3">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7"/>
        </ext>
      </extLst>
    </bk>
    <bk>
      <extLst>
        <ext uri="{3e2802c4-a4d2-4d8b-9148-e3be6c30e623}">
          <xlrd:rvb i="20"/>
        </ext>
      </extLst>
    </bk>
    <bk>
      <extLst>
        <ext uri="{3e2802c4-a4d2-4d8b-9148-e3be6c30e623}">
          <xlrd:rvb i="23"/>
        </ext>
      </extLst>
    </bk>
    <bk>
      <extLst>
        <ext uri="{3e2802c4-a4d2-4d8b-9148-e3be6c30e623}">
          <xlrd:rvb i="26"/>
        </ext>
      </extLst>
    </bk>
    <bk>
      <extLst>
        <ext uri="{3e2802c4-a4d2-4d8b-9148-e3be6c30e623}">
          <xlrd:rvb i="29"/>
        </ext>
      </extLst>
    </bk>
    <bk>
      <extLst>
        <ext uri="{3e2802c4-a4d2-4d8b-9148-e3be6c30e623}">
          <xlrd:rvb i="32"/>
        </ext>
      </extLst>
    </bk>
    <bk>
      <extLst>
        <ext uri="{3e2802c4-a4d2-4d8b-9148-e3be6c30e623}">
          <xlrd:rvb i="35"/>
        </ext>
      </extLst>
    </bk>
    <bk>
      <extLst>
        <ext uri="{3e2802c4-a4d2-4d8b-9148-e3be6c30e623}">
          <xlrd:rvb i="38"/>
        </ext>
      </extLst>
    </bk>
    <bk>
      <extLst>
        <ext uri="{3e2802c4-a4d2-4d8b-9148-e3be6c30e623}">
          <xlrd:rvb i="41"/>
        </ext>
      </extLst>
    </bk>
    <bk>
      <extLst>
        <ext uri="{3e2802c4-a4d2-4d8b-9148-e3be6c30e623}">
          <xlrd:rvb i="44"/>
        </ext>
      </extLst>
    </bk>
    <bk>
      <extLst>
        <ext uri="{3e2802c4-a4d2-4d8b-9148-e3be6c30e623}">
          <xlrd:rvb i="47"/>
        </ext>
      </extLst>
    </bk>
    <bk>
      <extLst>
        <ext uri="{3e2802c4-a4d2-4d8b-9148-e3be6c30e623}">
          <xlrd:rvb i="50"/>
        </ext>
      </extLst>
    </bk>
    <bk>
      <extLst>
        <ext uri="{3e2802c4-a4d2-4d8b-9148-e3be6c30e623}">
          <xlrd:rvb i="53"/>
        </ext>
      </extLst>
    </bk>
    <bk>
      <extLst>
        <ext uri="{3e2802c4-a4d2-4d8b-9148-e3be6c30e623}">
          <xlrd:rvb i="56"/>
        </ext>
      </extLst>
    </bk>
    <bk>
      <extLst>
        <ext uri="{3e2802c4-a4d2-4d8b-9148-e3be6c30e623}">
          <xlrd:rvb i="59"/>
        </ext>
      </extLst>
    </bk>
    <bk>
      <extLst>
        <ext uri="{3e2802c4-a4d2-4d8b-9148-e3be6c30e623}">
          <xlrd:rvb i="62"/>
        </ext>
      </extLst>
    </bk>
    <bk>
      <extLst>
        <ext uri="{3e2802c4-a4d2-4d8b-9148-e3be6c30e623}">
          <xlrd:rvb i="65"/>
        </ext>
      </extLst>
    </bk>
    <bk>
      <extLst>
        <ext uri="{3e2802c4-a4d2-4d8b-9148-e3be6c30e623}">
          <xlrd:rvb i="68"/>
        </ext>
      </extLst>
    </bk>
  </futureMetadata>
  <cellMetadata count="1">
    <bk>
      <rc t="1" v="0"/>
    </bk>
  </cellMetadata>
  <valueMetadata count="23">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valueMetadata>
</metadata>
</file>

<file path=xl/sharedStrings.xml><?xml version="1.0" encoding="utf-8"?>
<sst xmlns="http://schemas.openxmlformats.org/spreadsheetml/2006/main" count="701" uniqueCount="137">
  <si>
    <t>Company</t>
  </si>
  <si>
    <t>Official name</t>
  </si>
  <si>
    <t>Share price</t>
  </si>
  <si>
    <t>Change (%)</t>
  </si>
  <si>
    <t>Outstanding shares</t>
  </si>
  <si>
    <t>in mn</t>
  </si>
  <si>
    <t>Market cap</t>
  </si>
  <si>
    <t>Beta</t>
  </si>
  <si>
    <t>P/E</t>
  </si>
  <si>
    <t>Year</t>
  </si>
  <si>
    <t>INCOME STATEMENT</t>
  </si>
  <si>
    <t>Particulars</t>
  </si>
  <si>
    <t>2020</t>
  </si>
  <si>
    <t>2021</t>
  </si>
  <si>
    <t>2022</t>
  </si>
  <si>
    <t>2023</t>
  </si>
  <si>
    <t>2024</t>
  </si>
  <si>
    <t>Revenue</t>
  </si>
  <si>
    <t>Cost of sales</t>
  </si>
  <si>
    <t>Opex</t>
  </si>
  <si>
    <t>Operating income (EBIT)</t>
  </si>
  <si>
    <t>Depreciation &amp; Amortization</t>
  </si>
  <si>
    <t>Interest expense</t>
  </si>
  <si>
    <t>Income tax</t>
  </si>
  <si>
    <t>Net income</t>
  </si>
  <si>
    <t>BALANCE SHEET</t>
  </si>
  <si>
    <t>Cash &amp; Cash equivalents</t>
  </si>
  <si>
    <t>Accounts receivables</t>
  </si>
  <si>
    <t>Inventories</t>
  </si>
  <si>
    <t>Total current assets</t>
  </si>
  <si>
    <t>PPE</t>
  </si>
  <si>
    <t>Accounts payables</t>
  </si>
  <si>
    <t>Total current liabilities</t>
  </si>
  <si>
    <t>Total debt</t>
  </si>
  <si>
    <t>Shareholder's equity</t>
  </si>
  <si>
    <t>CASH FLOW STATEMENT</t>
  </si>
  <si>
    <t>Cash flow from operating activities</t>
  </si>
  <si>
    <t>Capex</t>
  </si>
  <si>
    <t>Dividends paid</t>
  </si>
  <si>
    <t>Debt repaid</t>
  </si>
  <si>
    <t>Assumptions</t>
  </si>
  <si>
    <t>Metric</t>
  </si>
  <si>
    <t>Current</t>
  </si>
  <si>
    <t>Revenue CAGR</t>
  </si>
  <si>
    <t>Operating margin (EBIT)</t>
  </si>
  <si>
    <t>Depreciation rate</t>
  </si>
  <si>
    <t>CapEx</t>
  </si>
  <si>
    <t>Forecast</t>
  </si>
  <si>
    <t>2025</t>
  </si>
  <si>
    <t>2026</t>
  </si>
  <si>
    <t>2027</t>
  </si>
  <si>
    <t>2028</t>
  </si>
  <si>
    <t>2029</t>
  </si>
  <si>
    <t>2030</t>
  </si>
  <si>
    <t>Working capital</t>
  </si>
  <si>
    <t>Forecast horizon (yrs)</t>
  </si>
  <si>
    <t>Risk-free rate</t>
  </si>
  <si>
    <t>Equity risk premium</t>
  </si>
  <si>
    <t>Cost of equity</t>
  </si>
  <si>
    <t>Kd (pre-tax)</t>
  </si>
  <si>
    <t>Tax rate</t>
  </si>
  <si>
    <t>Kd (after tax)</t>
  </si>
  <si>
    <t>Total capital</t>
  </si>
  <si>
    <t>Debt weight</t>
  </si>
  <si>
    <t>Equity weight</t>
  </si>
  <si>
    <t>WACC</t>
  </si>
  <si>
    <t>Terminal year</t>
  </si>
  <si>
    <t>PV discount rate (terminal year)</t>
  </si>
  <si>
    <t>Cash &amp; cash equivalents</t>
  </si>
  <si>
    <t>Terminal growth rate</t>
  </si>
  <si>
    <t>Shares Outstanding</t>
  </si>
  <si>
    <t>Nucor</t>
  </si>
  <si>
    <t>Freeport</t>
  </si>
  <si>
    <t>WC-Nucor</t>
  </si>
  <si>
    <t>WC-Freeport</t>
  </si>
  <si>
    <t>DCF</t>
  </si>
  <si>
    <t>EBIT</t>
  </si>
  <si>
    <t>NOPAT</t>
  </si>
  <si>
    <t>Depreciation</t>
  </si>
  <si>
    <t xml:space="preserve"> Change in Working capital</t>
  </si>
  <si>
    <t>FCFF</t>
  </si>
  <si>
    <t>Metrics</t>
  </si>
  <si>
    <t>Value</t>
  </si>
  <si>
    <t>Terminal Value</t>
  </si>
  <si>
    <t>PV of Terminal value</t>
  </si>
  <si>
    <t>PV of FCFF</t>
  </si>
  <si>
    <t>Total enterprise value</t>
  </si>
  <si>
    <t>Net debt</t>
  </si>
  <si>
    <t>Total equity value</t>
  </si>
  <si>
    <t>Intrinsic value</t>
  </si>
  <si>
    <t>Current market price</t>
  </si>
  <si>
    <t>Upside/Downside</t>
  </si>
  <si>
    <t>RELATIVE</t>
  </si>
  <si>
    <t>EV/EBITDA</t>
  </si>
  <si>
    <t>P/S</t>
  </si>
  <si>
    <t>P/B</t>
  </si>
  <si>
    <t>Target Price</t>
  </si>
  <si>
    <t>CMP</t>
  </si>
  <si>
    <t>U/D</t>
  </si>
  <si>
    <t>Average</t>
  </si>
  <si>
    <t>EBITDA</t>
  </si>
  <si>
    <t>Net Income</t>
  </si>
  <si>
    <t>Book Value</t>
  </si>
  <si>
    <t>Change in EBIT (historical)</t>
  </si>
  <si>
    <t>Change in CE</t>
  </si>
  <si>
    <t>Incremental ROCE (Historical)</t>
  </si>
  <si>
    <t>Change in EBIT (Forecast)</t>
  </si>
  <si>
    <t>Effective capital</t>
  </si>
  <si>
    <t>Raw ROCE</t>
  </si>
  <si>
    <t>Adjusted ROCE (Forecast)</t>
  </si>
  <si>
    <t>2020-24</t>
  </si>
  <si>
    <t>Avg Capex</t>
  </si>
  <si>
    <t>2025-30</t>
  </si>
  <si>
    <t>Capex CAGR</t>
  </si>
  <si>
    <t>GDP</t>
  </si>
  <si>
    <t>Earnings CAGR</t>
  </si>
  <si>
    <t>Change</t>
  </si>
  <si>
    <t>Sensitivity</t>
  </si>
  <si>
    <t>Earnings Growth</t>
  </si>
  <si>
    <t>EBITDA Margin</t>
  </si>
  <si>
    <t>Avg Revenue (Exp)</t>
  </si>
  <si>
    <t>NPM</t>
  </si>
  <si>
    <t>Operating income</t>
  </si>
  <si>
    <t>Terminal growth</t>
  </si>
  <si>
    <t>Alcoa</t>
  </si>
  <si>
    <t>Dow</t>
  </si>
  <si>
    <t>Newmont</t>
  </si>
  <si>
    <t>RF Ind</t>
  </si>
  <si>
    <t>Newmount</t>
  </si>
  <si>
    <t>WC-Alcoa</t>
  </si>
  <si>
    <t>WC-RFIL</t>
  </si>
  <si>
    <t>WC-Dow</t>
  </si>
  <si>
    <t>WC-Newmount</t>
  </si>
  <si>
    <t>RFIL</t>
  </si>
  <si>
    <t>Shares</t>
  </si>
  <si>
    <t>Avg</t>
  </si>
  <si>
    <t>Capex Intensity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</si>
</sst>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_([$$-409]* #,##0.00_);_([$$-409]* \(#,##0.00\);_([$$-409]* &quot;-&quot;??_);_(@_)"/>
    <numFmt numFmtId="165" formatCode="_([$$-409]* #,##0_);_([$$-409]* \(#,##0\);_([$$-409]* &quot;-&quot;_);_(@_)"/>
    <numFmt numFmtId="166" formatCode="_-[$$-409]* #,##0.00_ ;_-[$$-409]* \-#,##0.00\ ;_-[$$-409]* &quot;-&quot;??_ ;_-@_ "/>
  </numFmts>
  <fonts count="5"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8"/>
      <name val="Calibri"/>
      <family val="2"/>
      <scheme val="minor"/>
    </font>
  </fonts>
  <fills count="5">
    <fill>
      <patternFill patternType="none"/>
    </fill>
    <fill>
      <patternFill patternType="gray125"/>
    </fill>
    <fill>
      <patternFill patternType="solid">
        <fgColor rgb="FF0070C0"/>
        <bgColor indexed="64"/>
      </patternFill>
    </fill>
    <fill>
      <patternFill patternType="solid">
        <fgColor theme="0" tint="-4.9989318521683403E-2"/>
        <bgColor indexed="64"/>
      </patternFill>
    </fill>
    <fill>
      <patternFill patternType="solid">
        <fgColor theme="5" tint="-0.249977111117893"/>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09">
    <xf numFmtId="0" fontId="0" fillId="0" borderId="0" xfId="0"/>
    <xf numFmtId="0" fontId="0" fillId="0" borderId="0" xfId="0" applyAlignment="1">
      <alignment vertical="center" wrapText="1"/>
    </xf>
    <xf numFmtId="0" fontId="0" fillId="0" borderId="0" xfId="0" applyAlignment="1">
      <alignment horizontal="right" vertical="center" wrapText="1"/>
    </xf>
    <xf numFmtId="0" fontId="2" fillId="2" borderId="0" xfId="0" applyFont="1" applyFill="1" applyAlignment="1">
      <alignment vertical="center" wrapText="1"/>
    </xf>
    <xf numFmtId="0" fontId="2" fillId="2" borderId="0" xfId="0" applyFont="1" applyFill="1" applyAlignment="1">
      <alignment horizontal="right" vertical="center" wrapText="1"/>
    </xf>
    <xf numFmtId="0" fontId="2" fillId="2" borderId="2" xfId="0" applyFont="1" applyFill="1" applyBorder="1" applyAlignment="1">
      <alignment vertical="center" wrapText="1"/>
    </xf>
    <xf numFmtId="0" fontId="2" fillId="2" borderId="3" xfId="0" applyFont="1" applyFill="1" applyBorder="1" applyAlignment="1">
      <alignment horizontal="right" vertical="center" wrapText="1"/>
    </xf>
    <xf numFmtId="0" fontId="2" fillId="2" borderId="4" xfId="0" applyFont="1" applyFill="1" applyBorder="1" applyAlignment="1">
      <alignment horizontal="right" vertical="center" wrapText="1"/>
    </xf>
    <xf numFmtId="0" fontId="0" fillId="3" borderId="1" xfId="0" applyFill="1" applyBorder="1" applyAlignment="1">
      <alignment vertical="center" wrapText="1"/>
    </xf>
    <xf numFmtId="0" fontId="0" fillId="3" borderId="1" xfId="0" applyFill="1" applyBorder="1" applyAlignment="1">
      <alignment horizontal="right" vertical="center" wrapText="1"/>
    </xf>
    <xf numFmtId="164" fontId="0" fillId="3" borderId="1" xfId="0" applyNumberFormat="1" applyFill="1" applyBorder="1" applyAlignment="1">
      <alignment horizontal="right" vertical="center" wrapText="1"/>
    </xf>
    <xf numFmtId="10" fontId="0" fillId="3" borderId="1" xfId="0" applyNumberFormat="1" applyFill="1" applyBorder="1" applyAlignment="1">
      <alignment horizontal="right" vertical="center" wrapText="1"/>
    </xf>
    <xf numFmtId="3" fontId="0" fillId="3" borderId="1" xfId="0" applyNumberFormat="1" applyFill="1" applyBorder="1" applyAlignment="1">
      <alignment horizontal="right" vertical="center" wrapText="1"/>
    </xf>
    <xf numFmtId="165" fontId="0" fillId="3" borderId="1" xfId="0" applyNumberFormat="1" applyFill="1" applyBorder="1" applyAlignment="1">
      <alignment horizontal="right" vertical="center" wrapText="1"/>
    </xf>
    <xf numFmtId="166" fontId="0" fillId="3" borderId="1" xfId="0" applyNumberFormat="1" applyFill="1" applyBorder="1" applyAlignment="1">
      <alignment horizontal="right" vertical="center" wrapText="1"/>
    </xf>
    <xf numFmtId="4" fontId="0" fillId="3" borderId="1" xfId="0" applyNumberFormat="1" applyFill="1" applyBorder="1" applyAlignment="1">
      <alignment horizontal="right" vertical="center" wrapText="1"/>
    </xf>
    <xf numFmtId="1" fontId="0" fillId="3" borderId="1" xfId="0" applyNumberFormat="1" applyFill="1" applyBorder="1" applyAlignment="1">
      <alignment horizontal="right" vertical="center" wrapText="1"/>
    </xf>
    <xf numFmtId="0" fontId="3" fillId="0" borderId="0" xfId="0" applyFont="1" applyAlignment="1">
      <alignment vertical="center"/>
    </xf>
    <xf numFmtId="0" fontId="0" fillId="0" borderId="0" xfId="0" applyAlignment="1">
      <alignment vertical="center"/>
    </xf>
    <xf numFmtId="0" fontId="3" fillId="0" borderId="0" xfId="0" applyFont="1" applyAlignment="1">
      <alignment horizontal="center" vertical="center"/>
    </xf>
    <xf numFmtId="0" fontId="0" fillId="0" borderId="0" xfId="0" applyAlignment="1">
      <alignment horizontal="center" vertical="center"/>
    </xf>
    <xf numFmtId="43" fontId="0" fillId="0" borderId="0" xfId="1" applyFont="1" applyAlignment="1">
      <alignment horizontal="right" vertical="center"/>
    </xf>
    <xf numFmtId="43" fontId="3" fillId="0" borderId="0" xfId="1" applyFont="1" applyAlignment="1">
      <alignment horizontal="right" vertical="center"/>
    </xf>
    <xf numFmtId="0" fontId="0" fillId="0" borderId="0" xfId="0" applyAlignment="1">
      <alignment horizontal="right" vertical="center"/>
    </xf>
    <xf numFmtId="0" fontId="0" fillId="3" borderId="1" xfId="0" applyFill="1" applyBorder="1" applyAlignment="1">
      <alignment vertical="center"/>
    </xf>
    <xf numFmtId="10" fontId="0" fillId="3" borderId="1" xfId="2" applyNumberFormat="1" applyFont="1" applyFill="1" applyBorder="1" applyAlignment="1">
      <alignment horizontal="right" vertical="center"/>
    </xf>
    <xf numFmtId="0" fontId="0" fillId="0" borderId="7" xfId="0" applyBorder="1" applyAlignment="1">
      <alignment vertical="center"/>
    </xf>
    <xf numFmtId="43" fontId="0" fillId="0" borderId="11" xfId="0" applyNumberFormat="1" applyBorder="1" applyAlignment="1">
      <alignment vertical="center"/>
    </xf>
    <xf numFmtId="0" fontId="0" fillId="0" borderId="4" xfId="0" applyBorder="1" applyAlignment="1">
      <alignment vertical="center"/>
    </xf>
    <xf numFmtId="43" fontId="0" fillId="0" borderId="12" xfId="0" applyNumberFormat="1" applyBorder="1" applyAlignment="1">
      <alignment vertical="center"/>
    </xf>
    <xf numFmtId="0" fontId="0" fillId="3" borderId="1" xfId="0" applyFill="1" applyBorder="1" applyAlignment="1">
      <alignment horizontal="right" vertical="center"/>
    </xf>
    <xf numFmtId="4" fontId="0" fillId="3" borderId="1" xfId="0" applyNumberFormat="1" applyFill="1" applyBorder="1" applyAlignment="1">
      <alignment horizontal="right" vertical="center"/>
    </xf>
    <xf numFmtId="43" fontId="0" fillId="3" borderId="1" xfId="1" applyFont="1" applyFill="1" applyBorder="1" applyAlignment="1">
      <alignment horizontal="right" vertical="center"/>
    </xf>
    <xf numFmtId="0" fontId="0" fillId="0" borderId="0" xfId="2" applyNumberFormat="1" applyFont="1" applyAlignment="1">
      <alignment horizontal="center" vertical="center"/>
    </xf>
    <xf numFmtId="0" fontId="0" fillId="0" borderId="0" xfId="2" applyNumberFormat="1" applyFont="1" applyBorder="1" applyAlignment="1">
      <alignment horizontal="center" vertical="center"/>
    </xf>
    <xf numFmtId="43" fontId="0" fillId="0" borderId="0" xfId="0" applyNumberFormat="1" applyAlignment="1">
      <alignment vertical="center"/>
    </xf>
    <xf numFmtId="0" fontId="0" fillId="0" borderId="1" xfId="0" applyBorder="1" applyAlignment="1">
      <alignment vertical="center"/>
    </xf>
    <xf numFmtId="43" fontId="0" fillId="0" borderId="1" xfId="1" applyFont="1" applyBorder="1" applyAlignment="1">
      <alignment horizontal="right" vertical="center"/>
    </xf>
    <xf numFmtId="49" fontId="0" fillId="0" borderId="0" xfId="1" applyNumberFormat="1" applyFont="1" applyAlignment="1">
      <alignment horizontal="left" vertical="center"/>
    </xf>
    <xf numFmtId="43" fontId="3" fillId="0" borderId="0" xfId="0" applyNumberFormat="1" applyFont="1" applyAlignment="1">
      <alignment vertical="center"/>
    </xf>
    <xf numFmtId="0" fontId="3" fillId="0" borderId="12" xfId="0" applyFont="1" applyBorder="1" applyAlignment="1">
      <alignment vertical="center"/>
    </xf>
    <xf numFmtId="43" fontId="3" fillId="0" borderId="12" xfId="1" applyFont="1" applyBorder="1" applyAlignment="1">
      <alignment horizontal="right" vertical="center"/>
    </xf>
    <xf numFmtId="43" fontId="3" fillId="0" borderId="0" xfId="0" applyNumberFormat="1" applyFont="1" applyAlignment="1">
      <alignment horizontal="center" vertical="center"/>
    </xf>
    <xf numFmtId="43" fontId="3" fillId="0" borderId="0" xfId="1" applyFont="1" applyBorder="1" applyAlignment="1">
      <alignment horizontal="right" vertical="center"/>
    </xf>
    <xf numFmtId="43" fontId="0" fillId="0" borderId="0" xfId="0" applyNumberFormat="1" applyAlignment="1">
      <alignment horizontal="right" vertical="center"/>
    </xf>
    <xf numFmtId="43" fontId="0" fillId="0" borderId="1" xfId="0" applyNumberFormat="1" applyBorder="1" applyAlignment="1">
      <alignment horizontal="right" vertical="center"/>
    </xf>
    <xf numFmtId="10" fontId="0" fillId="0" borderId="0" xfId="2" applyNumberFormat="1" applyFont="1" applyAlignment="1">
      <alignment horizontal="right" vertical="center"/>
    </xf>
    <xf numFmtId="10" fontId="0" fillId="0" borderId="1" xfId="2" applyNumberFormat="1" applyFont="1" applyBorder="1" applyAlignment="1">
      <alignment horizontal="right" vertical="center"/>
    </xf>
    <xf numFmtId="0" fontId="0" fillId="0" borderId="0" xfId="0" applyAlignment="1">
      <alignment horizontal="left" vertical="center"/>
    </xf>
    <xf numFmtId="0" fontId="0" fillId="0" borderId="1" xfId="0" applyBorder="1" applyAlignment="1">
      <alignment horizontal="left" vertical="center"/>
    </xf>
    <xf numFmtId="0" fontId="0" fillId="0" borderId="12" xfId="0" applyBorder="1" applyAlignment="1">
      <alignment horizontal="left" vertical="center"/>
    </xf>
    <xf numFmtId="0" fontId="0" fillId="3" borderId="5" xfId="0" applyFill="1" applyBorder="1" applyAlignment="1">
      <alignment vertical="center"/>
    </xf>
    <xf numFmtId="43" fontId="0" fillId="3" borderId="0" xfId="1" applyFont="1" applyFill="1" applyBorder="1" applyAlignment="1">
      <alignment horizontal="right" vertical="center"/>
    </xf>
    <xf numFmtId="43" fontId="0" fillId="3" borderId="6" xfId="1" applyFont="1" applyFill="1" applyBorder="1" applyAlignment="1">
      <alignment horizontal="right" vertical="center"/>
    </xf>
    <xf numFmtId="0" fontId="3" fillId="3" borderId="1" xfId="0" applyFont="1" applyFill="1" applyBorder="1" applyAlignment="1">
      <alignment vertical="center"/>
    </xf>
    <xf numFmtId="43" fontId="3" fillId="3" borderId="1" xfId="1" applyFont="1" applyFill="1" applyBorder="1" applyAlignment="1">
      <alignment horizontal="right" vertical="center"/>
    </xf>
    <xf numFmtId="0" fontId="0" fillId="2" borderId="8" xfId="0" applyFill="1" applyBorder="1" applyAlignment="1">
      <alignment vertical="center"/>
    </xf>
    <xf numFmtId="0" fontId="0" fillId="2" borderId="9" xfId="0" applyFill="1" applyBorder="1" applyAlignment="1">
      <alignment horizontal="center" vertical="center"/>
    </xf>
    <xf numFmtId="0" fontId="0" fillId="2" borderId="10" xfId="0" applyFill="1" applyBorder="1" applyAlignment="1">
      <alignment horizontal="center" vertical="center"/>
    </xf>
    <xf numFmtId="10" fontId="3" fillId="3" borderId="1" xfId="2" applyNumberFormat="1" applyFont="1" applyFill="1" applyBorder="1" applyAlignment="1">
      <alignment horizontal="right" vertical="center"/>
    </xf>
    <xf numFmtId="0" fontId="2" fillId="2" borderId="0" xfId="0" applyFont="1" applyFill="1" applyAlignment="1">
      <alignment vertical="center"/>
    </xf>
    <xf numFmtId="0" fontId="2" fillId="2" borderId="0" xfId="0" applyFont="1" applyFill="1" applyAlignment="1">
      <alignment horizontal="right" vertical="center"/>
    </xf>
    <xf numFmtId="0" fontId="3" fillId="2" borderId="0" xfId="0" applyFont="1" applyFill="1" applyAlignment="1">
      <alignment horizontal="left" vertical="center"/>
    </xf>
    <xf numFmtId="0" fontId="3" fillId="2" borderId="0" xfId="0" applyFont="1" applyFill="1" applyAlignment="1">
      <alignment horizontal="right" vertical="center"/>
    </xf>
    <xf numFmtId="0" fontId="0" fillId="2" borderId="0" xfId="0" applyFill="1" applyAlignment="1">
      <alignment horizontal="left" vertical="center"/>
    </xf>
    <xf numFmtId="0" fontId="0" fillId="2" borderId="0" xfId="0" applyFill="1" applyAlignment="1">
      <alignment horizontal="right" vertical="center"/>
    </xf>
    <xf numFmtId="10" fontId="0" fillId="0" borderId="0" xfId="0" applyNumberFormat="1" applyAlignment="1">
      <alignment horizontal="right" vertical="center"/>
    </xf>
    <xf numFmtId="0" fontId="3" fillId="0" borderId="0" xfId="0" applyFont="1" applyAlignment="1">
      <alignment horizontal="right" vertical="center"/>
    </xf>
    <xf numFmtId="10" fontId="3" fillId="0" borderId="0" xfId="0" applyNumberFormat="1" applyFont="1" applyAlignment="1">
      <alignment horizontal="right" vertical="center"/>
    </xf>
    <xf numFmtId="10" fontId="3" fillId="0" borderId="0" xfId="2" applyNumberFormat="1" applyFont="1" applyAlignment="1">
      <alignment horizontal="right" vertical="center"/>
    </xf>
    <xf numFmtId="0" fontId="0" fillId="0" borderId="11" xfId="0" applyBorder="1" applyAlignment="1">
      <alignment vertical="center"/>
    </xf>
    <xf numFmtId="43" fontId="0" fillId="0" borderId="11" xfId="1" applyFont="1" applyBorder="1" applyAlignment="1">
      <alignment horizontal="right" vertical="center"/>
    </xf>
    <xf numFmtId="0" fontId="2" fillId="4" borderId="8" xfId="0" applyFont="1" applyFill="1" applyBorder="1" applyAlignment="1">
      <alignment vertical="center"/>
    </xf>
    <xf numFmtId="0" fontId="2" fillId="4" borderId="9" xfId="0" applyFont="1" applyFill="1" applyBorder="1" applyAlignment="1">
      <alignment vertical="center"/>
    </xf>
    <xf numFmtId="0" fontId="2" fillId="4" borderId="10" xfId="0" applyFont="1" applyFill="1" applyBorder="1" applyAlignment="1">
      <alignment vertical="center"/>
    </xf>
    <xf numFmtId="0" fontId="2" fillId="4" borderId="9" xfId="0" applyFont="1" applyFill="1" applyBorder="1" applyAlignment="1">
      <alignment horizontal="right" vertical="center"/>
    </xf>
    <xf numFmtId="0" fontId="2" fillId="4" borderId="10" xfId="0" applyFont="1" applyFill="1" applyBorder="1" applyAlignment="1">
      <alignment horizontal="right" vertical="center"/>
    </xf>
    <xf numFmtId="10" fontId="0" fillId="0" borderId="11" xfId="0" applyNumberFormat="1" applyBorder="1" applyAlignment="1">
      <alignment vertical="center"/>
    </xf>
    <xf numFmtId="10" fontId="0" fillId="0" borderId="1" xfId="0" applyNumberFormat="1" applyBorder="1" applyAlignment="1">
      <alignment vertical="center"/>
    </xf>
    <xf numFmtId="43" fontId="0" fillId="0" borderId="1" xfId="0" applyNumberFormat="1" applyBorder="1" applyAlignment="1">
      <alignment vertical="center"/>
    </xf>
    <xf numFmtId="10" fontId="0" fillId="0" borderId="11" xfId="2" applyNumberFormat="1" applyFont="1" applyBorder="1" applyAlignment="1">
      <alignment vertical="center"/>
    </xf>
    <xf numFmtId="10" fontId="0" fillId="0" borderId="0" xfId="2" applyNumberFormat="1" applyFont="1" applyAlignment="1">
      <alignment vertical="center"/>
    </xf>
    <xf numFmtId="10" fontId="3" fillId="0" borderId="0" xfId="2" applyNumberFormat="1" applyFont="1" applyAlignment="1">
      <alignment vertical="center"/>
    </xf>
    <xf numFmtId="0" fontId="2" fillId="2" borderId="1" xfId="0" applyFont="1" applyFill="1" applyBorder="1" applyAlignment="1">
      <alignment horizontal="right" vertical="center" wrapText="1"/>
    </xf>
    <xf numFmtId="43" fontId="0" fillId="3" borderId="1" xfId="1" applyFont="1" applyFill="1" applyBorder="1" applyAlignment="1">
      <alignment horizontal="right" vertical="center" wrapText="1"/>
    </xf>
    <xf numFmtId="0" fontId="0" fillId="0" borderId="0" xfId="0" applyAlignment="1">
      <alignment horizontal="right"/>
    </xf>
    <xf numFmtId="0" fontId="0" fillId="3" borderId="11" xfId="0" applyFill="1" applyBorder="1" applyAlignment="1">
      <alignment vertical="center"/>
    </xf>
    <xf numFmtId="10" fontId="0" fillId="3" borderId="11" xfId="2" applyNumberFormat="1" applyFont="1" applyFill="1" applyBorder="1" applyAlignment="1">
      <alignment horizontal="right" vertical="center"/>
    </xf>
    <xf numFmtId="43" fontId="0" fillId="3" borderId="1" xfId="0" applyNumberFormat="1" applyFill="1" applyBorder="1" applyAlignment="1">
      <alignment horizontal="right" vertical="center"/>
    </xf>
    <xf numFmtId="0" fontId="0" fillId="0" borderId="12" xfId="0" applyBorder="1" applyAlignment="1">
      <alignment vertical="center"/>
    </xf>
    <xf numFmtId="43" fontId="0" fillId="0" borderId="12" xfId="0" applyNumberFormat="1" applyBorder="1" applyAlignment="1">
      <alignment horizontal="right" vertical="center"/>
    </xf>
    <xf numFmtId="43" fontId="0" fillId="0" borderId="11" xfId="0" applyNumberFormat="1" applyBorder="1"/>
    <xf numFmtId="43" fontId="0" fillId="0" borderId="1" xfId="0" applyNumberFormat="1" applyBorder="1"/>
    <xf numFmtId="43" fontId="0" fillId="0" borderId="12" xfId="0" applyNumberFormat="1" applyBorder="1"/>
    <xf numFmtId="10" fontId="1" fillId="0" borderId="0" xfId="2" applyNumberFormat="1" applyFont="1" applyAlignment="1">
      <alignment horizontal="right" vertical="center"/>
    </xf>
    <xf numFmtId="43" fontId="1" fillId="0" borderId="0" xfId="2" applyNumberFormat="1" applyFont="1" applyAlignment="1">
      <alignment horizontal="right" vertical="center"/>
    </xf>
    <xf numFmtId="43" fontId="3" fillId="0" borderId="0" xfId="2" applyNumberFormat="1" applyFont="1" applyAlignment="1">
      <alignment horizontal="right" vertical="center"/>
    </xf>
    <xf numFmtId="43" fontId="0" fillId="0" borderId="0" xfId="2" applyNumberFormat="1" applyFont="1" applyAlignment="1">
      <alignment horizontal="right" vertical="center"/>
    </xf>
    <xf numFmtId="0" fontId="3" fillId="0" borderId="0" xfId="0" applyFont="1" applyAlignment="1">
      <alignment vertical="center" wrapText="1"/>
    </xf>
    <xf numFmtId="0" fontId="3" fillId="0" borderId="0" xfId="0" applyFont="1" applyAlignment="1">
      <alignment horizontal="right" vertical="center" wrapText="1"/>
    </xf>
    <xf numFmtId="0" fontId="3" fillId="0" borderId="0" xfId="0" applyFont="1"/>
    <xf numFmtId="0" fontId="3" fillId="0" borderId="1" xfId="0" applyFont="1" applyBorder="1" applyAlignment="1">
      <alignment vertical="center"/>
    </xf>
    <xf numFmtId="43" fontId="3" fillId="0" borderId="1" xfId="1" applyFont="1" applyBorder="1" applyAlignment="1">
      <alignment horizontal="right" vertical="center"/>
    </xf>
    <xf numFmtId="0" fontId="0" fillId="0" borderId="0" xfId="0" applyNumberFormat="1" applyAlignment="1">
      <alignment horizontal="right" vertical="center"/>
    </xf>
    <xf numFmtId="0" fontId="2" fillId="4" borderId="0" xfId="0" applyFont="1" applyFill="1" applyAlignment="1">
      <alignment vertical="center"/>
    </xf>
    <xf numFmtId="0" fontId="2" fillId="4" borderId="0" xfId="0" applyNumberFormat="1" applyFont="1" applyFill="1" applyAlignment="1">
      <alignment horizontal="right" vertical="center"/>
    </xf>
    <xf numFmtId="0" fontId="0" fillId="0" borderId="0" xfId="0" applyBorder="1" applyAlignment="1">
      <alignment vertical="center"/>
    </xf>
    <xf numFmtId="0" fontId="2" fillId="0" borderId="0" xfId="0" applyNumberFormat="1" applyFont="1" applyFill="1" applyAlignment="1">
      <alignment horizontal="right" vertical="center"/>
    </xf>
    <xf numFmtId="10" fontId="0" fillId="0" borderId="0" xfId="2" applyNumberFormat="1" applyFont="1"/>
  </cellXfs>
  <cellStyles count="3">
    <cellStyle name="Comma" xfId="1" builtinId="3"/>
    <cellStyle name="Normal" xfId="0" builtinId="0"/>
    <cellStyle name="Percent" xfId="2" builtinId="5"/>
  </cellStyles>
  <dxfs count="333">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numFmt numFmtId="14" formatCode="0.00%"/>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left" vertical="center" textRotation="0" wrapText="0" indent="0" justifyLastLine="0" shrinkToFit="0" readingOrder="0"/>
    </dxf>
    <dxf>
      <alignment horizontal="right" vertical="center" textRotation="0" wrapText="0" indent="0" justifyLastLine="0" shrinkToFit="0" readingOrder="0"/>
    </dxf>
    <dxf>
      <fill>
        <patternFill patternType="solid">
          <fgColor indexed="64"/>
          <bgColor rgb="FF0070C0"/>
        </patternFill>
      </fill>
      <alignment horizontal="right"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font>
        <b/>
      </font>
      <fill>
        <patternFill patternType="solid">
          <fgColor indexed="64"/>
          <bgColor rgb="FF0070C0"/>
        </patternFill>
      </fill>
      <alignment horizontal="right" vertical="center" textRotation="0" wrapText="0" indent="0" justifyLastLine="0" shrinkToFit="0" readingOrder="0"/>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rgb="FF0070C0"/>
        </patternFill>
      </fill>
      <alignment horizontal="right" vertical="center" textRotation="0" wrapText="1" indent="0" justifyLastLine="0" shrinkToFit="0" readingOrder="0"/>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border>
    </dxf>
    <dxf>
      <alignment vertical="center" textRotation="0" wrapText="0" indent="0" justifyLastLine="0" shrinkToFit="0" readingOrder="0"/>
    </dxf>
    <dxf>
      <alignment vertical="center" textRotation="0" wrapText="0" indent="0" justifyLastLine="0" shrinkToFit="0" readingOrder="0"/>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dxf>
    <dxf>
      <alignment horizontal="righ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border>
    </dxf>
    <dxf>
      <alignment vertical="center" textRotation="0" wrapText="0" indent="0" justifyLastLine="0" shrinkToFit="0" readingOrder="0"/>
    </dxf>
    <dxf>
      <alignment vertical="center" textRotation="0" wrapText="0" indent="0" justifyLastLine="0" shrinkToFit="0" readingOrder="0"/>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dxf>
    <dxf>
      <alignment horizontal="righ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border>
    </dxf>
    <dxf>
      <alignment vertical="center" textRotation="0" wrapText="0" indent="0" justifyLastLine="0" shrinkToFit="0" readingOrder="0"/>
    </dxf>
    <dxf>
      <alignment vertical="center" textRotation="0" wrapText="0" indent="0" justifyLastLine="0" shrinkToFit="0" readingOrder="0"/>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numFmt numFmtId="35" formatCode="_ * #,##0.00_ ;_ * \-#,##0.00_ ;_ * &quot;-&quot;??_ ;_ @_ "/>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dxf>
    <dxf>
      <alignment horizontal="righ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bottom style="thin">
          <color indexed="64"/>
        </bottom>
      </border>
    </dxf>
    <dxf>
      <fill>
        <patternFill patternType="solid">
          <fgColor indexed="64"/>
          <bgColor rgb="FF0070C0"/>
        </patternFill>
      </fill>
      <alignment horizontal="center" vertical="center" textRotation="0" wrapText="0" indent="0" justifyLastLine="0" shrinkToFit="0" readingOrder="0"/>
      <border diagonalUp="0" diagonalDown="0" outline="0">
        <left/>
        <right/>
        <top/>
        <bottom/>
      </border>
    </dxf>
    <dxf>
      <numFmt numFmtId="35" formatCode="_ * #,##0.00_ ;_ * \-#,##0.00_ ;_ * &quot;-&quot;??_ ;_ @_ "/>
      <alignment horizontal="general"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bottom style="thin">
          <color indexed="64"/>
        </bottom>
      </border>
    </dxf>
    <dxf>
      <fill>
        <patternFill patternType="solid">
          <fgColor indexed="64"/>
          <bgColor rgb="FF0070C0"/>
        </patternFill>
      </fill>
      <alignment horizontal="center" vertical="center" textRotation="0" wrapText="0" indent="0" justifyLastLine="0" shrinkToFit="0" readingOrder="0"/>
      <border diagonalUp="0" diagonalDown="0" outline="0">
        <left/>
        <right/>
        <top/>
        <bottom/>
      </border>
    </dxf>
    <dxf>
      <numFmt numFmtId="35" formatCode="_ * #,##0.00_ ;_ * \-#,##0.00_ ;_ * &quot;-&quot;??_ ;_ @_ "/>
      <alignment horizontal="general"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bottom style="thin">
          <color indexed="64"/>
        </bottom>
      </border>
    </dxf>
    <dxf>
      <fill>
        <patternFill patternType="solid">
          <fgColor indexed="64"/>
          <bgColor rgb="FF0070C0"/>
        </patternFill>
      </fill>
      <alignment horizontal="center" vertical="center" textRotation="0" wrapText="0" indent="0" justifyLastLine="0" shrinkToFit="0" readingOrder="0"/>
      <border diagonalUp="0" diagonalDown="0" outline="0">
        <left/>
        <right/>
        <top/>
        <bottom/>
      </border>
    </dxf>
    <dxf>
      <numFmt numFmtId="35" formatCode="_ * #,##0.00_ ;_ * \-#,##0.00_ ;_ * &quot;-&quot;??_ ;_ @_ "/>
      <alignment horizontal="general"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bottom style="thin">
          <color indexed="64"/>
        </bottom>
      </border>
    </dxf>
    <dxf>
      <fill>
        <patternFill patternType="solid">
          <fgColor indexed="64"/>
          <bgColor rgb="FF0070C0"/>
        </patternFill>
      </fill>
      <alignment horizontal="center" vertical="center" textRotation="0" wrapText="0" indent="0" justifyLastLine="0" shrinkToFit="0" readingOrder="0"/>
      <border diagonalUp="0" diagonalDown="0" outline="0">
        <left/>
        <right/>
        <top/>
        <bottom/>
      </border>
    </dxf>
    <dxf>
      <numFmt numFmtId="35" formatCode="_ * #,##0.00_ ;_ * \-#,##0.00_ ;_ * &quot;-&quot;??_ ;_ @_ "/>
      <alignment horizontal="general"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bottom style="thin">
          <color indexed="64"/>
        </bottom>
      </border>
    </dxf>
    <dxf>
      <fill>
        <patternFill patternType="solid">
          <fgColor indexed="64"/>
          <bgColor rgb="FF0070C0"/>
        </patternFill>
      </fill>
      <alignment horizontal="center" vertical="center" textRotation="0" wrapText="0" indent="0" justifyLastLine="0" shrinkToFit="0" readingOrder="0"/>
      <border diagonalUp="0" diagonalDown="0" outline="0">
        <left/>
        <right/>
        <top/>
        <bottom/>
      </border>
    </dxf>
    <dxf>
      <numFmt numFmtId="35" formatCode="_ * #,##0.00_ ;_ * \-#,##0.00_ ;_ * &quot;-&quot;??_ ;_ @_ "/>
      <alignment horizontal="general"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 #,##0.00_ ;_ * \-#,##0.00_ ;_ * &quot;-&quot;??_ ;_ @_ "/>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bottom style="thin">
          <color indexed="64"/>
        </bottom>
      </border>
    </dxf>
    <dxf>
      <fill>
        <patternFill patternType="solid">
          <fgColor indexed="64"/>
          <bgColor rgb="FF0070C0"/>
        </patternFill>
      </fill>
      <alignment horizontal="center" vertical="center" textRotation="0" wrapText="0" indent="0" justifyLastLine="0" shrinkToFit="0" readingOrder="0"/>
      <border diagonalUp="0" diagonalDown="0" outline="0">
        <left/>
        <right/>
        <top/>
        <bottom/>
      </border>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ichStyles" Target="richData/richStyles.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Structure" Target="richData/rdrichvaluestructure.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06/relationships/rdRichValue" Target="richData/rdrichvalue.xml"/><Relationship Id="rId5" Type="http://schemas.openxmlformats.org/officeDocument/2006/relationships/worksheet" Target="worksheets/sheet5.xml"/><Relationship Id="rId15" Type="http://schemas.microsoft.com/office/2017/06/relationships/rdSupportingPropertyBag" Target="richData/rdsupportingpropertybag.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SupportingPropertyBagStructure" Target="richData/rdsupportingpropertybagstructure.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69">
  <rv s="0">
    <v>https://www.bing.com/financeapi/forcetrigger?t=a1ythw&amp;q=XNYS%3aNUE&amp;form=skydnc</v>
    <v>Learn more on Bing</v>
  </rv>
  <rv s="1">
    <v>en-IN</v>
    <v>a1ythw</v>
    <v>268435456</v>
    <v>1</v>
    <v>Powered by Refinitiv</v>
    <v>0</v>
    <v>NUCOR CORPORATION (XNYS:NUE)</v>
    <v>2</v>
    <v>3</v>
    <v>Finance</v>
    <v>4</v>
    <v>158.47999999999999</v>
    <v>97.59</v>
    <v>1.8567</v>
    <v>7.0000000000000007E-2</v>
    <v>9.4229999999999997E-4</v>
    <v>4.7129999999999996E-4</v>
    <v>0.14000000000000001</v>
    <v>USD</v>
    <v>Nucor Corporation is a manufacturer of steel and steel products, with operating facilities in the United States, Canada and Mexico. The Company also produces and procures ferrous and non-ferrous materials primarily for use in its steel manufacturing business. Its segments include steel mills, steel products and raw materials. Its products include carbon and alloy steel in bars, beams, sheet and plate; hollow structural section tubing; electrical conduit; steel racking; steel piling; steel joists and joist girders; steel deck; fabricated concrete reinforcing steel; cold finished steel; precision castings; steel fasteners; metal building systems; insulated metal panels; overhead doors; steel grating; wire and wire mesh; and utility structures. The Company, through The David J. Joseph Company and its affiliates, also brokers ferrous and nonferrous metals, pig iron and hot briquetted iron / direct reduced iron; supplies ferro-alloys; and processes ferrous and nonferrous scrap.</v>
    <v>32700</v>
    <v>New York Stock Exchange</v>
    <v>XNYS</v>
    <v>XNYS</v>
    <v>1915 REXFORD RD, CHARLOTTE, NC, 28211 US</v>
    <v>150.25989999999999</v>
    <v>Metals &amp; Mining</v>
    <v>Stock</v>
    <v>45980.933248321096</v>
    <v>0</v>
    <v>147.02000000000001</v>
    <v>34003825646</v>
    <v>NUCOR CORPORATION</v>
    <v>NUCOR CORPORATION</v>
    <v>149.16999999999999</v>
    <v>20.8826</v>
    <v>148.51</v>
    <v>148.58000000000001</v>
    <v>148.72</v>
    <v>228858700</v>
    <v>NUE</v>
    <v>NUCOR CORPORATION (XNYS:NUE)</v>
    <v>981444</v>
    <v>1607469</v>
    <v>1958</v>
  </rv>
  <rv s="2">
    <v>1</v>
  </rv>
  <rv s="0">
    <v>https://www.bing.com/financeapi/forcetrigger?t=a1sp52&amp;q=XNYS%3aFCX&amp;form=skydnc</v>
    <v>Learn more on Bing</v>
  </rv>
  <rv s="1">
    <v>en-IN</v>
    <v>a1sp52</v>
    <v>268435456</v>
    <v>1</v>
    <v>Powered by Refinitiv</v>
    <v>0</v>
    <v>FREEPORT-MCMORAN INC. (XNYS:FCX)</v>
    <v>2</v>
    <v>3</v>
    <v>Finance</v>
    <v>5</v>
    <v>49.12</v>
    <v>27.66</v>
    <v>1.4877</v>
    <v>1.24</v>
    <v>6.5449999999999996E-3</v>
    <v>3.1E-2</v>
    <v>0.27</v>
    <v>USD</v>
    <v>Freeport-McMoRan Inc. is an international metals company focused on copper. The Company operates geographically diverse assets with significant proven and probable mineral reserves of copper, gold and molybdenum. The Company's segments include the Morenci and Cerro Verde copper mines, the Indonesia operations (including the Grasberg minerals district and PT-FI’s downstream processing facilities), the Rod &amp; Refining operations and Atlantic Copper Smelting &amp; Refining. Its operations include North America, South America and Indonesia. In North America, it manages seven copper operations: Morenci, Bagdad, Safford (including Lone Star), Sierrita and Miami in Arizona, and Chino and Tyrone in New Mexico, and two molybdenum mines: Henderson and Climax in Colorado. It also operates a copper smelter in Miami, Arizona. In South America, it manages two copper operations: Cerro Verde in Peru and El Abra in Chile. In addition to copper, the Grasberg minerals district also produces gold and silver.</v>
    <v>28500</v>
    <v>New York Stock Exchange</v>
    <v>XNYS</v>
    <v>XNYS</v>
    <v>333 N Central Ave, PHOENIX, AZ, 85004 US</v>
    <v>42.215000000000003</v>
    <v>Metals &amp; Mining</v>
    <v>Stock</v>
    <v>45980.943741157032</v>
    <v>3</v>
    <v>40.770000000000003</v>
    <v>59217794440</v>
    <v>FREEPORT-MCMORAN INC.</v>
    <v>FREEPORT-MCMORAN INC.</v>
    <v>40.909999999999997</v>
    <v>28.7287</v>
    <v>40</v>
    <v>41.24</v>
    <v>41.52</v>
    <v>1435931000</v>
    <v>FCX</v>
    <v>FREEPORT-MCMORAN INC. (XNYS:FCX)</v>
    <v>19856020</v>
    <v>14551647</v>
    <v>1987</v>
  </rv>
  <rv s="2">
    <v>4</v>
  </rv>
  <rv s="0">
    <v>https://www.bing.com/financeapi/forcetrigger?t=a1mnur&amp;q=XNYS%3aAA&amp;form=skydnc</v>
    <v>Learn more on Bing</v>
  </rv>
  <rv s="1">
    <v>en-IN</v>
    <v>a1mnur</v>
    <v>268435456</v>
    <v>1</v>
    <v>Powered by Refinitiv</v>
    <v>0</v>
    <v>ALCOA CORPORATION (XNYS:AA)</v>
    <v>2</v>
    <v>3</v>
    <v>Finance</v>
    <v>5</v>
    <v>47.77</v>
    <v>21.53</v>
    <v>1.9931000000000001</v>
    <v>0.17</v>
    <v>6.3239999999999998E-3</v>
    <v>4.6509999999999998E-3</v>
    <v>0.23219999999999999</v>
    <v>USD</v>
    <v>Alcoa Corporation is a vertically integrated aluminum company comprised of bauxite mining, alumina refining, aluminum production (smelting and casting), and energy generation. The Company’s operations are comprised of two business segments: Alumina and Aluminum. The Alumina segment primarily consists of its bauxite mines and alumina refineries, which generally include the mining of bauxite and other aluminous ores, as well as the refining, production, and sale of smelter grade and non-metallurgical alumina. The alumina produced by this segment is sold to internal and external aluminum smelter customers; a portion of the alumina is sold to external customers who process it into industrial chemical products. The Aluminum segment consists of the Company’s aluminum smelting and casting operations along with the Company’s energy production assets in Brazil, Canada, and the United States. It has direct and indirect ownership of 26 operating locations across nine countries on six continents.</v>
    <v>13900</v>
    <v>New York Stock Exchange</v>
    <v>XNYS</v>
    <v>XNYS</v>
    <v>201 Isabella Street, Suite 500, PITTSBURGH, PA, 15212 US</v>
    <v>37.159999999999997</v>
    <v>Metals &amp; Mining</v>
    <v>Stock</v>
    <v>45980.943578414066</v>
    <v>6</v>
    <v>36.229999999999997</v>
    <v>9509158080</v>
    <v>ALCOA CORPORATION</v>
    <v>ALCOA CORPORATION</v>
    <v>36.520000000000003</v>
    <v>8.3651999999999997</v>
    <v>36.549999999999997</v>
    <v>36.72</v>
    <v>36.952199999999998</v>
    <v>258964000</v>
    <v>AA</v>
    <v>ALCOA CORPORATION (XNYS:AA)</v>
    <v>4074886</v>
    <v>7269669</v>
    <v>2016</v>
  </rv>
  <rv s="2">
    <v>7</v>
  </rv>
  <rv s="0">
    <v>https://www.bing.com/financeapi/forcetrigger?t=a21xm7&amp;q=XNAS%3aRFIL&amp;form=skydnc</v>
    <v>Learn more on Bing</v>
  </rv>
  <rv s="1">
    <v>en-IN</v>
    <v>a21xm7</v>
    <v>268435456</v>
    <v>1</v>
    <v>Powered by Refinitiv</v>
    <v>0</v>
    <v>RF INDUSTRIES, LTD. (XNAS:RFIL)</v>
    <v>2</v>
    <v>3</v>
    <v>Finance</v>
    <v>4</v>
    <v>9.5604999999999993</v>
    <v>3.39</v>
    <v>0.99099999999999999</v>
    <v>-0.23</v>
    <v>0</v>
    <v>-3.6392000000000001E-2</v>
    <v>0</v>
    <v>USD</v>
    <v>RF Industries, Ltd. is a manufacturer and marketer of interconnect products and systems. The Company’s segments include RF Connector and Cable Assembly (RF Connector) and Custom Cabling Manufacturing and Assembly (Custom Cabling). The RF Connector segment designs, manufactures, markets and distributes a range of RF connector, adapter, coupler, divider, and cable products, including coaxial passives and cable assemblies that are used in telecommunications and information technology, original equipment manufacturers markets and other end markets. The Custom Cabling segment designs, manufactures, markets and distributes custom copper and fiber cable assemblies, complex hybrid fiber optic and power solution cables, electromechanical wiring harnesses, wiring harnesses for a range of applications in a diverse set of end markets, energy-efficient cooling systems for wireless base stations and remote equipment shelters and custom designed, pole-ready 5G small cell integrated enclosures.</v>
    <v>302</v>
    <v>Nasdaq Stock Market</v>
    <v>XNAS</v>
    <v>XNAS</v>
    <v>16868 Via Del Campo Court, Suite 200, SAN DIEGO, CA, 92127 US</v>
    <v>6.42</v>
    <v>Machinery, Equipment &amp; Components</v>
    <v>Stock</v>
    <v>45980.881995207812</v>
    <v>9</v>
    <v>6.06</v>
    <v>64964770</v>
    <v>RF INDUSTRIES, LTD.</v>
    <v>RF INDUSTRIES, LTD.</v>
    <v>6.3</v>
    <v>0</v>
    <v>6.32</v>
    <v>6.09</v>
    <v>6.09</v>
    <v>10667450</v>
    <v>RFIL</v>
    <v>RF INDUSTRIES, LTD. (XNAS:RFIL)</v>
    <v>43286</v>
    <v>82633</v>
    <v>1979</v>
  </rv>
  <rv s="2">
    <v>10</v>
  </rv>
  <rv s="0">
    <v>https://www.bing.com/financeapi/forcetrigger?t=bpifbh&amp;q=XNYS%3aDOW&amp;form=skydnc</v>
    <v>Learn more on Bing</v>
  </rv>
  <rv s="3">
    <v>en-IN</v>
    <v>bpifbh</v>
    <v>268435456</v>
    <v>1</v>
    <v>Powered by Refinitiv</v>
    <v>6</v>
    <v>Dow Inc. (XNYS:DOW)</v>
    <v>2</v>
    <v>7</v>
    <v>Finance</v>
    <v>5</v>
    <v>46.3508</v>
    <v>20.401900000000001</v>
    <v>0.79979999999999996</v>
    <v>-0.53500000000000003</v>
    <v>1.877E-3</v>
    <v>-2.4485E-2</v>
    <v>0.04</v>
    <v>USD</v>
    <v>Dow Inc. serves as a holding company for The Dow Chemical Company and its subsidiaries. The Company conducts its operations through six global businesses, which are organized into segments, such as Packaging &amp; Specialty Plastics, Industrial Intermediates &amp; Infrastructure and Performance Materials &amp; Coatings. Packaging &amp; Specialty Plastics segment consists of two integrated global businesses: Hydrocarbons &amp; Energy and Packaging and Specialty Plastics. This segment employs a polyolefin product portfolio. Industrial Intermediates &amp; Infrastructure segment consists of two customer-centric global businesses: Industrial Solutions and Polyurethanes &amp; Construction Chemicals that develop intermediate chemicals that are essential to manufacturing processes, as well as downstream, customized materials and formulations that use advanced development technologies. Performance Materials &amp; Coatings segment consists of two global businesses: Coatings &amp; Performance Monomers and Consumer Solutions.</v>
    <v>36000</v>
    <v>New York Stock Exchange</v>
    <v>XNYS</v>
    <v>XNYS</v>
    <v>2211 H.H. Dow Way, MIDLAND, MI, 48674 US</v>
    <v>21.984999999999999</v>
    <v>Chemicals</v>
    <v>Stock</v>
    <v>45980.943773182815</v>
    <v>12</v>
    <v>21.16</v>
    <v>15150007131</v>
    <v>Dow Inc.</v>
    <v>Dow Inc.</v>
    <v>21.88</v>
    <v>21.85</v>
    <v>21.315000000000001</v>
    <v>21.35</v>
    <v>710767400</v>
    <v>DOW</v>
    <v>Dow Inc. (XNYS:DOW)</v>
    <v>13030776</v>
    <v>13381734</v>
    <v>2018</v>
  </rv>
  <rv s="2">
    <v>13</v>
  </rv>
  <rv s="0">
    <v>https://www.bing.com/financeapi/forcetrigger?t=a1yeec&amp;q=XNYS%3aNEM&amp;form=skydnc</v>
    <v>Learn more on Bing</v>
  </rv>
  <rv s="1">
    <v>en-IN</v>
    <v>a1yeec</v>
    <v>268435456</v>
    <v>1</v>
    <v>Powered by Refinitiv</v>
    <v>0</v>
    <v>NEWMONT CORPORATION (XNYS:NEM)</v>
    <v>2</v>
    <v>3</v>
    <v>Finance</v>
    <v>5</v>
    <v>98.578000000000003</v>
    <v>36.86</v>
    <v>0.41749999999999998</v>
    <v>0.82</v>
    <v>2.8570000000000002E-3</v>
    <v>9.469E-3</v>
    <v>0.25</v>
    <v>USD</v>
    <v>Newmont Corporation is a gold company and a producer of copper, zinc, lead, and silver with operations and/or assets in the Africa, Australia, Latin America &amp; Caribbean, North America, and Papua New Guinea regions. The Company's operations include Brucejack, Red Chris, Penasquito, Merian, Cerro Negro, Yanacocha, Boddington, Tanami, Cadia, Lihir, Ahafo, and NGM. The Brucejack operation includes four mining leases and six core mineral claims which cover 8,169 acres (3,306 hectares) and 337 mineral claims covering 298,795 acres (120,918 hectares). The Red Chris operation includes five mining leases which cover 12,703 acres and 199 mineral claims, encompassing an area of 164,903 acres (66,734 hectares). Penasquito includes 20 mining concessions for operations comprising 113,231 acres (45,823 hectares) and 60 mining concessions for exploration of 107,456 acres (43,486 hectares). The Merian operation includes one right of exploitation encompassing an area of 41,687 acres (16,870 hectares).</v>
    <v>22200</v>
    <v>New York Stock Exchange</v>
    <v>XNYS</v>
    <v>XNYS</v>
    <v>6900 E Layton Avenue, Suite 700, DENVER, CO, 80237 US</v>
    <v>89.27</v>
    <v>Metals &amp; Mining</v>
    <v>Stock</v>
    <v>45980.943094652343</v>
    <v>15</v>
    <v>86.935000000000002</v>
    <v>95398211460</v>
    <v>NEWMONT CORPORATION</v>
    <v>NEWMONT CORPORATION</v>
    <v>88.28</v>
    <v>13.457599999999999</v>
    <v>86.6</v>
    <v>87.42</v>
    <v>87.76</v>
    <v>1091263000</v>
    <v>NEM</v>
    <v>NEWMONT CORPORATION (XNYS:NEM)</v>
    <v>6995515</v>
    <v>12009695</v>
    <v>2001</v>
  </rv>
  <rv s="2">
    <v>16</v>
  </rv>
  <rv s="0">
    <v>https://www.bing.com/financeapi/forcetrigger?t=r6dwra&amp;q=US10Y&amp;form=skydnc</v>
    <v>Learn more on Bing</v>
  </rv>
  <rv s="4">
    <v>en-IN</v>
    <v>r6dwra</v>
    <v>268435456</v>
    <v>1</v>
    <v>Powered by Refinitiv</v>
    <v>8</v>
    <v>US Treasury 10Y</v>
    <v>9</v>
    <v>10</v>
    <v>Finance</v>
    <v>11</v>
    <v>1.7600000000000001E-2</v>
    <v>4.2709999999999996E-3</v>
    <v>US</v>
    <v>USD</v>
    <v>Bond</v>
    <v>45980.920127314814</v>
    <v>18</v>
    <v>49628</v>
    <v>US Treasury 10Y</v>
    <v>4.1210000000000004</v>
    <v>4.1386000000000003</v>
    <v>US10Y</v>
    <v>US Treasury 10Y</v>
    <v>4.0106999999999997E-2</v>
    <v>4.1100000000000005E-2</v>
    <v>4.4158000000000003E-2</v>
    <v>4.1329999999999999E-2</v>
  </rv>
  <rv s="2">
    <v>19</v>
  </rv>
  <rv s="0">
    <v>https://www.bing.com/financeapi/forcetrigger?t=a23p6h&amp;q=XNAS%3aSTLD&amp;form=skydnc</v>
    <v>Learn more on Bing</v>
  </rv>
  <rv s="1">
    <v>en-IN</v>
    <v>a23p6h</v>
    <v>268435456</v>
    <v>1</v>
    <v>Powered by Refinitiv</v>
    <v>0</v>
    <v>STEEL DYNAMICS, INC. (XNAS:STLD)</v>
    <v>2</v>
    <v>3</v>
    <v>Finance</v>
    <v>5</v>
    <v>164.72980000000001</v>
    <v>103.17</v>
    <v>1.4735</v>
    <v>0.85</v>
    <v>9.9059999999999999E-3</v>
    <v>5.4979999999999994E-3</v>
    <v>1.54</v>
    <v>USD</v>
    <v>Steel Dynamics, Inc. is an industrial metals solutions company. Its Steel Operations segment consists of its EAF steel mills, producing steel from ferrous scrap and scrap substitutes, utilizing continuous casting and automated rolling mills, and numerous steel coating, processing lines and warehouse operations. Its Metals Recycling Operations segment includes its OmniSource ferrous and nonferrous processing, transportation, marketing, brokerage, and scrap management services primarily throughout the United States and in Central and Northern Mexico. Its Steel Fabrication Operations segment includes its New Millennium Building Systems’ joist and deck plants located throughout the United States, and in Northern Mexico. Its Aluminum Operations segment includes the recycled aluminum flat rolled products mill being constructed in Columbus, Mississippi, and two satellite recycled aluminum slab centers in the southwest United States and Central Mexico.</v>
    <v>13000</v>
    <v>Nasdaq Stock Market</v>
    <v>XNAS</v>
    <v>XNAS</v>
    <v>7575 W JEFFERSON BLVD, FORT WAYNE, IN, 46804 US</v>
    <v>156.36000000000001</v>
    <v>Metals &amp; Mining</v>
    <v>Stock</v>
    <v>45980.939735832813</v>
    <v>21</v>
    <v>153.36000000000001</v>
    <v>22702585554</v>
    <v>STEEL DYNAMICS, INC.</v>
    <v>STEEL DYNAMICS, INC.</v>
    <v>155</v>
    <v>20.5136</v>
    <v>154.61000000000001</v>
    <v>155.46</v>
    <v>157</v>
    <v>146034900</v>
    <v>STLD</v>
    <v>STEEL DYNAMICS, INC. (XNAS:STLD)</v>
    <v>872967</v>
    <v>1327985</v>
    <v>1994</v>
  </rv>
  <rv s="2">
    <v>22</v>
  </rv>
  <rv s="0">
    <v>https://www.bing.com/financeapi/forcetrigger?t=a1pwf2&amp;q=XNYS%3aCMC&amp;form=skydnc</v>
    <v>Learn more on Bing</v>
  </rv>
  <rv s="1">
    <v>en-IN</v>
    <v>a1pwf2</v>
    <v>268435456</v>
    <v>1</v>
    <v>Powered by Refinitiv</v>
    <v>0</v>
    <v>COMMERCIAL METALS COMPANY (XNYS:CMC)</v>
    <v>2</v>
    <v>3</v>
    <v>Finance</v>
    <v>4</v>
    <v>64.53</v>
    <v>37.92</v>
    <v>1.498</v>
    <v>-0.21</v>
    <v>1.4397E-2</v>
    <v>-3.6289999999999998E-3</v>
    <v>0.83</v>
    <v>USD</v>
    <v>Commercial Metals Company is engaged in offering products and technologies to meet the critical reinforcement needs of the global construction sector. The Company’s solutions support construction across a wide variety of applications, including infrastructure, non-residential, residential, industrial, and energy generation, and transmission. Its segments include North America Steel Group, Europe Steel Group and the Emerging Businesses Group. The North America Steel Group segment provides a diverse offering of products and solutions to support the construction sector. The Europe Steel Group segment is composed of a vertically integrated network of recycling facilities, an EAF mini mill and fabrication operations located in Poland. The Emerging Businesses Group segment's portfolio consists of its construction services products, Tensar products and solutions and its impact metals, and performance reinforcing steel products.</v>
    <v>12690</v>
    <v>New York Stock Exchange</v>
    <v>XNYS</v>
    <v>XNYS</v>
    <v>6565 N. Macarthur Blvd., Suite 800, P O Box 1046, IRVING, TX, 75039 US</v>
    <v>58.87</v>
    <v>Metals &amp; Mining</v>
    <v>Stock</v>
    <v>45980.915476399998</v>
    <v>24</v>
    <v>57.13</v>
    <v>6397310965</v>
    <v>COMMERCIAL METALS COMPANY</v>
    <v>COMMERCIAL METALS COMPANY</v>
    <v>58.05</v>
    <v>79.858699999999999</v>
    <v>57.86</v>
    <v>57.65</v>
    <v>58.48</v>
    <v>110968100</v>
    <v>CMC</v>
    <v>COMMERCIAL METALS COMPANY (XNYS:CMC)</v>
    <v>723593</v>
    <v>1406824</v>
    <v>1946</v>
  </rv>
  <rv s="2">
    <v>25</v>
  </rv>
  <rv s="0">
    <v>https://www.bing.com/financeapi/forcetrigger?t=a1y1tc&amp;q=XNYS%3aMT&amp;form=skydnc</v>
    <v>Learn more on Bing</v>
  </rv>
  <rv s="1">
    <v>en-IN</v>
    <v>a1y1tc</v>
    <v>268435456</v>
    <v>1</v>
    <v>Powered by Refinitiv</v>
    <v>0</v>
    <v>ArcelorMittal SA (XNYS:MT)</v>
    <v>2</v>
    <v>3</v>
    <v>Finance</v>
    <v>4</v>
    <v>41.28</v>
    <v>21.59</v>
    <v>1.5548999999999999</v>
    <v>1.06</v>
    <v>9.9109999999999997E-4</v>
    <v>2.6971999999999999E-2</v>
    <v>0.04</v>
    <v>USD</v>
    <v>ArcelorMittal SA is a Luxembourg-based holding company. The Company, via its subsidiaries, owns and operates steel, iron ore manufacturing and coal mining facilities in Europe, North and South America, Asia, and Africa. The Company is organized in five operating segments: NAFTA; Brazil; Europe; Africa and Commonwealth of Independent States (ACIS), and Mining. The NAFTA, Brazil, Europe, and ACIS segments produce flat, long, and tubular products including slabs, hot-rolled coil, cold-rolled coil, coated steel products, among others. The Mining segment provides steel operations and comprises all mines owned by the Company in the Americas, Europe, Africa, and countries of the Commonwealth of Independent States (CIS).</v>
    <v>125416</v>
    <v>New York Stock Exchange</v>
    <v>XNYS</v>
    <v>XNYS</v>
    <v>24-26 Boulevard d'Avranches, LUXEMBOURG, 1160 LU</v>
    <v>40.54</v>
    <v>Metals &amp; Mining</v>
    <v>Stock</v>
    <v>45980.917530161722</v>
    <v>27</v>
    <v>39.96</v>
    <v>33516970000</v>
    <v>ArcelorMittal SA</v>
    <v>ArcelorMittal SA</v>
    <v>40.22</v>
    <v>11.9589</v>
    <v>39.299999999999997</v>
    <v>40.36</v>
    <v>40.4</v>
    <v>852809800</v>
    <v>MT</v>
    <v>ArcelorMittal SA (XNYS:MT)</v>
    <v>911946</v>
    <v>1213989</v>
    <v>2001</v>
  </rv>
  <rv s="2">
    <v>28</v>
  </rv>
  <rv s="0">
    <v>https://www.bing.com/financeapi/forcetrigger?t=a1ttec&amp;q=XNYS%3aGGB&amp;form=skydnc</v>
    <v>Learn more on Bing</v>
  </rv>
  <rv s="3">
    <v>en-IN</v>
    <v>a1ttec</v>
    <v>268435456</v>
    <v>1</v>
    <v>Powered by Refinitiv</v>
    <v>6</v>
    <v>Gerdau SA (XNYS:GGB)</v>
    <v>2</v>
    <v>7</v>
    <v>Finance</v>
    <v>4</v>
    <v>3.66</v>
    <v>2.27</v>
    <v>1.4507000000000001</v>
    <v>-0.02</v>
    <v>0</v>
    <v>-5.7469999999999995E-3</v>
    <v>0</v>
    <v>USD</v>
    <v>Gerdau SA is a Brazil-based manufacturer of steel products. The Company is engaged in the production and commercialization of steel products in general, through its mills located in Argentina, Brazil, Canada, Colombia, the United States, Mexico, Peru, the Dominican Republic, Uruguay and Venezuela. The Firm’s product portfolio includes crude steel; finished products for the construction industry, such as rebar, wire-rods, structural shapes, hot-rolled coils and heavy plates; finished industrial products, such as commercial rolled-steel bars, light profiles and wires; agricultural products, such as stakes, smooth wire and barbed-wire; and special steel items. The Company’s activities include also operations of iron ore mines located in the state of Minas Gerais.</v>
    <v>25557</v>
    <v>New York Stock Exchange</v>
    <v>XNYS</v>
    <v>XNYS</v>
    <v>Avenida Doutora Ruth Cardoso, 8.501, 8 andar, Pinheiros, SAO PAULO, SAO PAULO, 05.425-070 BR</v>
    <v>3.54</v>
    <v>Metals &amp; Mining</v>
    <v>Stock</v>
    <v>45980.888991527347</v>
    <v>30</v>
    <v>3.45</v>
    <v>6674801000</v>
    <v>Gerdau SA</v>
    <v>Gerdau SA</v>
    <v>3.48</v>
    <v>3.48</v>
    <v>3.46</v>
    <v>3.46</v>
    <v>2000880000</v>
    <v>GGB</v>
    <v>Gerdau SA (XNYS:GGB)</v>
    <v>13263856</v>
    <v>19780073</v>
    <v>1961</v>
  </rv>
  <rv s="2">
    <v>31</v>
  </rv>
  <rv s="0">
    <v>https://www.bing.com/financeapi/forcetrigger?t=ahkaa2&amp;q=XNSE%3aTATASTEEL&amp;form=skydnc</v>
    <v>Learn more on Bing</v>
  </rv>
  <rv s="5">
    <v>en-IN</v>
    <v>ahkaa2</v>
    <v>268435456</v>
    <v>1</v>
    <v>Powered by Refinitiv</v>
    <v>12</v>
    <v>TATA STEEL LIMITED (XNSE:TATASTEEL)</v>
    <v>2</v>
    <v>13</v>
    <v>Finance</v>
    <v>14</v>
    <v>186.94</v>
    <v>122.62</v>
    <v>1.2297</v>
    <v>0.76</v>
    <v>4.4069999999999995E-3</v>
    <v>INR</v>
    <v>Tata Steel Limited is an India-based global steel company with an annual crude steel capacity of approximately 35 million tons per annum. The Company is primarily engaged in the business of manufacturing and distribution of steel products across the globe. The Company and its subsidiaries have a presence across the value chain of steel manufacturing, from mining and processing iron ore and coal to producing and distributing finished products. Its products include cold rolled (Non-branded), BP sheets, Galvano, HR commercial, hot rolled pickled and oiled and hot rolled skin passed pickled and oiled, high tensile steel strapping, pre-engineered buildings, projects/ tenders, construction and projects, and full hard cold rolled. The Company's brands include MagiZinc, Ymagine, Ympress, Contiflo, Strongbox, SAB Profil, Fischer Profil, Montana, Advantica, Fischertherm, Fischerfireproof, Montanatherm, Montapanel, Swiss Panel, Holorib, Serica, MagiZinc Auto, HyperForm, HILUMIN and Colorcoat.</v>
    <v>115788</v>
    <v>National Stock Exchange of India</v>
    <v>XNSE</v>
    <v>XNSE</v>
    <v>Bombay House, 24, Homi Modi Street, MUMBAI, MAHARASHTRA, 400001 IN</v>
    <v>173.9</v>
    <v>Metals &amp; Mining</v>
    <v>Stock</v>
    <v>45980.492893518516</v>
    <v>33</v>
    <v>172.06</v>
    <v>2152785000000</v>
    <v>TATA STEEL LIMITED</v>
    <v>TATA STEEL LIMITED</v>
    <v>172.45</v>
    <v>31.57</v>
    <v>172.45</v>
    <v>173.21</v>
    <v>12485450000</v>
    <v>TATASTEEL</v>
    <v>TATA STEEL LIMITED (XNSE:TATASTEEL)</v>
    <v>19621610</v>
    <v>29601140</v>
    <v>1907</v>
  </rv>
  <rv s="2">
    <v>34</v>
  </rv>
  <rv s="0">
    <v>https://www.bing.com/financeapi/forcetrigger?t=ahherw&amp;q=XNSE%3aCOALINDIA&amp;form=skydnc</v>
    <v>Learn more on Bing</v>
  </rv>
  <rv s="5">
    <v>en-IN</v>
    <v>ahherw</v>
    <v>268435456</v>
    <v>1</v>
    <v>Powered by Refinitiv</v>
    <v>12</v>
    <v>COAL INDIA LTD (XNSE:COALINDIA)</v>
    <v>2</v>
    <v>13</v>
    <v>Finance</v>
    <v>14</v>
    <v>427.45</v>
    <v>349.25</v>
    <v>1.0482</v>
    <v>-4.9000000000000004</v>
    <v>-1.2762000000000001E-2</v>
    <v>INR</v>
    <v>Coal India Ltd. is an India-based coal mining company. The Company along with its subsidiaries, is primarily engaged in the mining and production of coal. It operates approximately 310 working mines, consisting of 129 underground, 168 opencast, and 13 mixed mines. Its products and services include Coking Coal, Semi Coking Coal, Non-Coking Coal, Washed and Beneficiated Coal, Middlings, CIL Coke / LTC Coke, Coal Fines / Coke Fines, and others. It has over 21 training Institutes and 76 Vocational Training Centers. The Company operates the Indian Institute of Coal Management (IICM), which is a corporate training institute in India. IICM conducts multi-disciplinary programs. Its subsidiaries include Eastern Coalfields Limited (ECL), Bharat Coking Coal Limited (BCCL), Central Coalfields Limited (CCL), Western Coalfields Limited (WCL), South Eastern Coalfields Limited (SECL), Northern Coalfields Limited (NCL), Mahanadi Coalfields Limited (MCL), CIL Navikarniya Urja Limited (CNUL), and others.</v>
    <v>220272</v>
    <v>National Stock Exchange of India</v>
    <v>XNSE</v>
    <v>XNSE</v>
    <v>Coal Bhawan, Premise No-04 MAR,, Plot No-AF-III,Action Area-1A,, Newtown,Rajarhat, KOLKATA, WEST BENGAL, 700156 IN</v>
    <v>383.85</v>
    <v>Coal</v>
    <v>Stock</v>
    <v>45980.49287037037</v>
    <v>36</v>
    <v>378.45</v>
    <v>2366180000000</v>
    <v>COAL INDIA LTD</v>
    <v>COAL INDIA LTD</v>
    <v>383.1</v>
    <v>7.58</v>
    <v>383.95</v>
    <v>379.05</v>
    <v>6162729000</v>
    <v>COALINDIA</v>
    <v>COAL INDIA LTD (XNSE:COALINDIA)</v>
    <v>5332643</v>
    <v>4946390</v>
    <v>1973</v>
  </rv>
  <rv s="2">
    <v>37</v>
  </rv>
  <rv s="0">
    <v>https://www.bing.com/financeapi/forcetrigger?t=a22ktc&amp;q=XNYS%3aSCCO&amp;form=skydnc</v>
    <v>Learn more on Bing</v>
  </rv>
  <rv s="1">
    <v>en-IN</v>
    <v>a22ktc</v>
    <v>268435456</v>
    <v>1</v>
    <v>Powered by Refinitiv</v>
    <v>0</v>
    <v>SOUTHERN COPPER CORPORATION (XNYS:SCCO)</v>
    <v>2</v>
    <v>3</v>
    <v>Finance</v>
    <v>5</v>
    <v>143.58949999999999</v>
    <v>72.747</v>
    <v>1.1044</v>
    <v>1.1599999999999999</v>
    <v>-3.0309999999999998E-3</v>
    <v>9.3439999999999999E-3</v>
    <v>-0.38</v>
    <v>USD</v>
    <v>Southern Copper Corporation is an integrated copper producer. The Company is engaged in the production of copper, molybdenum, silver, and zinc. The Company’s mining, smelting and refining facilities are located in Peru and Mexico and conducts exploration activities in those countries and in Argentina, Chile and Ecuador. Its segments include the Peruvian operations, Mexican open-pit operations and Mexican underground mining operations. Its Peruvian operations include the Toquepala and Cuajone mine complexes and smelting and refining plants, including a precious metals plant, industrial railroad and port facilities. Its Mexican open-pit operations include the La Caridad and Buenavista mine complexes and the smelting and refining plants, including a precious metals plant and a copper rod plant and support facilities that service both mines. Its Mexican underground mining operations include five underground mines that produce zinc, copper, lead, silver and gold, and a zinc refinery.</v>
    <v>16133</v>
    <v>New York Stock Exchange</v>
    <v>XNYS</v>
    <v>XNYS</v>
    <v>7310 NORTH 16TH ST., SUITE 135, PHOENIX, AZ, 85020 US</v>
    <v>127.69</v>
    <v>Metals &amp; Mining</v>
    <v>Stock</v>
    <v>45980.939294698437</v>
    <v>39</v>
    <v>124.255</v>
    <v>102632666150</v>
    <v>SOUTHERN COPPER CORPORATION</v>
    <v>SOUTHERN COPPER CORPORATION</v>
    <v>126</v>
    <v>26.950900000000001</v>
    <v>124.14</v>
    <v>125.3</v>
    <v>125</v>
    <v>819095500</v>
    <v>SCCO</v>
    <v>SOUTHERN COPPER CORPORATION (XNYS:SCCO)</v>
    <v>1595425</v>
    <v>1388118</v>
    <v>1995</v>
  </rv>
  <rv s="2">
    <v>40</v>
  </rv>
  <rv s="0">
    <v>https://www.bing.com/financeapi/forcetrigger?t=a1oh27&amp;q=XNYS%3aBHP&amp;form=skydnc</v>
    <v>Learn more on Bing</v>
  </rv>
  <rv s="1">
    <v>en-IN</v>
    <v>a1oh27</v>
    <v>268435456</v>
    <v>1</v>
    <v>Powered by Refinitiv</v>
    <v>0</v>
    <v>BHP GROUP LIMITED (XNYS:BHP)</v>
    <v>2</v>
    <v>3</v>
    <v>Finance</v>
    <v>5</v>
    <v>58.92</v>
    <v>39.729999999999997</v>
    <v>0.85829999999999995</v>
    <v>-0.245</v>
    <v>3.7399999999999998E-3</v>
    <v>-4.5620000000000001E-3</v>
    <v>0.2</v>
    <v>USD</v>
    <v>BHP Group Limited is an Australia-based resources company. The Company is a producer of commodities, including iron ore, copper, nickel, potash and metallurgical (steelmaking) coal. It is focused on offering a range of resources, which provides copper for renewable energy; nickel for electric vehicles; potash for sustainable farming, and iron ore and metallurgical coal for the steel needed for global infrastructure and the energy transition. Its segments include Copper, Iron Ore, and Coal. Its Copper segment is engaged in mining of copper, silver, zinc, molybdenum, uranium, and gold. Its Iron Ore segment is engaged in mining of iron ore. Its Coal segment is engaged in mining of metallurgical coal and energy coal. The Company is also focused on operating Olympic Dam, Prominent Hill, and Carrapateena underground copper-gold mines in South Australia. Its operations are situated in Australia, Europe, China, Japan, India, South Korea, rest of Asia, North America, South America, and others.</v>
    <v>39958</v>
    <v>New York Stock Exchange</v>
    <v>XNYS</v>
    <v>XNYS</v>
    <v>171 Collins Street, MELBOURNE, VICTORIA, 3000 AU</v>
    <v>53.914999999999999</v>
    <v>Metals &amp; Mining</v>
    <v>Stock</v>
    <v>45980.934648622657</v>
    <v>42</v>
    <v>53.22</v>
    <v>134856500000</v>
    <v>BHP GROUP LIMITED</v>
    <v>BHP GROUP LIMITED</v>
    <v>53.59</v>
    <v>15.0661</v>
    <v>53.71</v>
    <v>53.465000000000003</v>
    <v>53.67</v>
    <v>2539457000</v>
    <v>BHP</v>
    <v>BHP GROUP LIMITED (XNYS:BHP)</v>
    <v>2025879</v>
    <v>2976012</v>
    <v>1885</v>
  </rv>
  <rv s="2">
    <v>43</v>
  </rv>
  <rv s="0">
    <v>https://www.bing.com/financeapi/forcetrigger?t=a1qga2&amp;q=XNAS%3aCSX&amp;form=skydnc</v>
    <v>Learn more on Bing</v>
  </rv>
  <rv s="1">
    <v>en-IN</v>
    <v>a1qga2</v>
    <v>268435456</v>
    <v>1</v>
    <v>Powered by Refinitiv</v>
    <v>0</v>
    <v>CSX Corporation (XNAS:CSX)</v>
    <v>2</v>
    <v>3</v>
    <v>Finance</v>
    <v>4</v>
    <v>37.25</v>
    <v>26.218399999999999</v>
    <v>1.3025</v>
    <v>-0.03</v>
    <v>-4.1219999999999998E-3</v>
    <v>-8.8260000000000009E-4</v>
    <v>-0.14000000000000001</v>
    <v>USD</v>
    <v>CSX Corporation is a transportation company. The Company provides rail, intermodal and rail-to-truck transload services and solutions to customers across an array of markets, including energy, industrial, construction, agricultural and consumer products. It provides rail-based freight transportation services, including traditional rail service, the transport of intermodal containers and trailers, as well as other transportation services such as rail-to-truck transfers and bulk commodity operations. Through its subsidiary, CSX Transportation, Inc. (CSXT), it provides a link to the transportation supply chain through its approximately 20,000 route-mile rail network and serves major population centers in 26 states east of the Mississippi River, the District of Columbia and the Canadian provinces of Ontario and Quebec. CSXT is also engaged in real estate sales, leasing, acquisition and management and development activities. It serves merchandise, intermodal, coal, and trucking businesses.</v>
    <v>23200</v>
    <v>Nasdaq Stock Market</v>
    <v>XNAS</v>
    <v>XNAS</v>
    <v>500 Water Street, 15th Floor, JACKSONVILLE, FL, 32202 US</v>
    <v>34.314999999999998</v>
    <v>Freight &amp; Logistics Services</v>
    <v>Stock</v>
    <v>45980.933292858594</v>
    <v>45</v>
    <v>33.914999999999999</v>
    <v>63238172520</v>
    <v>CSX Corporation</v>
    <v>CSX Corporation</v>
    <v>34.020000000000003</v>
    <v>22.121700000000001</v>
    <v>33.99</v>
    <v>33.96</v>
    <v>33.82</v>
    <v>1862137000</v>
    <v>CSX</v>
    <v>CSX Corporation (XNAS:CSX)</v>
    <v>15198634</v>
    <v>13319513</v>
    <v>1978</v>
  </rv>
  <rv s="2">
    <v>46</v>
  </rv>
  <rv s="0">
    <v>https://www.bing.com/financeapi/forcetrigger?t=a256im&amp;q=XNYS%3aVALE&amp;form=skydnc</v>
    <v>Learn more on Bing</v>
  </rv>
  <rv s="1">
    <v>en-IN</v>
    <v>a256im</v>
    <v>268435456</v>
    <v>1</v>
    <v>Powered by Refinitiv</v>
    <v>0</v>
    <v>Vale SA (XNYS:VALE)</v>
    <v>2</v>
    <v>3</v>
    <v>Finance</v>
    <v>5</v>
    <v>12.6</v>
    <v>8.0549999999999997</v>
    <v>0.59950000000000003</v>
    <v>-4.4999999999999998E-2</v>
    <v>8.2510000000000005E-4</v>
    <v>-3.6980000000000003E-3</v>
    <v>0.01</v>
    <v>USD</v>
    <v>Vale SA, formerly Companhia Vale do Rio Doce, is a Brazil-based metal and mining company which is primarily engaged in producing iron ore and nickel. The Company also produces iron ore pellets, copper, platinum group metals (PGMs), gold, silver and cobalt. Vale is engaged in greenfield mineral exploration in five countries and operates logistics systems in Brazil and other regions in the world, including railroads, maritime terminals and ports, which are integrated with mining operations. In addition, Vale has distribution centers to support the delivery of iron ore worldwide. Vale has numerous subsidiaries, including Vale Logistica Uruguay SA, Vale Holdings BV, Vale Overseas Ltd. The Company’s operations abroad cover approximately 30 countries.</v>
    <v>64616</v>
    <v>New York Stock Exchange</v>
    <v>XNYS</v>
    <v>XNYS</v>
    <v>Torre Oscar Niemeyer, Praia de Botafogo n 186 Salas 1101 1701 1801, Botafogo, RIO DE JANEIRO, RIO DE JANEIRO, 22.250-145 BR</v>
    <v>12.265000000000001</v>
    <v>Metals &amp; Mining</v>
    <v>Stock</v>
    <v>45980.933574027345</v>
    <v>48</v>
    <v>12.1</v>
    <v>55456100000</v>
    <v>Vale SA</v>
    <v>Vale SA</v>
    <v>12.15</v>
    <v>9.1260999999999992</v>
    <v>12.17</v>
    <v>12.125</v>
    <v>12.13</v>
    <v>4539008000</v>
    <v>VALE</v>
    <v>Vale SA (XNYS:VALE)</v>
    <v>21566798</v>
    <v>33157773</v>
    <v>1943</v>
  </rv>
  <rv s="2">
    <v>49</v>
  </rv>
  <rv s="0">
    <v>https://www.bing.com/financeapi/forcetrigger?t=ao5k4c&amp;q=XLON%3aAAL&amp;form=skydnc</v>
    <v>Learn more on Bing</v>
  </rv>
  <rv s="5">
    <v>en-IN</v>
    <v>ao5k4c</v>
    <v>268435456</v>
    <v>1</v>
    <v>Powered by Refinitiv</v>
    <v>12</v>
    <v>ANGLO AMERICAN PLC (XLON:AAL)</v>
    <v>2</v>
    <v>15</v>
    <v>Finance</v>
    <v>16</v>
    <v>3008</v>
    <v>1641.518</v>
    <v>1.8323</v>
    <v>35</v>
    <v>1.2858000000000001E-2</v>
    <v>GBp</v>
    <v>Anglo American plc is a global mining company focused on the production of copper, premium iron ore and crop nutrients. The Company’s copper operations include Quellaveco, Los Bronces, El Soldado, and Collahuasi. The Quellaveco copper operation is in Peru. Los Bronces is an open-pit copper and molybdenum mine in Chile. El Soldado is a copper mine located in the Cordillera de El Melon, commune of Nogales, Valparaiso Region, 125 kilometers (km) north of Santiago, Chile. The Collahuasi mine is a large copper mine located in the north of the Tarapaca Region in Chile. Its iron ore mines include Sishen, Kolomela, and Minas-Rio. Sishen is an open-pit mine in South Africa. Kolomela is located around 90 km south of its Sishen mine. Minas-Rio is a fully integrated export iron ore operation. It is developing the Woodsmith project in the northeast of England to access a known deposit of polyhalite. The Woodsmith project is located on the North Yorkshire coast, just south of Whitby.</v>
    <v>54000</v>
    <v>London Stock Exchange</v>
    <v>XLON</v>
    <v>XLON</v>
    <v>17 Charterhouse Street, LONDON, EC1N 6RA GB</v>
    <v>2757</v>
    <v>Metals &amp; Mining</v>
    <v>Stock</v>
    <v>45980.709722222222</v>
    <v>51</v>
    <v>2696</v>
    <v>32066530000</v>
    <v>ANGLO AMERICAN PLC</v>
    <v>ANGLO AMERICAN PLC</v>
    <v>2715</v>
    <v>0</v>
    <v>2722</v>
    <v>2757</v>
    <v>1178050000</v>
    <v>AAL</v>
    <v>ANGLO AMERICAN PLC (XLON:AAL)</v>
    <v>3201901</v>
    <v>3617490</v>
    <v>1998</v>
  </rv>
  <rv s="2">
    <v>52</v>
  </rv>
  <rv s="0">
    <v>https://www.bing.com/financeapi/forcetrigger?t=ahirxm&amp;q=XNSE%3aLT&amp;form=skydnc</v>
    <v>Learn more on Bing</v>
  </rv>
  <rv s="5">
    <v>en-IN</v>
    <v>ahirxm</v>
    <v>268435456</v>
    <v>1</v>
    <v>Powered by Refinitiv</v>
    <v>12</v>
    <v>LARSEN AND TOUBRO LIMITED (XNSE:LT)</v>
    <v>2</v>
    <v>13</v>
    <v>Finance</v>
    <v>14</v>
    <v>4062.6</v>
    <v>2965.3</v>
    <v>1.0741000000000001</v>
    <v>20</v>
    <v>5.0010000000000002E-3</v>
    <v>INR</v>
    <v>Larsen and Toubro Limited is an India-based multinational company, which is engaged in engineering, procurement, and construction (EPC) projects, hi-tech manufacturing and services. The Company's segments include Infrastructure Projects, Energy Projects, Hi-Tech Manufacturing, IT &amp; Technology Services, Financial Services, Development Projects and Others. Energy Projects segment comprises EPC/turnkey solutions in hydrocarbon business, power business and EPC solutions in green energy space. Hi-Tech Manufacturing segment comprises design, manufacture/construct, supply and revamp/retrofit of custom designed, engineered critical equipment &amp; systems to the process plants, nuclear energy &amp; green hydrogen sectors, marine and land platforms, and electrolysers. IT &amp; Technology Services segment comprises information technology and integrated engineering services (including smart world and communication projects), e-commerce/digital platforms &amp; data centers, and semiconductor chip design.</v>
    <v>58244</v>
    <v>National Stock Exchange of India</v>
    <v>XNSE</v>
    <v>XNSE</v>
    <v>L&amp;T House, Ballard Estate, P. O. Box: 278, MUMBAI, MAHARASHTRA, 400001 IN</v>
    <v>4026.5</v>
    <v>Construction &amp; Engineering</v>
    <v>Stock</v>
    <v>45980.492881944447</v>
    <v>54</v>
    <v>3980.3</v>
    <v>5501774000000</v>
    <v>LARSEN AND TOUBRO LIMITED</v>
    <v>LARSEN AND TOUBRO LIMITED</v>
    <v>4007</v>
    <v>33.54</v>
    <v>3999.6</v>
    <v>4019.6</v>
    <v>1375581000</v>
    <v>LT</v>
    <v>LARSEN AND TOUBRO LIMITED (XNSE:LT)</v>
    <v>923032</v>
    <v>1623020</v>
    <v>1946</v>
  </rv>
  <rv s="2">
    <v>55</v>
  </rv>
  <rv s="0">
    <v>https://www.bing.com/financeapi/forcetrigger?t=a24xww&amp;q=XNYS%3aUNP&amp;form=skydnc</v>
    <v>Learn more on Bing</v>
  </rv>
  <rv s="1">
    <v>en-IN</v>
    <v>a24xww</v>
    <v>268435456</v>
    <v>1</v>
    <v>Powered by Refinitiv</v>
    <v>0</v>
    <v>UNION PACIFIC CORPORATION (XNYS:UNP)</v>
    <v>2</v>
    <v>3</v>
    <v>Finance</v>
    <v>5</v>
    <v>256.83999999999997</v>
    <v>204.66</v>
    <v>0.98929999999999996</v>
    <v>0.31</v>
    <v>-4.3860000000000001E-3</v>
    <v>1.4039999999999999E-3</v>
    <v>-0.97</v>
    <v>USD</v>
    <v>Union Pacific Corporation, through its principal operating company, Union Pacific Railroad Company, connects over 23 states in the western two-thirds of the country by rail, providing a critical link in the global supply chain. It maintains coordinated schedules with other rail carriers to move freight to and from the Atlantic Coast, the Pacific Coast, the Southeast, the Southwest, Canada, and Mexico. The railroad’s diversified business mix includes bulk, industrial, and premium. Its Bulk shipments consist of grain and grain products, fertilizer, food and refrigerated, and coal and renewables. The Industrial shipments consist of several categories, including construction, industrial chemicals, plastics, forest products, specialized products (primarily waste, salt, and roofing), metals and ores, petroleum, liquid petroleum gases (LPG), soda ash, and sand. Its Premium shipments include finished automobiles, automotive parts, and merchandise in intermodal containers.</v>
    <v>29576</v>
    <v>New York Stock Exchange</v>
    <v>XNYS</v>
    <v>XNYS</v>
    <v>1400 Douglas Street, OMAHA, NE, 68179 US</v>
    <v>221.98990000000001</v>
    <v>Freight &amp; Logistics Services</v>
    <v>Stock</v>
    <v>45980.943240867971</v>
    <v>57</v>
    <v>219.97</v>
    <v>131165669817</v>
    <v>UNION PACIFIC CORPORATION</v>
    <v>UNION PACIFIC CORPORATION</v>
    <v>221.31</v>
    <v>18.770700000000001</v>
    <v>220.82</v>
    <v>221.13</v>
    <v>220.2</v>
    <v>593160900</v>
    <v>UNP</v>
    <v>UNION PACIFIC CORPORATION (XNYS:UNP)</v>
    <v>3396388</v>
    <v>3243566</v>
    <v>1969</v>
  </rv>
  <rv s="2">
    <v>58</v>
  </rv>
  <rv s="0">
    <v>https://www.bing.com/financeapi/forcetrigger?t=a1yh9c&amp;q=XNYS%3aNGG&amp;form=skydnc</v>
    <v>Learn more on Bing</v>
  </rv>
  <rv s="1">
    <v>en-IN</v>
    <v>a1yh9c</v>
    <v>268435456</v>
    <v>1</v>
    <v>Powered by Refinitiv</v>
    <v>0</v>
    <v>NATIONAL GRID PLC (XNYS:NGG)</v>
    <v>2</v>
    <v>3</v>
    <v>Finance</v>
    <v>4</v>
    <v>78.489999999999995</v>
    <v>55.82</v>
    <v>0.76029999999999998</v>
    <v>-1.44</v>
    <v>0</v>
    <v>-1.8572999999999999E-2</v>
    <v>0</v>
    <v>USD</v>
    <v>National Grid plc is a United Kingdom-based energy company. The Company's principal activities involve the transmission and distribution of electricity in Great Britain and of electricity and gas in the northeastern United States. Its segments include UK Electricity Transmission, UK Electricity Distribution, New England, New York and National Grid Ventures. The UK Electricity Transmission segment includes the high-voltage electricity transmission networks in England and Wales. The UK Electricity Distribution segment includes electricity distribution networks of NGED in the East Midlands, West Midlands and South West of England and South Wales. The New England segment includes electricity distribution networks, high-voltage electricity transmission networks and gas distribution networks in New England. The New York segment includes electricity distribution networks, high-voltage electricity transmission networks and gas distribution networks in New York.</v>
    <v>31654</v>
    <v>New York Stock Exchange</v>
    <v>XNYS</v>
    <v>XNYS</v>
    <v>1-3 Strand, LONDON, WC2N 5EH GB</v>
    <v>77.02</v>
    <v>Multiline Utilities</v>
    <v>Stock</v>
    <v>45980.932827673438</v>
    <v>60</v>
    <v>75.94</v>
    <v>76419630000</v>
    <v>NATIONAL GRID PLC</v>
    <v>NATIONAL GRID PLC</v>
    <v>76.739999999999995</v>
    <v>19.457899999999999</v>
    <v>77.53</v>
    <v>76.09</v>
    <v>76.09</v>
    <v>992307600</v>
    <v>NGG</v>
    <v>NATIONAL GRID PLC (XNYS:NGG)</v>
    <v>783228</v>
    <v>676180</v>
    <v>2000</v>
  </rv>
  <rv s="2">
    <v>61</v>
  </rv>
  <rv s="0">
    <v>https://www.bing.com/financeapi/forcetrigger?t=a1wkbh&amp;q=XNYS%3aKMI&amp;form=skydnc</v>
    <v>Learn more on Bing</v>
  </rv>
  <rv s="1">
    <v>en-IN</v>
    <v>a1wkbh</v>
    <v>268435456</v>
    <v>1</v>
    <v>Powered by Refinitiv</v>
    <v>0</v>
    <v>KINDER MORGAN, INC. (XNYS:KMI)</v>
    <v>2</v>
    <v>3</v>
    <v>Finance</v>
    <v>5</v>
    <v>31.48</v>
    <v>23.94</v>
    <v>0.65610000000000002</v>
    <v>-0.28000000000000003</v>
    <v>0</v>
    <v>-1.0336000000000001E-2</v>
    <v>0</v>
    <v>USD</v>
    <v>Kinder Morgan, Inc. is an energy infrastructure company. The Company owns an interest in or operates approximately 79,000 miles of pipelines and 139 terminals. Its Natural Gas Pipelines segment includes ownership and operation of interstate and intrastate natural gas pipeline and storage systems and natural gas gathering systems and natural gas processing and treating facilities. Its Products Pipelines segment includes ownership and operation of refined petroleum products, crude oil and condensate pipelines that primarily deliver, among other products, gasoline, diesel and jet fuel, crude oil and condensate to various markets, plus the ownership and/or operation of associated product terminals and petroleum pipeline transmix facilities. Its Terminals segment includes ownership and/or operation of liquid and bulk terminal facilities and Jones Act-qualified tankers. Its CO2 segment is engaged in the production, transportation and marketing of CO2 to oil fields.</v>
    <v>10933</v>
    <v>New York Stock Exchange</v>
    <v>XNYS</v>
    <v>XNYS</v>
    <v>1001 Louisiana Street, Suite 1000, HOUSTON, TX, 77002 US</v>
    <v>26.9</v>
    <v>Oil &amp; Gas Related Equipment and Services</v>
    <v>Stock</v>
    <v>45980.943257060157</v>
    <v>63</v>
    <v>26.344999999999999</v>
    <v>59645815600</v>
    <v>KINDER MORGAN, INC.</v>
    <v>KINDER MORGAN, INC.</v>
    <v>26.7</v>
    <v>21.973600000000001</v>
    <v>27.09</v>
    <v>26.81</v>
    <v>26.82</v>
    <v>2224760000</v>
    <v>KMI</v>
    <v>KINDER MORGAN, INC. (XNYS:KMI)</v>
    <v>15594171</v>
    <v>15425791</v>
    <v>2006</v>
  </rv>
  <rv s="2">
    <v>64</v>
  </rv>
  <rv s="0">
    <v>https://www.bing.com/financeapi/forcetrigger?t=a1pcf2&amp;q=XNYS%3aCCI&amp;form=skydnc</v>
    <v>Learn more on Bing</v>
  </rv>
  <rv s="3">
    <v>en-IN</v>
    <v>a1pcf2</v>
    <v>268435456</v>
    <v>1</v>
    <v>Powered by Refinitiv</v>
    <v>6</v>
    <v>CROWN CASTLE INC. (XNYS:CCI)</v>
    <v>2</v>
    <v>7</v>
    <v>Finance</v>
    <v>5</v>
    <v>115.76</v>
    <v>84.2</v>
    <v>0.94530000000000003</v>
    <v>-0.01</v>
    <v>0</v>
    <v>-1.098E-4</v>
    <v>0</v>
    <v>USD</v>
    <v>Crown Castle Inc. owns, operates and leases more than 40,000 cell towers and approximately 90,000 route miles of fiber supporting small cells and fiber solutions across every United States market. Its core business is providing access, including space or capacity, to its shared communications infrastructure via long-term tenant contracts in various forms, including lease, license, sublease and service agreements in the United States. Its segments include Towers and Fiber, which includes both small cells and fiber solutions. The Towers segment provides access, including space or capacity, to the Company's more than 40,000 towers throughout the United States. The Towers segment also provides ancillary services relating to the Company's towers, consisting of site development services and installation services. The Fiber segment consists of communications infrastructure offerings of small cells and fiber solutions.</v>
    <v>3900</v>
    <v>New York Stock Exchange</v>
    <v>XNYS</v>
    <v>XNYS</v>
    <v>8020 Katy Freeway, HOUSTON, TX, 77024 US</v>
    <v>91.49</v>
    <v>Residential &amp; Commercial REIT</v>
    <v>Stock</v>
    <v>45980.942403147659</v>
    <v>66</v>
    <v>89.471999999999994</v>
    <v>39641653370</v>
    <v>CROWN CASTLE INC.</v>
    <v>CROWN CASTLE INC.</v>
    <v>91.23</v>
    <v>91.04</v>
    <v>91.03</v>
    <v>91.05</v>
    <v>435479000</v>
    <v>CCI</v>
    <v>CROWN CASTLE INC. (XNYS:CCI)</v>
    <v>2177324</v>
    <v>3105086</v>
    <v>2014</v>
  </rv>
  <rv s="2">
    <v>67</v>
  </rv>
</rvData>
</file>

<file path=xl/richData/rdrichvaluestructure.xml><?xml version="1.0" encoding="utf-8"?>
<rvStructures xmlns="http://schemas.microsoft.com/office/spreadsheetml/2017/richdata" count="6">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
    <k n="%cvi" t="r"/>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Price (Extended hours)"/>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Change"/>
    <k n="Change (%)"/>
    <k n="Country/region" t="s"/>
    <k n="Currency" t="s"/>
    <k n="Instrument type" t="s"/>
    <k n="Last trade time"/>
    <k n="LearnMoreOnLink" t="r"/>
    <k n="Maturity"/>
    <k n="Name" t="s"/>
    <k n="Previous close"/>
    <k n="Price"/>
    <k n="Ticker symbol" t="s"/>
    <k n="UniqueName" t="s"/>
    <k n="Yield last month"/>
    <k n="Yield last week"/>
    <k n="Yield last year"/>
    <k n="Yield yesterday"/>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rvStructures>
</file>

<file path=xl/richData/rdsupportingpropertybag.xml><?xml version="1.0" encoding="utf-8"?>
<supportingPropertyBags xmlns="http://schemas.microsoft.com/office/spreadsheetml/2017/richdata2">
  <spbArrays count="4">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4">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a count="28">
      <v t="s">%EntityServiceId</v>
      <v t="s">_Format</v>
      <v t="s">%IsRefreshable</v>
      <v t="s">%EntityCulture</v>
      <v t="s">%EntityId</v>
      <v t="s">_Icon</v>
      <v t="s">_Display</v>
      <v t="s">Name</v>
      <v t="s">Price</v>
      <v t="s">_SubLabel</v>
      <v t="s">Last trade time</v>
      <v t="s">Ticker symbol</v>
      <v t="s">Change</v>
      <v t="s">Change (%)</v>
      <v t="s">Currency</v>
      <v t="s">Previous close</v>
      <v t="s">Yield yesterday</v>
      <v t="s">Yield last week</v>
      <v t="s">Yield last month</v>
      <v t="s">Yield last year</v>
      <v t="s">Maturity</v>
      <v t="s">Country/region</v>
      <v t="s">Instrument type</v>
      <v t="s">_Flags</v>
      <v t="s">UniqueName</v>
      <v t="s">_DisplayString</v>
      <v t="s">LearnMoreOnLink</v>
      <v t="s">%ProviderInfo</v>
    </a>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17">
    <spb s="0">
      <v>0</v>
      <v>Name</v>
      <v>LearnMoreOnLink</v>
    </spb>
    <spb s="1">
      <v>0</v>
      <v>0</v>
      <v>0</v>
    </spb>
    <spb s="2">
      <v>1</v>
      <v>1</v>
      <v>1</v>
      <v>1</v>
    </spb>
    <spb s="3">
      <v>1</v>
      <v>2</v>
      <v>2</v>
      <v>1</v>
      <v>3</v>
      <v>1</v>
      <v>1</v>
      <v>1</v>
      <v>4</v>
      <v>4</v>
      <v>5</v>
      <v>6</v>
      <v>1</v>
      <v>1</v>
      <v>1</v>
      <v>4</v>
      <v>7</v>
      <v>8</v>
      <v>9</v>
      <v>4</v>
      <v>1</v>
      <v>1</v>
      <v>5</v>
    </spb>
    <spb s="4">
      <v>at close</v>
      <v>from previous close</v>
      <v>from previous close</v>
      <v>Source: Nasdaq</v>
      <v>GMT</v>
      <v>Delayed 15 minutes</v>
      <v>from close</v>
      <v>from close</v>
    </spb>
    <spb s="4">
      <v>at close</v>
      <v>from previous close</v>
      <v>from previous close</v>
      <v>Source: Nasdaq Last Sale</v>
      <v>GMT</v>
      <v>Real-Time Nasdaq Last Sale</v>
      <v>from close</v>
      <v>from close</v>
    </spb>
    <spb s="0">
      <v>1</v>
      <v>Name</v>
      <v>LearnMoreOnLink</v>
    </spb>
    <spb s="5">
      <v>1</v>
      <v>2</v>
      <v>1</v>
      <v>3</v>
      <v>1</v>
      <v>1</v>
      <v>1</v>
      <v>4</v>
      <v>4</v>
      <v>5</v>
      <v>6</v>
      <v>1</v>
      <v>1</v>
      <v>1</v>
      <v>4</v>
      <v>7</v>
      <v>8</v>
      <v>9</v>
      <v>4</v>
      <v>1</v>
      <v>1</v>
      <v>5</v>
    </spb>
    <spb s="0">
      <v>2</v>
      <v>Name</v>
      <v>LearnMoreOnLink</v>
    </spb>
    <spb s="6">
      <v>1</v>
      <v>1</v>
      <v>1</v>
    </spb>
    <spb s="7">
      <v>3</v>
      <v>1</v>
      <v>1</v>
      <v>10</v>
      <v>5</v>
      <v>1</v>
      <v>7</v>
      <v>5</v>
      <v>5</v>
      <v>5</v>
      <v>5</v>
      <v>9</v>
    </spb>
    <spb s="8">
      <v>GMT</v>
    </spb>
    <spb s="0">
      <v>3</v>
      <v>Name</v>
      <v>LearnMoreOnLink</v>
    </spb>
    <spb s="9">
      <v>11</v>
      <v>2</v>
      <v>2</v>
      <v>11</v>
      <v>3</v>
      <v>11</v>
      <v>11</v>
      <v>11</v>
      <v>4</v>
      <v>4</v>
      <v>5</v>
      <v>12</v>
      <v>11</v>
      <v>11</v>
      <v>11</v>
      <v>4</v>
      <v>7</v>
      <v>8</v>
      <v>9</v>
      <v>4</v>
    </spb>
    <spb s="10">
      <v>Delayed 5 minutes</v>
      <v>from previous close</v>
      <v>from previous close</v>
      <v>GMT</v>
    </spb>
    <spb s="9">
      <v>13</v>
      <v>2</v>
      <v>2</v>
      <v>13</v>
      <v>3</v>
      <v>13</v>
      <v>13</v>
      <v>13</v>
      <v>4</v>
      <v>4</v>
      <v>5</v>
      <v>14</v>
      <v>13</v>
      <v>13</v>
      <v>13</v>
      <v>4</v>
      <v>7</v>
      <v>8</v>
      <v>9</v>
      <v>4</v>
    </spb>
    <spb s="11">
      <v>Delayed 15 minutes</v>
      <v>from previous close</v>
      <v>from previous close</v>
      <v>LSE</v>
      <v>GMT</v>
    </spb>
  </spbData>
</supportingPropertyBags>
</file>

<file path=xl/richData/rdsupportingpropertybagstructure.xml><?xml version="1.0" encoding="utf-8"?>
<spbStructures xmlns="http://schemas.microsoft.com/office/spreadsheetml/2017/richdata2" count="12">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UniqueName" t="spb"/>
    <k n="`%ProviderInfo" t="spb"/>
    <k n="LearnMoreOnLink" t="spb"/>
  </s>
  <s>
    <k n="Name" t="i"/>
    <k n="Price" t="i"/>
    <k n="Change" t="i"/>
    <k n="Maturity" t="i"/>
    <k n="Change (%)" t="i"/>
    <k n="Previous close" t="i"/>
    <k n="Last trade time" t="i"/>
    <k n="Yield last week" t="i"/>
    <k n="Yield last year" t="i"/>
    <k n="Yield yesterday" t="i"/>
    <k n="Yield last month" t="i"/>
    <k n="`%EntityServiceId" t="i"/>
  </s>
  <s>
    <k n="Last trade time" t="s"/>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
    <k n="Price" t="s"/>
    <k n="Change" t="s"/>
    <k n="Change (%)" t="s"/>
    <k n="ExchangeID" t="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9">
    <x:dxf>
      <x:numFmt numFmtId="2" formatCode="0.00"/>
    </x:dxf>
    <x:dxf>
      <x:numFmt numFmtId="0" formatCode="General"/>
    </x:dxf>
    <x:dxf>
      <x:numFmt numFmtId="27" formatCode="yyyy/mm/dd\ hh:mm"/>
    </x:dxf>
    <x:dxf>
      <x:numFmt numFmtId="14" formatCode="0.00%"/>
    </x:dxf>
    <x:dxf>
      <x:numFmt numFmtId="3" formatCode="#,##0"/>
    </x:dxf>
    <x:dxf>
      <x:numFmt numFmtId="4" formatCode="#,##0.00"/>
    </x:dxf>
    <x:dxf>
      <x:numFmt numFmtId="1" formatCode="0"/>
    </x:dxf>
    <x:dxf>
      <x:numFmt numFmtId="35" formatCode="_ * #,##0.00_ ;_ * \-#,##0.00_ ;_ * &quot;-&quot;??_ ;_ @_ "/>
    </x:dxf>
    <x:dxf>
      <x:numFmt numFmtId="19" formatCode="yyyy/mm/dd"/>
    </x:dxf>
  </dxfs>
  <richProperties>
    <rPr n="NumberFormat" t="s"/>
    <rPr n="IsTitle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Sty dxfid="8"/>
    <rSty dxfid="1">
      <rpv i="0" xml:space="preserve">_ [$₹-en-IN] * #,##0.00_ ;_ [$₹-en-IN] * -#,##0.00_ ;_ [$₹-en-IN] * "-"??_ ;_ @_ </rpv>
    </rSty>
    <rSty dxfid="1">
      <rpv i="0" xml:space="preserve">_ [$₹-en-IN] * #,##0_ ;_ [$₹-en-IN] * -#,##0_ ;_ [$₹-en-IN] * "-"_ ;_ @_ </rpv>
    </rSty>
    <rSty dxfid="7">
      <rpv i="0">_(* #,##0.00_);_(* (#,##0.00);_(* "-"??_);_(@_)</rpv>
    </rSty>
    <rSty dxfid="1">
      <rpv i="0">_-[$£-en-GB]* #,##0_-;-[$£-en-GB]* #,##0_-;_-[$£-en-GB]* "-"_-;_-@_-</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AD7A2C5-33ED-489E-B9FF-2717839391D6}" name="Table1" displayName="Table1" ref="A2:F10" totalsRowShown="0" headerRowDxfId="332" dataDxfId="331">
  <autoFilter ref="A2:F10" xr:uid="{AAD7A2C5-33ED-489E-B9FF-2717839391D6}">
    <filterColumn colId="0" hiddenButton="1"/>
    <filterColumn colId="1" hiddenButton="1"/>
    <filterColumn colId="2" hiddenButton="1"/>
    <filterColumn colId="3" hiddenButton="1"/>
    <filterColumn colId="4" hiddenButton="1"/>
    <filterColumn colId="5" hiddenButton="1"/>
  </autoFilter>
  <tableColumns count="6">
    <tableColumn id="1" xr3:uid="{ACD4EA8A-D4E9-435D-81E9-1C0B6ED284FD}" name="Particulars" dataDxfId="330"/>
    <tableColumn id="2" xr3:uid="{56DF642C-4181-436E-9B2D-6CA3A014D54F}" name="2020" dataDxfId="329" dataCellStyle="Comma"/>
    <tableColumn id="3" xr3:uid="{CA363B68-CC95-4D3D-8D29-65C10A4B12F7}" name="2021" dataDxfId="328" dataCellStyle="Comma"/>
    <tableColumn id="4" xr3:uid="{B8F189EE-CFF8-4401-8C5B-C7F868F903E9}" name="2022" dataDxfId="327" dataCellStyle="Comma"/>
    <tableColumn id="5" xr3:uid="{B1EB92FF-0D16-44E9-BE2F-0E3C060E4AF7}" name="2023" dataDxfId="326" dataCellStyle="Comma"/>
    <tableColumn id="6" xr3:uid="{CF997387-73D8-4175-B097-6C56A63667ED}" name="2024" dataDxfId="325" dataCellStyle="Comma"/>
  </tableColumns>
  <tableStyleInfo name="TableStyleMedium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A719C47-413D-418F-AA51-B5FF7308BF01}" name="Table2" displayName="Table2" ref="A13:F22" totalsRowShown="0" headerRowDxfId="324" dataDxfId="323">
  <autoFilter ref="A13:F22" xr:uid="{CA719C47-413D-418F-AA51-B5FF7308BF01}">
    <filterColumn colId="0" hiddenButton="1"/>
    <filterColumn colId="1" hiddenButton="1"/>
    <filterColumn colId="2" hiddenButton="1"/>
    <filterColumn colId="3" hiddenButton="1"/>
    <filterColumn colId="4" hiddenButton="1"/>
    <filterColumn colId="5" hiddenButton="1"/>
  </autoFilter>
  <tableColumns count="6">
    <tableColumn id="1" xr3:uid="{6FD6A5B6-5905-4DB3-9B01-7EB656F4A1F4}" name="Particulars" dataDxfId="322"/>
    <tableColumn id="2" xr3:uid="{85B8BD3F-3949-4FDC-A077-AE464C3FCCD5}" name="2020" dataDxfId="321" dataCellStyle="Comma"/>
    <tableColumn id="3" xr3:uid="{4AA79F6D-E589-4253-A22B-354C6B58BD97}" name="2021" dataDxfId="320" dataCellStyle="Comma"/>
    <tableColumn id="4" xr3:uid="{93B04941-D14F-4EAE-8452-3AAA12A65421}" name="2022" dataDxfId="319" dataCellStyle="Comma"/>
    <tableColumn id="5" xr3:uid="{BFCC6378-2403-436D-9B8A-413FAB41E85A}" name="2023" dataDxfId="318" dataCellStyle="Comma"/>
    <tableColumn id="6" xr3:uid="{C141ACEC-6A8E-4CDF-BE5A-5E72F6EFB5E1}" name="2024" dataDxfId="317" dataCellStyle="Comma"/>
  </tableColumns>
  <tableStyleInfo name="TableStyleMedium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74B8C91-25D8-4298-B1EC-4B93A555B59F}" name="Table3" displayName="Table3" ref="A25:F29" totalsRowShown="0" headerRowDxfId="316" dataDxfId="315">
  <autoFilter ref="A25:F29" xr:uid="{774B8C91-25D8-4298-B1EC-4B93A555B59F}">
    <filterColumn colId="0" hiddenButton="1"/>
    <filterColumn colId="1" hiddenButton="1"/>
    <filterColumn colId="2" hiddenButton="1"/>
    <filterColumn colId="3" hiddenButton="1"/>
    <filterColumn colId="4" hiddenButton="1"/>
    <filterColumn colId="5" hiddenButton="1"/>
  </autoFilter>
  <tableColumns count="6">
    <tableColumn id="1" xr3:uid="{67D4A25C-12E6-499B-BD28-032E79488121}" name="Particulars" dataDxfId="314"/>
    <tableColumn id="2" xr3:uid="{E0F6E7C4-7C68-4C73-8C9D-F8F860BE68B8}" name="2020" dataDxfId="313" dataCellStyle="Comma"/>
    <tableColumn id="3" xr3:uid="{BACABC08-63E5-44A5-893F-00D5313EA634}" name="2021" dataDxfId="312" dataCellStyle="Comma"/>
    <tableColumn id="4" xr3:uid="{A060A90E-A3CC-4FD4-AB47-F8183447BC05}" name="2022" dataDxfId="311" dataCellStyle="Comma"/>
    <tableColumn id="5" xr3:uid="{2281D0F3-937D-49C5-95E3-09C8CDE95891}" name="2023" dataDxfId="310" dataCellStyle="Comma"/>
    <tableColumn id="6" xr3:uid="{9E2A4837-8CC2-4236-B619-DAF4D6AA846E}" name="2024" dataDxfId="309" dataCellStyle="Comma"/>
  </tableColumns>
  <tableStyleInfo name="TableStyleMedium1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2612300-650A-480E-8D0B-224D98E664EC}" name="Table18" displayName="Table18" ref="H2:M10" totalsRowShown="0" headerRowDxfId="308" dataDxfId="307">
  <autoFilter ref="H2:M10" xr:uid="{22612300-650A-480E-8D0B-224D98E664EC}">
    <filterColumn colId="0" hiddenButton="1"/>
    <filterColumn colId="1" hiddenButton="1"/>
    <filterColumn colId="2" hiddenButton="1"/>
    <filterColumn colId="3" hiddenButton="1"/>
    <filterColumn colId="4" hiddenButton="1"/>
    <filterColumn colId="5" hiddenButton="1"/>
  </autoFilter>
  <tableColumns count="6">
    <tableColumn id="1" xr3:uid="{365794D9-1133-49EF-9A71-7AEEA00DB636}" name="Particulars" dataDxfId="306"/>
    <tableColumn id="2" xr3:uid="{5B47798F-C5DE-461E-808B-2CABEC02EC54}" name="2020" dataDxfId="305" dataCellStyle="Comma"/>
    <tableColumn id="3" xr3:uid="{CA82FFD4-3E4E-45C8-8687-D2CA9FAAAAD1}" name="2021" dataDxfId="304" dataCellStyle="Comma"/>
    <tableColumn id="4" xr3:uid="{98329DDA-FC30-42D0-A497-78E1D4EB4E04}" name="2022" dataDxfId="303" dataCellStyle="Comma"/>
    <tableColumn id="5" xr3:uid="{E5F2AFCB-1C44-430F-B04D-4C015EAB80FD}" name="2023" dataDxfId="302" dataCellStyle="Comma"/>
    <tableColumn id="6" xr3:uid="{3FBD7DFD-60F1-4160-B8F9-6FBF92AC3454}" name="2024" dataDxfId="301" dataCellStyle="Comma"/>
  </tableColumns>
  <tableStyleInfo name="TableStyleMedium1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7592DE1-1F08-4AB5-88F0-C8AA00E9487A}" name="Table29" displayName="Table29" ref="H13:M22" totalsRowShown="0" headerRowDxfId="300" dataDxfId="299">
  <autoFilter ref="H13:M22" xr:uid="{17592DE1-1F08-4AB5-88F0-C8AA00E9487A}">
    <filterColumn colId="0" hiddenButton="1"/>
    <filterColumn colId="1" hiddenButton="1"/>
    <filterColumn colId="2" hiddenButton="1"/>
    <filterColumn colId="3" hiddenButton="1"/>
    <filterColumn colId="4" hiddenButton="1"/>
    <filterColumn colId="5" hiddenButton="1"/>
  </autoFilter>
  <tableColumns count="6">
    <tableColumn id="1" xr3:uid="{3274E64E-632E-4FA7-B77B-D217BDC5A94A}" name="Particulars" dataDxfId="298"/>
    <tableColumn id="2" xr3:uid="{1677EDD4-3FA7-4D0A-93BE-9FF9E8DBC154}" name="2020" dataDxfId="297" dataCellStyle="Comma"/>
    <tableColumn id="3" xr3:uid="{D5F639BF-610B-4465-BA30-C8C9FA54EF56}" name="2021" dataDxfId="296" dataCellStyle="Comma"/>
    <tableColumn id="4" xr3:uid="{493659AF-761E-420C-A64F-275B573D0E25}" name="2022" dataDxfId="295" dataCellStyle="Comma"/>
    <tableColumn id="5" xr3:uid="{D430E9EE-31D5-4DC8-BE41-03B72A648176}" name="2023" dataDxfId="294" dataCellStyle="Comma"/>
    <tableColumn id="6" xr3:uid="{48E3D494-E58D-4FF2-909A-9F02A8B0BF16}" name="2024" dataDxfId="293" dataCellStyle="Comma"/>
  </tableColumns>
  <tableStyleInfo name="TableStyleMedium1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74683F17-767E-4CFC-9E2C-9E96B45DE8F7}" name="Table310" displayName="Table310" ref="H25:M29" totalsRowShown="0" headerRowDxfId="292" dataDxfId="291">
  <autoFilter ref="H25:M29" xr:uid="{74683F17-767E-4CFC-9E2C-9E96B45DE8F7}">
    <filterColumn colId="0" hiddenButton="1"/>
    <filterColumn colId="1" hiddenButton="1"/>
    <filterColumn colId="2" hiddenButton="1"/>
    <filterColumn colId="3" hiddenButton="1"/>
    <filterColumn colId="4" hiddenButton="1"/>
    <filterColumn colId="5" hiddenButton="1"/>
  </autoFilter>
  <tableColumns count="6">
    <tableColumn id="1" xr3:uid="{270A4AF9-44D4-4C47-A58D-771E062A560C}" name="Particulars" dataDxfId="290"/>
    <tableColumn id="2" xr3:uid="{7D137514-5B80-4208-9EC1-C50DE5D3B474}" name="2020" dataDxfId="289" dataCellStyle="Comma"/>
    <tableColumn id="3" xr3:uid="{580388BF-C7E1-4959-9BC9-2DB73081E0CE}" name="2021" dataDxfId="288" dataCellStyle="Comma"/>
    <tableColumn id="4" xr3:uid="{FC1C8320-90E6-4950-975F-325F8777577C}" name="2022" dataDxfId="287" dataCellStyle="Comma"/>
    <tableColumn id="5" xr3:uid="{168AEDD0-7B7F-4334-B3C6-AF0F09BD012E}" name="2023" dataDxfId="286" dataCellStyle="Comma"/>
    <tableColumn id="6" xr3:uid="{DEC7EDB9-5C98-46AC-A0A8-0ECE5F8537C4}" name="2024" dataDxfId="285" dataCellStyle="Comma"/>
  </tableColumns>
  <tableStyleInfo name="TableStyleMedium1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AE81A66-B454-41FA-9125-29BFF1FE5615}" name="Table114" displayName="Table114" ref="O2:T10" totalsRowShown="0" headerRowDxfId="284" dataDxfId="283">
  <autoFilter ref="O2:T10" xr:uid="{7AE81A66-B454-41FA-9125-29BFF1FE5615}">
    <filterColumn colId="0" hiddenButton="1"/>
    <filterColumn colId="1" hiddenButton="1"/>
    <filterColumn colId="2" hiddenButton="1"/>
    <filterColumn colId="3" hiddenButton="1"/>
    <filterColumn colId="4" hiddenButton="1"/>
    <filterColumn colId="5" hiddenButton="1"/>
  </autoFilter>
  <tableColumns count="6">
    <tableColumn id="1" xr3:uid="{80BC1C2B-6B15-4EDA-ADBB-1837D71DE548}" name="Particulars" dataDxfId="282"/>
    <tableColumn id="2" xr3:uid="{AFAE9AF0-2F58-45B6-BB7B-F460B18AD186}" name="2020" dataDxfId="281" dataCellStyle="Comma"/>
    <tableColumn id="3" xr3:uid="{9A441D43-96C1-44F8-8EDB-24F3C1CD79D3}" name="2021" dataDxfId="280" dataCellStyle="Comma"/>
    <tableColumn id="4" xr3:uid="{3AF12793-75AD-4B5F-A774-73903DF388C6}" name="2022" dataDxfId="279" dataCellStyle="Comma"/>
    <tableColumn id="5" xr3:uid="{C879A258-8201-4DCC-B58F-15EBD2FA2240}" name="2023" dataDxfId="278" dataCellStyle="Comma"/>
    <tableColumn id="6" xr3:uid="{110FA794-CC37-4F72-81CF-A071D112E4B0}" name="2024" dataDxfId="277" dataCellStyle="Comma"/>
  </tableColumns>
  <tableStyleInfo name="TableStyleMedium13"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AB2CE1B-9006-4A01-912B-3E43994611E5}" name="Table215" displayName="Table215" ref="O13:T22" totalsRowShown="0" headerRowDxfId="276" dataDxfId="275">
  <autoFilter ref="O13:T22" xr:uid="{4AB2CE1B-9006-4A01-912B-3E43994611E5}">
    <filterColumn colId="0" hiddenButton="1"/>
    <filterColumn colId="1" hiddenButton="1"/>
    <filterColumn colId="2" hiddenButton="1"/>
    <filterColumn colId="3" hiddenButton="1"/>
    <filterColumn colId="4" hiddenButton="1"/>
    <filterColumn colId="5" hiddenButton="1"/>
  </autoFilter>
  <tableColumns count="6">
    <tableColumn id="1" xr3:uid="{85D893B5-D930-4C34-BDAE-9BFFF1B26636}" name="Particulars" dataDxfId="274"/>
    <tableColumn id="2" xr3:uid="{C6373EB8-44C8-4AAA-84D9-9D3905634B0D}" name="2020" dataDxfId="273" dataCellStyle="Comma"/>
    <tableColumn id="3" xr3:uid="{654F6247-D8A2-4F66-84DA-7604D1A789A1}" name="2021" dataDxfId="272" dataCellStyle="Comma"/>
    <tableColumn id="4" xr3:uid="{1286780E-51FA-4D78-BB24-4D3BF1B626B9}" name="2022" dataDxfId="271" dataCellStyle="Comma"/>
    <tableColumn id="5" xr3:uid="{81F129E8-E0F8-4C0E-BAC9-687534A52AB5}" name="2023" dataDxfId="270" dataCellStyle="Comma"/>
    <tableColumn id="6" xr3:uid="{C168CF94-3F66-45B7-BA33-8A396CBEECE2}" name="2024" dataDxfId="269" dataCellStyle="Comma"/>
  </tableColumns>
  <tableStyleInfo name="TableStyleMedium13"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C453960C-3AB6-406A-B1F9-6CBF524EFA09}" name="Table318" displayName="Table318" ref="O25:T29" totalsRowShown="0" headerRowDxfId="268" dataDxfId="267">
  <autoFilter ref="O25:T29" xr:uid="{C453960C-3AB6-406A-B1F9-6CBF524EFA09}">
    <filterColumn colId="0" hiddenButton="1"/>
    <filterColumn colId="1" hiddenButton="1"/>
    <filterColumn colId="2" hiddenButton="1"/>
    <filterColumn colId="3" hiddenButton="1"/>
    <filterColumn colId="4" hiddenButton="1"/>
    <filterColumn colId="5" hiddenButton="1"/>
  </autoFilter>
  <tableColumns count="6">
    <tableColumn id="1" xr3:uid="{38ECFA02-94F7-4E8D-846E-C7468A9EBB1D}" name="Particulars" dataDxfId="266"/>
    <tableColumn id="2" xr3:uid="{05367461-7B03-465E-9162-C1D5133AB5FE}" name="2020" dataDxfId="265" dataCellStyle="Comma"/>
    <tableColumn id="3" xr3:uid="{415467CE-3B80-452D-AC44-A3767C55711B}" name="2021" dataDxfId="264" dataCellStyle="Comma"/>
    <tableColumn id="4" xr3:uid="{5D7EEFE8-48C0-4AFE-BB26-1F3D007CC574}" name="2022" dataDxfId="263" dataCellStyle="Comma"/>
    <tableColumn id="5" xr3:uid="{754D8E14-2B0B-4F55-96A8-9BD6D1F38DC8}" name="2023" dataDxfId="262" dataCellStyle="Comma"/>
    <tableColumn id="6" xr3:uid="{8A796CD0-7721-4FF2-83E9-4D84002A6DAB}" name="2024" dataDxfId="261" dataCellStyle="Comma"/>
  </tableColumns>
  <tableStyleInfo name="TableStyleMedium13"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D37794B-655C-46E3-B8A0-760DF33A4147}" name="Table1819" displayName="Table1819" ref="W2:AB10" totalsRowShown="0" headerRowDxfId="260" dataDxfId="259">
  <autoFilter ref="W2:AB10" xr:uid="{BD37794B-655C-46E3-B8A0-760DF33A4147}">
    <filterColumn colId="0" hiddenButton="1"/>
    <filterColumn colId="1" hiddenButton="1"/>
    <filterColumn colId="2" hiddenButton="1"/>
    <filterColumn colId="3" hiddenButton="1"/>
    <filterColumn colId="4" hiddenButton="1"/>
    <filterColumn colId="5" hiddenButton="1"/>
  </autoFilter>
  <tableColumns count="6">
    <tableColumn id="1" xr3:uid="{2939FF33-AF73-495E-AE76-1CACD497C0A8}" name="Particulars" dataDxfId="258"/>
    <tableColumn id="2" xr3:uid="{F90F4450-0B65-40DD-8597-359C49620D94}" name="2020" dataDxfId="257" dataCellStyle="Comma"/>
    <tableColumn id="3" xr3:uid="{918C3799-2BCF-4B92-8E4D-F7D89F15FADD}" name="2021" dataDxfId="256" dataCellStyle="Comma"/>
    <tableColumn id="4" xr3:uid="{B29398E7-C5C7-4334-A7D5-F273EB019771}" name="2022" dataDxfId="255" dataCellStyle="Comma"/>
    <tableColumn id="5" xr3:uid="{443E54AD-9966-4231-A8DA-7159B5B3685A}" name="2023" dataDxfId="254" dataCellStyle="Comma"/>
    <tableColumn id="6" xr3:uid="{6371A28B-C764-4C12-935D-C1613D67CE7B}" name="2024" dataDxfId="253" dataCellStyle="Comma"/>
  </tableColumns>
  <tableStyleInfo name="TableStyleMedium13"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EC2EFDFB-188B-4FFE-B8F3-13993ACEECF4}" name="Table2920" displayName="Table2920" ref="W13:AB22" totalsRowShown="0" headerRowDxfId="252" dataDxfId="251">
  <autoFilter ref="W13:AB22" xr:uid="{EC2EFDFB-188B-4FFE-B8F3-13993ACEECF4}">
    <filterColumn colId="0" hiddenButton="1"/>
    <filterColumn colId="1" hiddenButton="1"/>
    <filterColumn colId="2" hiddenButton="1"/>
    <filterColumn colId="3" hiddenButton="1"/>
    <filterColumn colId="4" hiddenButton="1"/>
    <filterColumn colId="5" hiddenButton="1"/>
  </autoFilter>
  <tableColumns count="6">
    <tableColumn id="1" xr3:uid="{A866397C-75C9-4E67-8BD8-00857476BA69}" name="Particulars" dataDxfId="250"/>
    <tableColumn id="2" xr3:uid="{A0BCB260-11F1-402E-8080-B6B707CF391C}" name="2020" dataDxfId="249" dataCellStyle="Comma"/>
    <tableColumn id="3" xr3:uid="{7761C370-466A-40A0-AEE3-B4189BE8F06F}" name="2021" dataDxfId="248" dataCellStyle="Comma"/>
    <tableColumn id="4" xr3:uid="{61481B47-A8E5-458B-9B47-E8C808FD49E2}" name="2022" dataDxfId="247" dataCellStyle="Comma"/>
    <tableColumn id="5" xr3:uid="{A63A3358-A662-4788-B8D1-6D22C1B8B76B}" name="2023" dataDxfId="246" dataCellStyle="Comma"/>
    <tableColumn id="6" xr3:uid="{300C94F2-533C-4A41-9903-03DBA6365416}" name="2024" dataDxfId="245" dataCellStyle="Comma"/>
  </tableColumns>
  <tableStyleInfo name="TableStyleMedium13"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6E29559-EF33-4FDF-B740-891E4622938C}" name="Table31021" displayName="Table31021" ref="W25:AB29" totalsRowShown="0" headerRowDxfId="244" dataDxfId="243">
  <autoFilter ref="W25:AB29" xr:uid="{C6E29559-EF33-4FDF-B740-891E4622938C}">
    <filterColumn colId="0" hiddenButton="1"/>
    <filterColumn colId="1" hiddenButton="1"/>
    <filterColumn colId="2" hiddenButton="1"/>
    <filterColumn colId="3" hiddenButton="1"/>
    <filterColumn colId="4" hiddenButton="1"/>
    <filterColumn colId="5" hiddenButton="1"/>
  </autoFilter>
  <tableColumns count="6">
    <tableColumn id="1" xr3:uid="{8741F922-63EC-449F-9A9E-70144707B9A3}" name="Particulars" dataDxfId="242"/>
    <tableColumn id="2" xr3:uid="{273E7206-282D-4627-9C0D-9E91DD52BDB9}" name="2020" dataDxfId="241" dataCellStyle="Comma"/>
    <tableColumn id="3" xr3:uid="{06E12A6F-8516-4ED1-B09B-125240E63EAD}" name="2021" dataDxfId="240" dataCellStyle="Comma"/>
    <tableColumn id="4" xr3:uid="{B43D0D7A-A069-4C90-8266-DF7CDDA4E0C6}" name="2022" dataDxfId="239" dataCellStyle="Comma"/>
    <tableColumn id="5" xr3:uid="{323BC346-08D0-4607-B9A3-64587BB69E29}" name="2023" dataDxfId="238" dataCellStyle="Comma"/>
    <tableColumn id="6" xr3:uid="{0CCC85C4-8812-43FD-BF08-3E2F6E8076FD}" name="2024" dataDxfId="237" dataCellStyle="Comma"/>
  </tableColumns>
  <tableStyleInfo name="TableStyleMedium13"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1FE70171-1FCF-474F-A050-53E395CE2D8F}" name="Table11435" displayName="Table11435" ref="AE2:AJ10" totalsRowShown="0" headerRowDxfId="236" dataDxfId="235">
  <autoFilter ref="AE2:AJ10" xr:uid="{1FE70171-1FCF-474F-A050-53E395CE2D8F}">
    <filterColumn colId="0" hiddenButton="1"/>
    <filterColumn colId="1" hiddenButton="1"/>
    <filterColumn colId="2" hiddenButton="1"/>
    <filterColumn colId="3" hiddenButton="1"/>
    <filterColumn colId="4" hiddenButton="1"/>
    <filterColumn colId="5" hiddenButton="1"/>
  </autoFilter>
  <tableColumns count="6">
    <tableColumn id="1" xr3:uid="{ADEE04B0-D6B7-48AD-A584-529B6A575B00}" name="Particulars" dataDxfId="234"/>
    <tableColumn id="2" xr3:uid="{7C1F1655-CDE4-413C-947B-6D84185A6558}" name="2020" dataDxfId="233" dataCellStyle="Comma"/>
    <tableColumn id="3" xr3:uid="{50B3DA17-EC26-48D6-B88F-B61699E1DE1A}" name="2021" dataDxfId="232" dataCellStyle="Comma"/>
    <tableColumn id="4" xr3:uid="{2C84904D-5241-4AEC-9080-0D9C49A110EA}" name="2022" dataDxfId="231" dataCellStyle="Comma"/>
    <tableColumn id="5" xr3:uid="{28501C08-F883-446C-BEC5-EBDC9DB50C68}" name="2023" dataDxfId="230" dataCellStyle="Comma"/>
    <tableColumn id="6" xr3:uid="{54EB0158-2BA7-4645-BAC8-8AD12DEB3C77}" name="2024" dataDxfId="229" dataCellStyle="Comma"/>
  </tableColumns>
  <tableStyleInfo name="TableStyleMedium13"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AE5E32F8-485F-497E-B79C-868795F1C224}" name="Table21536" displayName="Table21536" ref="AE13:AJ22" totalsRowShown="0" headerRowDxfId="228" dataDxfId="227">
  <autoFilter ref="AE13:AJ22" xr:uid="{AE5E32F8-485F-497E-B79C-868795F1C224}">
    <filterColumn colId="0" hiddenButton="1"/>
    <filterColumn colId="1" hiddenButton="1"/>
    <filterColumn colId="2" hiddenButton="1"/>
    <filterColumn colId="3" hiddenButton="1"/>
    <filterColumn colId="4" hiddenButton="1"/>
    <filterColumn colId="5" hiddenButton="1"/>
  </autoFilter>
  <tableColumns count="6">
    <tableColumn id="1" xr3:uid="{31075BAB-07B1-4DF5-84DF-4A666B1CA94C}" name="Particulars" dataDxfId="226"/>
    <tableColumn id="2" xr3:uid="{8AE87F76-9FFE-47FB-B4B9-0740DE45EE15}" name="2020" dataDxfId="225" dataCellStyle="Comma"/>
    <tableColumn id="3" xr3:uid="{C0B54EC9-2AB1-41DE-A8EB-5404937000B2}" name="2021" dataDxfId="224" dataCellStyle="Comma"/>
    <tableColumn id="4" xr3:uid="{2F71BA5C-8954-46CD-935D-0481B31D140B}" name="2022" dataDxfId="223" dataCellStyle="Comma"/>
    <tableColumn id="5" xr3:uid="{593C3B74-5BB2-4B8B-9B8A-7DAB8F5780EC}" name="2023" dataDxfId="222" dataCellStyle="Comma"/>
    <tableColumn id="6" xr3:uid="{B4A37E0D-CFD6-4F72-A8BC-9ECC33F7F8A7}" name="2024" dataDxfId="221" dataCellStyle="Comma"/>
  </tableColumns>
  <tableStyleInfo name="TableStyleMedium13"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DBFA3DE6-05EE-4AA7-A5E5-03CEB08F7D9D}" name="Table31837" displayName="Table31837" ref="AE25:AJ29" totalsRowShown="0" headerRowDxfId="220" dataDxfId="219">
  <autoFilter ref="AE25:AJ29" xr:uid="{DBFA3DE6-05EE-4AA7-A5E5-03CEB08F7D9D}">
    <filterColumn colId="0" hiddenButton="1"/>
    <filterColumn colId="1" hiddenButton="1"/>
    <filterColumn colId="2" hiddenButton="1"/>
    <filterColumn colId="3" hiddenButton="1"/>
    <filterColumn colId="4" hiddenButton="1"/>
    <filterColumn colId="5" hiddenButton="1"/>
  </autoFilter>
  <tableColumns count="6">
    <tableColumn id="1" xr3:uid="{DDDF9757-E530-43C7-88F1-6EDB80FCF03E}" name="Particulars" dataDxfId="218"/>
    <tableColumn id="2" xr3:uid="{16DC9359-DC48-4A67-B986-89B6DEC04E8D}" name="2020" dataDxfId="217" dataCellStyle="Comma"/>
    <tableColumn id="3" xr3:uid="{FC7BF68B-572A-496B-A4CA-242B0B21314F}" name="2021" dataDxfId="216" dataCellStyle="Comma"/>
    <tableColumn id="4" xr3:uid="{77888F3A-4AEF-4B1F-B4BF-58EF63B0BFA4}" name="2022" dataDxfId="215" dataCellStyle="Comma"/>
    <tableColumn id="5" xr3:uid="{8B2EDA89-0974-4C60-B0AC-26798336BB39}" name="2023" dataDxfId="214" dataCellStyle="Comma"/>
    <tableColumn id="6" xr3:uid="{6EDEFB73-B3A1-46FC-B70C-336D466EC38B}" name="2024" dataDxfId="213" dataCellStyle="Comma"/>
  </tableColumns>
  <tableStyleInfo name="TableStyleMedium13"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46B4DF0E-A58D-4D99-9047-BF0F41634605}" name="Table181938" displayName="Table181938" ref="AM2:AR10" totalsRowShown="0" headerRowDxfId="212" dataDxfId="211">
  <autoFilter ref="AM2:AR10" xr:uid="{46B4DF0E-A58D-4D99-9047-BF0F41634605}">
    <filterColumn colId="0" hiddenButton="1"/>
    <filterColumn colId="1" hiddenButton="1"/>
    <filterColumn colId="2" hiddenButton="1"/>
    <filterColumn colId="3" hiddenButton="1"/>
    <filterColumn colId="4" hiddenButton="1"/>
    <filterColumn colId="5" hiddenButton="1"/>
  </autoFilter>
  <tableColumns count="6">
    <tableColumn id="1" xr3:uid="{FE876CF6-F8AA-40E0-95E6-5AA62DD4DB87}" name="Particulars" dataDxfId="210"/>
    <tableColumn id="2" xr3:uid="{85093D3C-B657-41D4-AB0B-D902D4BC4180}" name="2020" dataDxfId="209" dataCellStyle="Comma"/>
    <tableColumn id="3" xr3:uid="{EF8B405D-3646-498A-940B-9AB09221145D}" name="2021" dataDxfId="208" dataCellStyle="Comma"/>
    <tableColumn id="4" xr3:uid="{9D63E86E-D697-4B0B-BEC8-2D113037E0F8}" name="2022" dataDxfId="207" dataCellStyle="Comma"/>
    <tableColumn id="5" xr3:uid="{58FCDEFD-A1AA-4827-BC2A-3C7D83F3572C}" name="2023" dataDxfId="206" dataCellStyle="Comma"/>
    <tableColumn id="6" xr3:uid="{EF97FC08-2E87-4C78-931E-1424B9CA4964}" name="2024" dataDxfId="205" dataCellStyle="Comma"/>
  </tableColumns>
  <tableStyleInfo name="TableStyleMedium13"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2B2243AD-EEC5-4076-8F96-85971C54E941}" name="Table292039" displayName="Table292039" ref="AM13:AR22" totalsRowShown="0" headerRowDxfId="204" dataDxfId="203">
  <autoFilter ref="AM13:AR22" xr:uid="{2B2243AD-EEC5-4076-8F96-85971C54E941}">
    <filterColumn colId="0" hiddenButton="1"/>
    <filterColumn colId="1" hiddenButton="1"/>
    <filterColumn colId="2" hiddenButton="1"/>
    <filterColumn colId="3" hiddenButton="1"/>
    <filterColumn colId="4" hiddenButton="1"/>
    <filterColumn colId="5" hiddenButton="1"/>
  </autoFilter>
  <tableColumns count="6">
    <tableColumn id="1" xr3:uid="{29EB6E70-80C5-4DE9-8CF5-B6AB16A56726}" name="Particulars" dataDxfId="202"/>
    <tableColumn id="2" xr3:uid="{3A9865D0-0B12-4F96-850C-BE1F8B6FA01A}" name="2020" dataDxfId="201" dataCellStyle="Comma"/>
    <tableColumn id="3" xr3:uid="{0C1015BF-D57B-4B4A-B6AF-852D83C908AF}" name="2021" dataDxfId="200" dataCellStyle="Comma"/>
    <tableColumn id="4" xr3:uid="{AC5A531D-D50F-4D5A-A7FC-DFCA0C60A3BD}" name="2022" dataDxfId="199" dataCellStyle="Comma"/>
    <tableColumn id="5" xr3:uid="{191A3620-1C8B-4C06-AADF-1F0EB0EF5438}" name="2023" dataDxfId="198" dataCellStyle="Comma"/>
    <tableColumn id="6" xr3:uid="{16BE5DF3-B09F-4094-B088-3B1C28C54881}" name="2024" dataDxfId="197" dataCellStyle="Comma"/>
  </tableColumns>
  <tableStyleInfo name="TableStyleMedium13"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95D9B5EB-565E-4257-8CF6-670320D42C63}" name="Table3102140" displayName="Table3102140" ref="AM25:AR29" totalsRowShown="0" headerRowDxfId="196" dataDxfId="195">
  <autoFilter ref="AM25:AR29" xr:uid="{95D9B5EB-565E-4257-8CF6-670320D42C63}">
    <filterColumn colId="0" hiddenButton="1"/>
    <filterColumn colId="1" hiddenButton="1"/>
    <filterColumn colId="2" hiddenButton="1"/>
    <filterColumn colId="3" hiddenButton="1"/>
    <filterColumn colId="4" hiddenButton="1"/>
    <filterColumn colId="5" hiddenButton="1"/>
  </autoFilter>
  <tableColumns count="6">
    <tableColumn id="1" xr3:uid="{168F3807-3189-4C93-B9B4-3064C5B1E069}" name="Particulars" dataDxfId="194"/>
    <tableColumn id="2" xr3:uid="{32625139-62C7-4409-979E-B0DE208A0900}" name="2020" dataDxfId="193" dataCellStyle="Comma"/>
    <tableColumn id="3" xr3:uid="{4EF77EE9-2573-4C74-90FA-1F6CAAE33B7B}" name="2021" dataDxfId="192" dataCellStyle="Comma"/>
    <tableColumn id="4" xr3:uid="{4BEEC593-1799-4D15-94E3-7C4F8890D909}" name="2022" dataDxfId="191" dataCellStyle="Comma"/>
    <tableColumn id="5" xr3:uid="{567D36A5-B40E-495C-948A-5A6A697C8E15}" name="2023" dataDxfId="190" dataCellStyle="Comma"/>
    <tableColumn id="6" xr3:uid="{FC3F405B-21A2-4200-B05A-CC9374E12AB5}" name="2024" dataDxfId="189" dataCellStyle="Comma"/>
  </tableColumns>
  <tableStyleInfo name="TableStyleMedium13"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2D34FFC0-063E-459C-A27F-F969252E4456}" name="Table19" displayName="Table19" ref="I2:N4" totalsRowShown="0" headerRowDxfId="188" dataDxfId="186" headerRowBorderDxfId="187" tableBorderDxfId="185" totalsRowBorderDxfId="184">
  <autoFilter ref="I2:N4" xr:uid="{2D34FFC0-063E-459C-A27F-F969252E4456}">
    <filterColumn colId="0" hiddenButton="1"/>
    <filterColumn colId="1" hiddenButton="1"/>
    <filterColumn colId="2" hiddenButton="1"/>
    <filterColumn colId="3" hiddenButton="1"/>
    <filterColumn colId="4" hiddenButton="1"/>
    <filterColumn colId="5" hiddenButton="1"/>
  </autoFilter>
  <tableColumns count="6">
    <tableColumn id="1" xr3:uid="{7F0DB9D8-4F1E-47F6-8BD1-E7431FB72C42}" name="Current" dataDxfId="183"/>
    <tableColumn id="2" xr3:uid="{A6C8D488-9244-4D04-8F73-C9D369CB4B38}" name="2020" dataDxfId="182"/>
    <tableColumn id="3" xr3:uid="{07A851B5-7D2C-492E-B089-BB07DB031BDB}" name="2021" dataDxfId="181"/>
    <tableColumn id="4" xr3:uid="{AC26A156-E3E2-464F-BA34-0F3E2CA78449}" name="2022" dataDxfId="180"/>
    <tableColumn id="5" xr3:uid="{8100A8CD-39C4-4A25-A2EB-9AAEA5094CE9}" name="2023" dataDxfId="179"/>
    <tableColumn id="6" xr3:uid="{2EB8AEEA-D06F-45B6-A676-E3F037E85B45}" name="2024" dataDxfId="178"/>
  </tableColumns>
  <tableStyleInfo name="TableStyleLight8"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EF6FDA5B-FB87-438B-9777-54D0C36FA792}" name="Table20" displayName="Table20" ref="I6:O8" totalsRowShown="0" headerRowDxfId="177" dataDxfId="175" headerRowBorderDxfId="176" tableBorderDxfId="174" totalsRowBorderDxfId="173">
  <autoFilter ref="I6:O8" xr:uid="{EF6FDA5B-FB87-438B-9777-54D0C36FA79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F1306D7-E969-4537-984C-A1FC9B08C3E4}" name="Forecast" dataDxfId="172">
      <calculatedColumnFormula>I3</calculatedColumnFormula>
    </tableColumn>
    <tableColumn id="2" xr3:uid="{505A1D30-0A12-4707-9C8F-82EFDA52F17C}" name="2025" dataDxfId="171"/>
    <tableColumn id="3" xr3:uid="{14313DC6-6862-4EEB-9DB0-C31D176254DC}" name="2026" dataDxfId="170"/>
    <tableColumn id="4" xr3:uid="{8D136B1C-3067-4DBF-838D-CE00D26A6F38}" name="2027" dataDxfId="169"/>
    <tableColumn id="5" xr3:uid="{E6E92B38-9887-4580-80A5-1ED04FC6B8C3}" name="2028" dataDxfId="168"/>
    <tableColumn id="6" xr3:uid="{B0B7E678-16CD-4961-A68A-08D0DB59DDD2}" name="2029" dataDxfId="167"/>
    <tableColumn id="7" xr3:uid="{7479D9FD-91A2-4227-9FF0-A512868DDFFC}" name="2030" dataDxfId="166"/>
  </tableColumns>
  <tableStyleInfo name="TableStyleLight8"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17DE9920-8D41-4A51-AECB-CDACA0519B9A}" name="Table1943" displayName="Table1943" ref="I10:N12" totalsRowShown="0" headerRowDxfId="165" dataDxfId="163" headerRowBorderDxfId="164" tableBorderDxfId="162" totalsRowBorderDxfId="161">
  <autoFilter ref="I10:N12" xr:uid="{17DE9920-8D41-4A51-AECB-CDACA0519B9A}">
    <filterColumn colId="0" hiddenButton="1"/>
    <filterColumn colId="1" hiddenButton="1"/>
    <filterColumn colId="2" hiddenButton="1"/>
    <filterColumn colId="3" hiddenButton="1"/>
    <filterColumn colId="4" hiddenButton="1"/>
    <filterColumn colId="5" hiddenButton="1"/>
  </autoFilter>
  <tableColumns count="6">
    <tableColumn id="1" xr3:uid="{60EDDC3C-C14A-48D7-B606-85A03617E488}" name="Current" dataDxfId="160"/>
    <tableColumn id="2" xr3:uid="{7D8749CA-195A-4E4C-8C75-4494CB321E73}" name="2020" dataDxfId="159"/>
    <tableColumn id="3" xr3:uid="{B00F6E2B-9674-4DA1-BB53-34AD256D7DBE}" name="2021" dataDxfId="158"/>
    <tableColumn id="4" xr3:uid="{C43CDAF2-F38D-44F6-81BB-4965DE5062B8}" name="2022" dataDxfId="157"/>
    <tableColumn id="5" xr3:uid="{174C9403-54CB-4E7F-B55A-9641891DC15B}" name="2023" dataDxfId="156"/>
    <tableColumn id="6" xr3:uid="{6E958A72-3AB0-44A3-AF4C-AAD3D57DD931}" name="2024" dataDxfId="155"/>
  </tableColumns>
  <tableStyleInfo name="TableStyleLight8"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F8C24514-12B6-479D-9F84-D1D247B9AE67}" name="Table2044" displayName="Table2044" ref="I14:O16" totalsRowShown="0" headerRowDxfId="154" dataDxfId="152" headerRowBorderDxfId="153" tableBorderDxfId="151" totalsRowBorderDxfId="150">
  <autoFilter ref="I14:O16" xr:uid="{F8C24514-12B6-479D-9F84-D1D247B9AE67}">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3E92B84-ABC3-4BBA-8326-04C5B6843AC9}" name="Forecast" dataDxfId="149">
      <calculatedColumnFormula>I11</calculatedColumnFormula>
    </tableColumn>
    <tableColumn id="2" xr3:uid="{B5F032B3-3951-4424-AE37-26429212A522}" name="2025" dataDxfId="148"/>
    <tableColumn id="3" xr3:uid="{54AD930F-96B6-4A8D-8157-9436A0A59BEF}" name="2026" dataDxfId="147"/>
    <tableColumn id="4" xr3:uid="{4EC40019-4276-4987-BD6B-092D645A1DBA}" name="2027" dataDxfId="146"/>
    <tableColumn id="5" xr3:uid="{79AEFA1F-B9FB-42C3-8C97-633508875937}" name="2028" dataDxfId="145"/>
    <tableColumn id="6" xr3:uid="{F222834C-734D-4021-A94D-8E8D5F9908E8}" name="2029" dataDxfId="144"/>
    <tableColumn id="7" xr3:uid="{E3BA45FD-0F6B-4971-B565-C312A376DFE2}" name="2030" dataDxfId="143"/>
  </tableColumns>
  <tableStyleInfo name="TableStyleLight8"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7AE5784E-B349-419E-B365-8F2A68AF4B03}" name="Table1945" displayName="Table1945" ref="I18:N20" totalsRowShown="0" headerRowDxfId="142" dataDxfId="140" headerRowBorderDxfId="141" tableBorderDxfId="139" totalsRowBorderDxfId="138">
  <autoFilter ref="I18:N20" xr:uid="{7AE5784E-B349-419E-B365-8F2A68AF4B03}">
    <filterColumn colId="0" hiddenButton="1"/>
    <filterColumn colId="1" hiddenButton="1"/>
    <filterColumn colId="2" hiddenButton="1"/>
    <filterColumn colId="3" hiddenButton="1"/>
    <filterColumn colId="4" hiddenButton="1"/>
    <filterColumn colId="5" hiddenButton="1"/>
  </autoFilter>
  <tableColumns count="6">
    <tableColumn id="1" xr3:uid="{DD6C1D4D-5B94-4449-8279-7A1D73F641DC}" name="Current" dataDxfId="137"/>
    <tableColumn id="2" xr3:uid="{D68C589D-C1B4-4F2F-B8F6-58D390A77A28}" name="2020" dataDxfId="136"/>
    <tableColumn id="3" xr3:uid="{33239783-CC93-4991-81ED-1919E7D0D58F}" name="2021" dataDxfId="135"/>
    <tableColumn id="4" xr3:uid="{FF98E3B6-8D36-4FC4-9EB9-1CCC2B8C7A17}" name="2022" dataDxfId="134"/>
    <tableColumn id="5" xr3:uid="{4E330BBB-494E-4FD0-A6C6-85DC98D154B4}" name="2023" dataDxfId="133"/>
    <tableColumn id="6" xr3:uid="{7AB3A4BE-FF00-464A-8674-512BD19473FA}" name="2024" dataDxfId="132"/>
  </tableColumns>
  <tableStyleInfo name="TableStyleLight8"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9691A233-EEC4-4D93-AAAE-4E56404FF13B}" name="Table2046" displayName="Table2046" ref="I22:O24" totalsRowShown="0" headerRowDxfId="131" dataDxfId="129" headerRowBorderDxfId="130" tableBorderDxfId="128" totalsRowBorderDxfId="127">
  <autoFilter ref="I22:O24" xr:uid="{9691A233-EEC4-4D93-AAAE-4E56404FF13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165D5B3-2F7E-4C54-AEB9-A82950BE595C}" name="Forecast" dataDxfId="126">
      <calculatedColumnFormula>I19</calculatedColumnFormula>
    </tableColumn>
    <tableColumn id="2" xr3:uid="{4735D245-BA80-4DB1-97B5-5BFEB11BE482}" name="2025" dataDxfId="125"/>
    <tableColumn id="3" xr3:uid="{A493EC40-A27D-4070-880D-3FA94B13F5D3}" name="2026" dataDxfId="124"/>
    <tableColumn id="4" xr3:uid="{B73DE946-CCDE-420A-B9EC-DB225CED4286}" name="2027" dataDxfId="123"/>
    <tableColumn id="5" xr3:uid="{343596F4-C420-40FB-83CD-338753BC4D01}" name="2028" dataDxfId="122"/>
    <tableColumn id="6" xr3:uid="{3A1CCC7D-520C-4DF5-9778-70AE21FF5CA1}" name="2029" dataDxfId="121"/>
    <tableColumn id="7" xr3:uid="{FC6B6A7C-4E45-4895-B7C5-1729B00F360B}" name="2030" dataDxfId="120"/>
  </tableColumns>
  <tableStyleInfo name="TableStyleLight8"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AE1358E5-8700-4884-B631-8E21855A71E8}" name="Table8" displayName="Table8" ref="A12:B22" totalsRowShown="0" headerRowDxfId="119" dataDxfId="118">
  <autoFilter ref="A12:B22" xr:uid="{AE1358E5-8700-4884-B631-8E21855A71E8}">
    <filterColumn colId="0" hiddenButton="1"/>
    <filterColumn colId="1" hiddenButton="1"/>
  </autoFilter>
  <tableColumns count="2">
    <tableColumn id="1" xr3:uid="{6B9FA03A-AFB8-4F06-8105-6C9B088F8B33}" name="Metrics" dataDxfId="117"/>
    <tableColumn id="2" xr3:uid="{A56C6F4B-BAC5-4FA9-9A62-4ED9DC3124DA}" name="Value" dataDxfId="116"/>
  </tableColumns>
  <tableStyleInfo name="TableStyleMedium9"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F4E67369-6F46-4BD4-9034-A95D1588E036}" name="Table9" displayName="Table9" ref="A2:G9" totalsRowShown="0" headerRowDxfId="115" dataDxfId="114" headerRowCellStyle="Percent">
  <autoFilter ref="A2:G9" xr:uid="{F4E67369-6F46-4BD4-9034-A95D1588E03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8F08E0A-156A-4456-A225-FA6A8825221A}" name="Particulars" dataDxfId="113"/>
    <tableColumn id="2" xr3:uid="{E151C7E5-1377-4BA3-BE73-1F7226F1886B}" name="2025" dataDxfId="112"/>
    <tableColumn id="3" xr3:uid="{C10CBAAE-AAC2-4A56-B679-C3C3D1CDB0A9}" name="2026" dataDxfId="111"/>
    <tableColumn id="4" xr3:uid="{C67575F6-44FB-40B4-86CE-C45BABB95671}" name="2027" dataDxfId="110"/>
    <tableColumn id="5" xr3:uid="{86459E28-195F-4619-BE47-A5A74206337B}" name="2028" dataDxfId="109"/>
    <tableColumn id="6" xr3:uid="{9BEEB0B8-5F49-4777-BF15-3E7C11763CD6}" name="2029" dataDxfId="108"/>
    <tableColumn id="7" xr3:uid="{1F26D623-CB43-4251-A37F-5DA89AA93C85}" name="2030" dataDxfId="107"/>
  </tableColumns>
  <tableStyleInfo name="TableStyleMedium9"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208F89DF-7AC5-4D2D-8E8C-8934B1553DF2}" name="Table10" displayName="Table10" ref="I2:O9" totalsRowShown="0" headerRowDxfId="106" dataDxfId="105" tableBorderDxfId="104" headerRowCellStyle="Percent">
  <autoFilter ref="I2:O9" xr:uid="{208F89DF-7AC5-4D2D-8E8C-8934B1553DF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0E11399-CD72-4C16-B44D-A81766B94EF5}" name="Particulars" dataDxfId="103"/>
    <tableColumn id="2" xr3:uid="{60670FD5-9F44-44F7-86A2-FC322A68C415}" name="2025" dataDxfId="102" dataCellStyle="Comma"/>
    <tableColumn id="3" xr3:uid="{6ACCD15B-7295-4BD6-8C41-5977540DF064}" name="2026" dataDxfId="101" dataCellStyle="Comma"/>
    <tableColumn id="4" xr3:uid="{8706183F-DD16-4A51-83BD-6688A4CADBDF}" name="2027" dataDxfId="100" dataCellStyle="Comma"/>
    <tableColumn id="5" xr3:uid="{E035FE13-11BA-401A-97DF-09FFF2BB2458}" name="2028" dataDxfId="99" dataCellStyle="Comma"/>
    <tableColumn id="6" xr3:uid="{A9A4F4B8-3D8A-43A1-9051-4DD237E3733B}" name="2029" dataDxfId="98" dataCellStyle="Comma"/>
    <tableColumn id="7" xr3:uid="{408967C0-4A8C-47DB-8A99-EF94DCCD6623}" name="2030" dataDxfId="97" dataCellStyle="Comma"/>
  </tableColumns>
  <tableStyleInfo name="TableStyleMedium17"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D00EA7C3-BC00-41D2-9A2C-0C959009EC39}" name="Table814" displayName="Table814" ref="I12:J22" totalsRowShown="0" headerRowDxfId="96" dataDxfId="95" tableBorderDxfId="94">
  <autoFilter ref="I12:J22" xr:uid="{D00EA7C3-BC00-41D2-9A2C-0C959009EC39}">
    <filterColumn colId="0" hiddenButton="1"/>
    <filterColumn colId="1" hiddenButton="1"/>
  </autoFilter>
  <tableColumns count="2">
    <tableColumn id="1" xr3:uid="{BAC06B8B-F796-4EAF-88E4-DCDF8D54F17F}" name="Metrics" dataDxfId="93"/>
    <tableColumn id="2" xr3:uid="{1535F710-BAA7-4F2B-9733-9662D55548D0}" name="Value" dataDxfId="92"/>
  </tableColumns>
  <tableStyleInfo name="TableStyleMedium17"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AF56FE72-A303-45A0-8D75-C1ED3E85688D}" name="Table851" displayName="Table851" ref="Q12:R22" totalsRowShown="0" headerRowDxfId="91" dataDxfId="90">
  <autoFilter ref="Q12:R22" xr:uid="{AF56FE72-A303-45A0-8D75-C1ED3E85688D}">
    <filterColumn colId="0" hiddenButton="1"/>
    <filterColumn colId="1" hiddenButton="1"/>
  </autoFilter>
  <tableColumns count="2">
    <tableColumn id="1" xr3:uid="{C25E19C5-E1C9-41EB-9BA2-568B6EE2D328}" name="Metrics" dataDxfId="89"/>
    <tableColumn id="2" xr3:uid="{DFC7D2CF-828E-4B17-B8EF-54163A20F356}" name="Value" dataDxfId="88"/>
  </tableColumns>
  <tableStyleInfo name="TableStyleMedium9"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C3D8530-1914-47E6-91C4-9133BD98D613}" name="Table952" displayName="Table952" ref="Q2:W9" totalsRowShown="0" headerRowDxfId="87" dataDxfId="86" headerRowCellStyle="Percent">
  <autoFilter ref="Q2:W9" xr:uid="{0C3D8530-1914-47E6-91C4-9133BD98D613}">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326E4C7D-6D0C-448C-80FD-8816386D2C7B}" name="Particulars" dataDxfId="85"/>
    <tableColumn id="2" xr3:uid="{6FF4A3BD-C77D-444D-B945-92BD47F94A12}" name="2025" dataDxfId="84"/>
    <tableColumn id="3" xr3:uid="{940E2C11-6CBA-46D5-8CF3-79EEC27391C1}" name="2026" dataDxfId="83"/>
    <tableColumn id="4" xr3:uid="{46DFBF2C-3245-4CF5-AEB3-E2F4E8CF7C58}" name="2027" dataDxfId="82"/>
    <tableColumn id="5" xr3:uid="{C0FA1742-EDD2-4FFF-8800-9E380A080494}" name="2028" dataDxfId="81"/>
    <tableColumn id="6" xr3:uid="{507B4DE0-83F1-4834-A4D7-55CACDAC1520}" name="2029" dataDxfId="80"/>
    <tableColumn id="7" xr3:uid="{975B69C6-ABB2-4539-80FA-02E7B2E078A5}" name="2030" dataDxfId="79"/>
  </tableColumns>
  <tableStyleInfo name="TableStyleMedium9"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614C1C45-ED4A-4C37-84C5-AA2EB5A4BBFE}" name="Table1053" displayName="Table1053" ref="Y2:AE9" totalsRowShown="0" headerRowDxfId="78" dataDxfId="77" tableBorderDxfId="76" headerRowCellStyle="Percent">
  <autoFilter ref="Y2:AE9" xr:uid="{614C1C45-ED4A-4C37-84C5-AA2EB5A4BBF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F439944-8C1D-445E-A1CD-CE49C3AFF1A7}" name="Particulars" dataDxfId="75"/>
    <tableColumn id="2" xr3:uid="{924BB532-F55C-4888-B7F0-D739DB057342}" name="2025" dataDxfId="74" dataCellStyle="Comma"/>
    <tableColumn id="3" xr3:uid="{01ED35B9-489D-4EEC-9F9A-984269259B1B}" name="2026" dataDxfId="73" dataCellStyle="Comma"/>
    <tableColumn id="4" xr3:uid="{6F760307-35AE-4550-9956-9C93BD3E6E85}" name="2027" dataDxfId="72" dataCellStyle="Comma"/>
    <tableColumn id="5" xr3:uid="{188AA1D5-B7A9-4C08-B6A9-E8F2F3363263}" name="2028" dataDxfId="71" dataCellStyle="Comma"/>
    <tableColumn id="6" xr3:uid="{A88097C1-BDA2-4A41-870F-D30CBDC6F394}" name="2029" dataDxfId="70" dataCellStyle="Comma"/>
    <tableColumn id="7" xr3:uid="{E2BC8350-11DF-44A9-B3FB-4AA4931DB169}" name="2030" dataDxfId="69" dataCellStyle="Comma"/>
  </tableColumns>
  <tableStyleInfo name="TableStyleMedium17"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EAE9DAA-DFA3-46D5-993A-D7E75F86D178}" name="Table81454" displayName="Table81454" ref="Y12:Z22" totalsRowShown="0" headerRowDxfId="68" dataDxfId="67" tableBorderDxfId="66">
  <autoFilter ref="Y12:Z22" xr:uid="{0EAE9DAA-DFA3-46D5-993A-D7E75F86D178}">
    <filterColumn colId="0" hiddenButton="1"/>
    <filterColumn colId="1" hiddenButton="1"/>
  </autoFilter>
  <tableColumns count="2">
    <tableColumn id="1" xr3:uid="{C9D998DF-71F1-4D60-AB77-7BBED8F0AD40}" name="Metrics" dataDxfId="65"/>
    <tableColumn id="2" xr3:uid="{21AA66AE-6BF2-4953-BDE3-2ACD7601EBCD}" name="Value" dataDxfId="64"/>
  </tableColumns>
  <tableStyleInfo name="TableStyleMedium17"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5D04998-2AC9-4E06-8162-B435E3D0D7EF}" name="Table859" displayName="Table859" ref="AG12:AH22" totalsRowShown="0" headerRowDxfId="63" dataDxfId="62">
  <autoFilter ref="AG12:AH22" xr:uid="{05D04998-2AC9-4E06-8162-B435E3D0D7EF}">
    <filterColumn colId="0" hiddenButton="1"/>
    <filterColumn colId="1" hiddenButton="1"/>
  </autoFilter>
  <tableColumns count="2">
    <tableColumn id="1" xr3:uid="{3B170EFE-45D2-4D85-A31E-A684722760FE}" name="Metrics" dataDxfId="61"/>
    <tableColumn id="2" xr3:uid="{A3842EC6-8C0A-496F-AC3D-9D7547A9C76B}" name="Value" dataDxfId="60"/>
  </tableColumns>
  <tableStyleInfo name="TableStyleMedium9"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BC86B399-A0D5-4005-A78C-27B307631539}" name="Table960" displayName="Table960" ref="AG2:AM9" totalsRowShown="0" headerRowDxfId="59" dataDxfId="58" headerRowCellStyle="Percent">
  <autoFilter ref="AG2:AM9" xr:uid="{BC86B399-A0D5-4005-A78C-27B30763153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2608913-D089-41C3-A233-FF562D6D3FF6}" name="Particulars" dataDxfId="57"/>
    <tableColumn id="2" xr3:uid="{23924D73-3E38-41B2-84A6-5D661D06851B}" name="2025" dataDxfId="56"/>
    <tableColumn id="3" xr3:uid="{562BF918-57E8-4EB0-971F-563FAFFAAC6F}" name="2026" dataDxfId="55"/>
    <tableColumn id="4" xr3:uid="{B400530E-EDD6-42F9-9F35-E8023818DD87}" name="2027" dataDxfId="54"/>
    <tableColumn id="5" xr3:uid="{5F3B4039-D6CA-4F3F-8DFE-C701C54E96E2}" name="2028" dataDxfId="53"/>
    <tableColumn id="6" xr3:uid="{BA96270A-421F-4A9B-AAA7-5BEC27E803DE}" name="2029" dataDxfId="52"/>
    <tableColumn id="7" xr3:uid="{463092F3-84C2-4C71-8350-A8165AB3541E}" name="2030" dataDxfId="51"/>
  </tableColumns>
  <tableStyleInfo name="TableStyleMedium9"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D5D84E6F-793A-4224-9660-9BC2C36E1FAF}" name="Table1061" displayName="Table1061" ref="AO2:AU9" totalsRowShown="0" headerRowDxfId="50" dataDxfId="49" tableBorderDxfId="48" headerRowCellStyle="Percent">
  <autoFilter ref="AO2:AU9" xr:uid="{D5D84E6F-793A-4224-9660-9BC2C36E1FA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3DB15E6C-7624-4FBA-804F-459DEB81FEF3}" name="Particulars" dataDxfId="47"/>
    <tableColumn id="2" xr3:uid="{500B5CCC-1E64-4E2E-90E3-24345858CB19}" name="2025" dataDxfId="46" dataCellStyle="Comma"/>
    <tableColumn id="3" xr3:uid="{A7944A00-701B-40A9-AB64-87A62A3E5426}" name="2026" dataDxfId="45" dataCellStyle="Comma"/>
    <tableColumn id="4" xr3:uid="{F8CB9D9E-73A0-4B44-B495-1CBD98BD1120}" name="2027" dataDxfId="44" dataCellStyle="Comma"/>
    <tableColumn id="5" xr3:uid="{2DD14DC7-8585-4D29-A9BC-4655ED4F124C}" name="2028" dataDxfId="43" dataCellStyle="Comma"/>
    <tableColumn id="6" xr3:uid="{5B27B924-7115-4E90-AF8F-4CD1CC68963D}" name="2029" dataDxfId="42" dataCellStyle="Comma"/>
    <tableColumn id="7" xr3:uid="{7ACA54D7-6DE1-4FE5-A2F9-824517104EA1}" name="2030" dataDxfId="41" dataCellStyle="Comma"/>
  </tableColumns>
  <tableStyleInfo name="TableStyleMedium17"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D285B3BB-F7B3-4BB0-9141-C9D110B4410B}" name="Table81462" displayName="Table81462" ref="AO12:AP22" totalsRowShown="0" headerRowDxfId="40" dataDxfId="39" tableBorderDxfId="38">
  <autoFilter ref="AO12:AP22" xr:uid="{D285B3BB-F7B3-4BB0-9141-C9D110B4410B}">
    <filterColumn colId="0" hiddenButton="1"/>
    <filterColumn colId="1" hiddenButton="1"/>
  </autoFilter>
  <tableColumns count="2">
    <tableColumn id="1" xr3:uid="{9B291BD6-3BEA-47CB-BF65-CC67A04DF672}" name="Metrics" dataDxfId="37"/>
    <tableColumn id="2" xr3:uid="{7F02B012-5575-47C1-A7B7-274E92726957}" name="Value" dataDxfId="36"/>
  </tableColumns>
  <tableStyleInfo name="TableStyleMedium17"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C13E356-D5DB-4FAF-91B9-5F8A03E486C8}" name="Table21" displayName="Table21" ref="A22:E28" totalsRowShown="0" headerRowDxfId="35" dataDxfId="34" tableBorderDxfId="33">
  <autoFilter ref="A22:E28" xr:uid="{0C13E356-D5DB-4FAF-91B9-5F8A03E486C8}">
    <filterColumn colId="0" hiddenButton="1"/>
    <filterColumn colId="1" hiddenButton="1"/>
    <filterColumn colId="2" hiddenButton="1"/>
    <filterColumn colId="3" hiddenButton="1"/>
    <filterColumn colId="4" hiddenButton="1"/>
  </autoFilter>
  <tableColumns count="5">
    <tableColumn id="1" xr3:uid="{D1051B7D-B1F9-4489-AE5A-FDB00C6B5E94}" name="Company" dataDxfId="32">
      <calculatedColumnFormula>H4</calculatedColumnFormula>
    </tableColumn>
    <tableColumn id="2" xr3:uid="{92500BD9-E649-4B31-AAE1-83FF46F4F412}" name="EBITDA" dataDxfId="31"/>
    <tableColumn id="3" xr3:uid="{4BAE22BA-FE4F-4872-A6E3-0940D322B1B1}" name="Net Income" dataDxfId="30"/>
    <tableColumn id="4" xr3:uid="{A75EC3BA-CCD6-456F-AA37-D3F5B8408ED4}" name="Revenue" dataDxfId="29"/>
    <tableColumn id="5" xr3:uid="{512C422C-14AD-49E2-B4C0-3B5CA329A081}" name="Book Value" dataDxfId="28"/>
  </tableColumns>
  <tableStyleInfo name="TableStyleDark9"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62A974D5-91DF-41A5-94F6-0618D33EB4D5}" name="Table22" displayName="Table22" ref="H3:M9" totalsRowShown="0" headerRowDxfId="27" tableBorderDxfId="26">
  <autoFilter ref="H3:M9" xr:uid="{62A974D5-91DF-41A5-94F6-0618D33EB4D5}">
    <filterColumn colId="0" hiddenButton="1"/>
    <filterColumn colId="1" hiddenButton="1"/>
    <filterColumn colId="2" hiddenButton="1"/>
    <filterColumn colId="3" hiddenButton="1"/>
    <filterColumn colId="4" hiddenButton="1"/>
    <filterColumn colId="5" hiddenButton="1"/>
  </autoFilter>
  <tableColumns count="6">
    <tableColumn id="1" xr3:uid="{7D34D330-2430-45A5-828B-8FEA3CDBF4D0}" name="Company" dataDxfId="25"/>
    <tableColumn id="2" xr3:uid="{60EFF0FD-D49B-4012-B89D-B7C97C42DBC6}" name="EV/EBITDA" dataDxfId="24"/>
    <tableColumn id="3" xr3:uid="{33C6222E-E7F9-41F4-B925-9D85DC568FED}" name="P/E" dataDxfId="23"/>
    <tableColumn id="4" xr3:uid="{B00B090D-5862-4CE0-AC9F-75FB174527BD}" name="P/S" dataDxfId="22"/>
    <tableColumn id="5" xr3:uid="{9D7E056E-5BE7-49A8-867B-803C048D6179}" name="P/B" dataDxfId="21"/>
    <tableColumn id="6" xr3:uid="{0FA65BA2-A543-4527-A635-216A50D7DCF1}" name="Shares" dataDxfId="20"/>
  </tableColumns>
  <tableStyleInfo name="TableStyleDark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F9B01756-4866-432E-935F-2015C6FAB621}" name="Table24" displayName="Table24" ref="H22:K28" totalsRowShown="0" headerRowDxfId="19" dataDxfId="18">
  <autoFilter ref="H22:K28" xr:uid="{F9B01756-4866-432E-935F-2015C6FAB621}">
    <filterColumn colId="0" hiddenButton="1"/>
    <filterColumn colId="1" hiddenButton="1"/>
    <filterColumn colId="2" hiddenButton="1"/>
    <filterColumn colId="3" hiddenButton="1"/>
  </autoFilter>
  <tableColumns count="4">
    <tableColumn id="1" xr3:uid="{B2720B65-3310-4A9C-ABCB-7EC419277542}" name="Company" dataDxfId="17">
      <calculatedColumnFormula>H4</calculatedColumnFormula>
    </tableColumn>
    <tableColumn id="2" xr3:uid="{EE695408-714B-4B7B-AE26-FBE30FCA7CA9}" name="Target Price" dataDxfId="16">
      <calculatedColumnFormula>AVERAGE(I4:L4)</calculatedColumnFormula>
    </tableColumn>
    <tableColumn id="3" xr3:uid="{81D2CE1A-A1F2-49F2-8852-459EC13B5379}" name="CMP" dataDxfId="15" dataCellStyle="Comma"/>
    <tableColumn id="4" xr3:uid="{3A4BFA29-3804-4364-B5A0-A85B22BDA811}" name="U/D" dataDxfId="14" dataCellStyle="Percent">
      <calculatedColumnFormula>(Table24[[#This Row],[Target Price]]-J23)/J23</calculatedColumnFormula>
    </tableColumn>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 Type="http://schemas.openxmlformats.org/officeDocument/2006/relationships/table" Target="../tables/table2.xml"/><Relationship Id="rId16" Type="http://schemas.openxmlformats.org/officeDocument/2006/relationships/table" Target="../tables/table16.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table" Target="../tables/table19.xml"/><Relationship Id="rId6" Type="http://schemas.openxmlformats.org/officeDocument/2006/relationships/table" Target="../tables/table24.xml"/><Relationship Id="rId5" Type="http://schemas.openxmlformats.org/officeDocument/2006/relationships/table" Target="../tables/table23.xml"/><Relationship Id="rId4" Type="http://schemas.openxmlformats.org/officeDocument/2006/relationships/table" Target="../tables/table22.xml"/></Relationships>
</file>

<file path=xl/worksheets/_rels/sheet4.xml.rels><?xml version="1.0" encoding="UTF-8" standalone="yes"?>
<Relationships xmlns="http://schemas.openxmlformats.org/package/2006/relationships"><Relationship Id="rId8" Type="http://schemas.openxmlformats.org/officeDocument/2006/relationships/table" Target="../tables/table32.xml"/><Relationship Id="rId3" Type="http://schemas.openxmlformats.org/officeDocument/2006/relationships/table" Target="../tables/table27.xml"/><Relationship Id="rId7" Type="http://schemas.openxmlformats.org/officeDocument/2006/relationships/table" Target="../tables/table31.xml"/><Relationship Id="rId12" Type="http://schemas.openxmlformats.org/officeDocument/2006/relationships/table" Target="../tables/table36.xml"/><Relationship Id="rId2" Type="http://schemas.openxmlformats.org/officeDocument/2006/relationships/table" Target="../tables/table26.xml"/><Relationship Id="rId1" Type="http://schemas.openxmlformats.org/officeDocument/2006/relationships/table" Target="../tables/table25.xml"/><Relationship Id="rId6" Type="http://schemas.openxmlformats.org/officeDocument/2006/relationships/table" Target="../tables/table30.xml"/><Relationship Id="rId11" Type="http://schemas.openxmlformats.org/officeDocument/2006/relationships/table" Target="../tables/table35.xml"/><Relationship Id="rId5" Type="http://schemas.openxmlformats.org/officeDocument/2006/relationships/table" Target="../tables/table29.xml"/><Relationship Id="rId10" Type="http://schemas.openxmlformats.org/officeDocument/2006/relationships/table" Target="../tables/table34.xml"/><Relationship Id="rId4" Type="http://schemas.openxmlformats.org/officeDocument/2006/relationships/table" Target="../tables/table28.xml"/><Relationship Id="rId9" Type="http://schemas.openxmlformats.org/officeDocument/2006/relationships/table" Target="../tables/table3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39.xml"/><Relationship Id="rId2" Type="http://schemas.openxmlformats.org/officeDocument/2006/relationships/table" Target="../tables/table38.xml"/><Relationship Id="rId1" Type="http://schemas.openxmlformats.org/officeDocument/2006/relationships/table" Target="../tables/table3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
  <sheetViews>
    <sheetView topLeftCell="C1" workbookViewId="0">
      <selection activeCell="F10" sqref="F10"/>
    </sheetView>
  </sheetViews>
  <sheetFormatPr defaultRowHeight="14.4" x14ac:dyDescent="0.3"/>
  <cols>
    <col min="1" max="1" width="8.88671875" style="1"/>
    <col min="2" max="3" width="24.88671875" style="2" customWidth="1"/>
    <col min="4" max="7" width="20.33203125" style="2" customWidth="1"/>
    <col min="8" max="16384" width="8.88671875" style="1"/>
  </cols>
  <sheetData>
    <row r="1" spans="1:7" ht="43.2" x14ac:dyDescent="0.3">
      <c r="A1" s="5" t="s">
        <v>0</v>
      </c>
      <c r="B1" s="6" t="e" vm="1">
        <v>#VALUE!</v>
      </c>
      <c r="C1" s="7" t="e" vm="2">
        <v>#VALUE!</v>
      </c>
      <c r="D1" s="83" t="e" vm="3">
        <v>#VALUE!</v>
      </c>
      <c r="E1" s="83" t="e" vm="4">
        <v>#VALUE!</v>
      </c>
      <c r="F1" s="83" t="e" vm="5">
        <v>#VALUE!</v>
      </c>
      <c r="G1" s="83" t="e" vm="6">
        <v>#VALUE!</v>
      </c>
    </row>
    <row r="2" spans="1:7" ht="28.8" x14ac:dyDescent="0.3">
      <c r="A2" s="8" t="s">
        <v>1</v>
      </c>
      <c r="B2" s="9" t="str" cm="1">
        <f t="array" aca="1" ref="B2" ca="1">_FV(B1,"Official name",TRUE)</f>
        <v>NUCOR CORPORATION</v>
      </c>
      <c r="C2" s="9" t="str" cm="1">
        <f t="array" aca="1" ref="C2" ca="1">_FV(C1,"Official name",TRUE)</f>
        <v>FREEPORT-MCMORAN INC.</v>
      </c>
      <c r="D2" s="9" t="str" cm="1">
        <f t="array" aca="1" ref="D2" ca="1">_FV(D1,"Official name",TRUE)</f>
        <v>ALCOA CORPORATION</v>
      </c>
      <c r="E2" s="9" t="str" cm="1">
        <f t="array" aca="1" ref="E2" ca="1">_FV(E1,"Official name",TRUE)</f>
        <v>RF INDUSTRIES, LTD.</v>
      </c>
      <c r="F2" s="9" t="str" cm="1">
        <f t="array" aca="1" ref="F2" ca="1">_FV(F1,"Official name",TRUE)</f>
        <v>Dow Inc.</v>
      </c>
      <c r="G2" s="9" t="str" cm="1">
        <f t="array" aca="1" ref="G2" ca="1">_FV(G1,"Official name",TRUE)</f>
        <v>NEWMONT CORPORATION</v>
      </c>
    </row>
    <row r="3" spans="1:7" ht="28.8" x14ac:dyDescent="0.3">
      <c r="A3" s="8" t="s">
        <v>2</v>
      </c>
      <c r="B3" s="10" cm="1">
        <f t="array" aca="1" ref="B3" ca="1">_FV(B1,"Price")</f>
        <v>148.58000000000001</v>
      </c>
      <c r="C3" s="10" cm="1">
        <f t="array" aca="1" ref="C3" ca="1">_FV(C1,"Price")</f>
        <v>41.24</v>
      </c>
      <c r="D3" s="10" cm="1">
        <f t="array" aca="1" ref="D3" ca="1">_FV(D1,"Price")</f>
        <v>36.72</v>
      </c>
      <c r="E3" s="10" cm="1">
        <f t="array" aca="1" ref="E3" ca="1">_FV(E1,"Price")</f>
        <v>6.09</v>
      </c>
      <c r="F3" s="10" cm="1">
        <f t="array" aca="1" ref="F3" ca="1">_FV(F1,"Price")</f>
        <v>21.315000000000001</v>
      </c>
      <c r="G3" s="10" cm="1">
        <f t="array" aca="1" ref="G3" ca="1">_FV(G1,"Price")</f>
        <v>87.42</v>
      </c>
    </row>
    <row r="4" spans="1:7" ht="28.8" x14ac:dyDescent="0.3">
      <c r="A4" s="8" t="s">
        <v>3</v>
      </c>
      <c r="B4" s="11" cm="1">
        <f t="array" aca="1" ref="B4" ca="1">_FV(B1,"Change (%)",TRUE)</f>
        <v>4.7129999999999996E-4</v>
      </c>
      <c r="C4" s="11" cm="1">
        <f t="array" aca="1" ref="C4" ca="1">_FV(C1,"Change (%)",TRUE)</f>
        <v>3.1E-2</v>
      </c>
      <c r="D4" s="11" cm="1">
        <f t="array" aca="1" ref="D4" ca="1">_FV(D1,"Change (%)",TRUE)</f>
        <v>4.6509999999999998E-3</v>
      </c>
      <c r="E4" s="11" cm="1">
        <f t="array" aca="1" ref="E4" ca="1">_FV(E1,"Change (%)",TRUE)</f>
        <v>-3.6392000000000001E-2</v>
      </c>
      <c r="F4" s="11" cm="1">
        <f t="array" aca="1" ref="F4" ca="1">_FV(F1,"Change (%)",TRUE)</f>
        <v>-2.4485E-2</v>
      </c>
      <c r="G4" s="11" cm="1">
        <f t="array" aca="1" ref="G4" ca="1">_FV(G1,"Change (%)",TRUE)</f>
        <v>9.469E-3</v>
      </c>
    </row>
    <row r="5" spans="1:7" ht="28.8" x14ac:dyDescent="0.3">
      <c r="A5" s="8" t="s">
        <v>4</v>
      </c>
      <c r="B5" s="12" cm="1">
        <f t="array" aca="1" ref="B5" ca="1">_FV(B1,"Shares outstanding",TRUE)</f>
        <v>228858700</v>
      </c>
      <c r="C5" s="12" cm="1">
        <f t="array" aca="1" ref="C5" ca="1">_FV(C1,"Shares outstanding",TRUE)</f>
        <v>1435931000</v>
      </c>
      <c r="D5" s="12" cm="1">
        <f t="array" aca="1" ref="D5" ca="1">_FV(D1,"Shares outstanding",TRUE)</f>
        <v>258964000</v>
      </c>
      <c r="E5" s="12" cm="1">
        <f t="array" aca="1" ref="E5" ca="1">_FV(E1,"Shares outstanding",TRUE)</f>
        <v>10667450</v>
      </c>
      <c r="F5" s="12" cm="1">
        <f t="array" aca="1" ref="F5" ca="1">_FV(F1,"Shares outstanding",TRUE)</f>
        <v>710767400</v>
      </c>
      <c r="G5" s="12" cm="1">
        <f t="array" aca="1" ref="G5" ca="1">_FV(G1,"Shares outstanding",TRUE)</f>
        <v>1091263000</v>
      </c>
    </row>
    <row r="6" spans="1:7" x14ac:dyDescent="0.3">
      <c r="A6" s="8" t="s">
        <v>5</v>
      </c>
      <c r="B6" s="84">
        <f ca="1">B5/1000000</f>
        <v>228.8587</v>
      </c>
      <c r="C6" s="84">
        <f ca="1">C5/1000000</f>
        <v>1435.931</v>
      </c>
      <c r="D6" s="84">
        <f t="shared" ref="D6:G6" ca="1" si="0">D5/1000000</f>
        <v>258.964</v>
      </c>
      <c r="E6" s="84">
        <f t="shared" ca="1" si="0"/>
        <v>10.667450000000001</v>
      </c>
      <c r="F6" s="84">
        <f t="shared" ca="1" si="0"/>
        <v>710.76739999999995</v>
      </c>
      <c r="G6" s="84">
        <f t="shared" ca="1" si="0"/>
        <v>1091.2629999999999</v>
      </c>
    </row>
    <row r="7" spans="1:7" ht="28.8" x14ac:dyDescent="0.3">
      <c r="A7" s="8" t="s">
        <v>6</v>
      </c>
      <c r="B7" s="13" cm="1">
        <f t="array" aca="1" ref="B7" ca="1">_FV(B1,"Market cap",TRUE)</f>
        <v>34003825646</v>
      </c>
      <c r="C7" s="13" cm="1">
        <f t="array" aca="1" ref="C7" ca="1">_FV(C1,"Market cap",TRUE)</f>
        <v>59217794440</v>
      </c>
      <c r="D7" s="13" cm="1">
        <f t="array" aca="1" ref="D7" ca="1">_FV(D1,"Market cap",TRUE)</f>
        <v>9509158080</v>
      </c>
      <c r="E7" s="13" cm="1">
        <f t="array" aca="1" ref="E7" ca="1">_FV(E1,"Market cap",TRUE)</f>
        <v>64964770</v>
      </c>
      <c r="F7" s="13" cm="1">
        <f t="array" aca="1" ref="F7" ca="1">_FV(F1,"Market cap",TRUE)</f>
        <v>15150007131</v>
      </c>
      <c r="G7" s="13" cm="1">
        <f t="array" aca="1" ref="G7" ca="1">_FV(G1,"Market cap",TRUE)</f>
        <v>95398211460</v>
      </c>
    </row>
    <row r="8" spans="1:7" x14ac:dyDescent="0.3">
      <c r="A8" s="8" t="s">
        <v>5</v>
      </c>
      <c r="B8" s="14">
        <f ca="1">B7/1000000</f>
        <v>34003.825645999998</v>
      </c>
      <c r="C8" s="14">
        <f ca="1">C7/1000000</f>
        <v>59217.794439999998</v>
      </c>
      <c r="D8" s="14">
        <f t="shared" ref="D8:G8" ca="1" si="1">D7/1000000</f>
        <v>9509.1580799999992</v>
      </c>
      <c r="E8" s="14">
        <f t="shared" ca="1" si="1"/>
        <v>64.964770000000001</v>
      </c>
      <c r="F8" s="14">
        <f t="shared" ca="1" si="1"/>
        <v>15150.007131</v>
      </c>
      <c r="G8" s="14">
        <f t="shared" ca="1" si="1"/>
        <v>95398.211460000006</v>
      </c>
    </row>
    <row r="9" spans="1:7" x14ac:dyDescent="0.3">
      <c r="A9" s="8" t="s">
        <v>7</v>
      </c>
      <c r="B9" s="15" cm="1">
        <f t="array" aca="1" ref="B9" ca="1">_FV(B1,"Beta")</f>
        <v>1.8567</v>
      </c>
      <c r="C9" s="15" cm="1">
        <f t="array" aca="1" ref="C9" ca="1">_FV(C1,"Beta")</f>
        <v>1.4877</v>
      </c>
      <c r="D9" s="15" cm="1">
        <f t="array" aca="1" ref="D9" ca="1">_FV(D1,"Beta")</f>
        <v>1.9931000000000001</v>
      </c>
      <c r="E9" s="15" cm="1">
        <f t="array" aca="1" ref="E9" ca="1">_FV(E1,"Beta")</f>
        <v>0.99099999999999999</v>
      </c>
      <c r="F9" s="15" cm="1">
        <f t="array" aca="1" ref="F9" ca="1">_FV(F1,"Beta")</f>
        <v>0.79979999999999996</v>
      </c>
      <c r="G9" s="15" cm="1">
        <f t="array" aca="1" ref="G9" ca="1">_FV(G1,"Beta")</f>
        <v>0.41749999999999998</v>
      </c>
    </row>
    <row r="10" spans="1:7" x14ac:dyDescent="0.3">
      <c r="A10" s="8" t="s">
        <v>8</v>
      </c>
      <c r="B10" s="15" cm="1">
        <f t="array" aca="1" ref="B10" ca="1">_FV(B1,"P/E",TRUE)</f>
        <v>20.8826</v>
      </c>
      <c r="C10" s="15" cm="1">
        <f t="array" aca="1" ref="C10" ca="1">_FV(C1,"P/E",TRUE)</f>
        <v>28.7287</v>
      </c>
      <c r="D10" s="15" cm="1">
        <f t="array" aca="1" ref="D10" ca="1">_FV(D1,"P/E",TRUE)</f>
        <v>8.3651999999999997</v>
      </c>
      <c r="E10" s="15" cm="1">
        <f t="array" aca="1" ref="E10" ca="1">_FV(E1,"P/E",TRUE)</f>
        <v>0</v>
      </c>
      <c r="F10" s="15"/>
      <c r="G10" s="15" cm="1">
        <f t="array" aca="1" ref="G10" ca="1">_FV(G1,"P/E",TRUE)</f>
        <v>13.457599999999999</v>
      </c>
    </row>
    <row r="11" spans="1:7" x14ac:dyDescent="0.3">
      <c r="A11" s="8" t="s">
        <v>9</v>
      </c>
      <c r="B11" s="16" cm="1">
        <f t="array" aca="1" ref="B11" ca="1">_FV(B1,"Year incorporated",TRUE)</f>
        <v>1958</v>
      </c>
      <c r="C11" s="16" cm="1">
        <f t="array" aca="1" ref="C11" ca="1">_FV(C1,"Year incorporated",TRUE)</f>
        <v>1987</v>
      </c>
      <c r="D11" s="16" cm="1">
        <f t="array" aca="1" ref="D11" ca="1">_FV(D1,"Year incorporated",TRUE)</f>
        <v>2016</v>
      </c>
      <c r="E11" s="16" cm="1">
        <f t="array" aca="1" ref="E11" ca="1">_FV(E1,"Year incorporated",TRUE)</f>
        <v>1979</v>
      </c>
      <c r="F11" s="16" cm="1">
        <f t="array" aca="1" ref="F11" ca="1">_FV(F1,"Year incorporated",TRUE)</f>
        <v>2018</v>
      </c>
      <c r="G11" s="16" cm="1">
        <f t="array" aca="1" ref="G11" ca="1">_FV(G1,"Year incorporated",TRUE)</f>
        <v>2001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A6549-511D-4FBB-AC66-FC29B4C2850C}">
  <dimension ref="A1:BI40"/>
  <sheetViews>
    <sheetView topLeftCell="AL17" workbookViewId="0">
      <selection activeCell="AN43" sqref="AN43"/>
    </sheetView>
  </sheetViews>
  <sheetFormatPr defaultRowHeight="14.4" x14ac:dyDescent="0.3"/>
  <cols>
    <col min="1" max="1" width="29.88671875" style="18" bestFit="1" customWidth="1"/>
    <col min="2" max="6" width="9.88671875" style="18" bestFit="1" customWidth="1"/>
    <col min="7" max="7" width="8.88671875" style="18"/>
    <col min="8" max="8" width="29.88671875" style="18" bestFit="1" customWidth="1"/>
    <col min="9" max="13" width="9.88671875" style="18" bestFit="1" customWidth="1"/>
    <col min="14" max="14" width="8.88671875" style="18"/>
    <col min="15" max="15" width="29.88671875" style="18" bestFit="1" customWidth="1"/>
    <col min="16" max="20" width="9.88671875" style="18" bestFit="1" customWidth="1"/>
    <col min="21" max="21" width="9.88671875" style="18" customWidth="1"/>
    <col min="22" max="22" width="8.88671875" style="18"/>
    <col min="23" max="23" width="29.88671875" style="18" bestFit="1" customWidth="1"/>
    <col min="24" max="28" width="9.88671875" style="18" bestFit="1" customWidth="1"/>
    <col min="29" max="29" width="9.88671875" style="18" customWidth="1"/>
    <col min="30" max="30" width="8.88671875" style="18"/>
    <col min="31" max="31" width="29.88671875" style="18" bestFit="1" customWidth="1"/>
    <col min="32" max="36" width="9.88671875" style="18" bestFit="1" customWidth="1"/>
    <col min="37" max="37" width="9.88671875" style="18" customWidth="1"/>
    <col min="38" max="38" width="8.88671875" style="18"/>
    <col min="39" max="39" width="29.88671875" style="18" bestFit="1" customWidth="1"/>
    <col min="40" max="45" width="9.88671875" style="18" bestFit="1" customWidth="1"/>
    <col min="46" max="46" width="8.88671875" style="18"/>
    <col min="47" max="47" width="15.5546875" style="18" bestFit="1" customWidth="1"/>
    <col min="48" max="53" width="9.88671875" style="23" bestFit="1" customWidth="1"/>
    <col min="54" max="55" width="8.88671875" style="18"/>
    <col min="56" max="56" width="7" style="18" bestFit="1" customWidth="1"/>
    <col min="57" max="57" width="14.88671875" style="18" bestFit="1" customWidth="1"/>
    <col min="58" max="59" width="12.6640625" style="18" bestFit="1" customWidth="1"/>
    <col min="60" max="60" width="10.33203125" style="18" bestFit="1" customWidth="1"/>
    <col min="61" max="61" width="16" style="18" bestFit="1" customWidth="1"/>
    <col min="62" max="16384" width="8.88671875" style="18"/>
  </cols>
  <sheetData>
    <row r="1" spans="1:61" x14ac:dyDescent="0.3">
      <c r="A1" s="17" t="s">
        <v>10</v>
      </c>
      <c r="F1" s="19" t="s">
        <v>71</v>
      </c>
      <c r="H1" s="17" t="s">
        <v>10</v>
      </c>
      <c r="M1" s="19" t="s">
        <v>72</v>
      </c>
      <c r="O1" s="17" t="s">
        <v>10</v>
      </c>
      <c r="T1" s="19" t="s">
        <v>124</v>
      </c>
      <c r="U1" s="19"/>
      <c r="W1" s="17" t="s">
        <v>10</v>
      </c>
      <c r="AB1" s="19" t="s">
        <v>127</v>
      </c>
      <c r="AC1" s="19"/>
      <c r="AE1" s="17" t="s">
        <v>10</v>
      </c>
      <c r="AJ1" s="19" t="s">
        <v>125</v>
      </c>
      <c r="AK1" s="19"/>
      <c r="AM1" s="17" t="s">
        <v>10</v>
      </c>
      <c r="AR1" s="19" t="s">
        <v>126</v>
      </c>
    </row>
    <row r="2" spans="1:61" x14ac:dyDescent="0.3">
      <c r="A2" s="18" t="s">
        <v>11</v>
      </c>
      <c r="B2" s="20" t="s">
        <v>12</v>
      </c>
      <c r="C2" s="20" t="s">
        <v>13</v>
      </c>
      <c r="D2" s="20" t="s">
        <v>14</v>
      </c>
      <c r="E2" s="20" t="s">
        <v>15</v>
      </c>
      <c r="F2" s="20" t="s">
        <v>16</v>
      </c>
      <c r="H2" s="18" t="s">
        <v>11</v>
      </c>
      <c r="I2" s="20" t="s">
        <v>12</v>
      </c>
      <c r="J2" s="20" t="s">
        <v>13</v>
      </c>
      <c r="K2" s="20" t="s">
        <v>14</v>
      </c>
      <c r="L2" s="20" t="s">
        <v>15</v>
      </c>
      <c r="M2" s="20" t="s">
        <v>16</v>
      </c>
      <c r="O2" s="18" t="s">
        <v>11</v>
      </c>
      <c r="P2" s="20" t="s">
        <v>12</v>
      </c>
      <c r="Q2" s="20" t="s">
        <v>13</v>
      </c>
      <c r="R2" s="20" t="s">
        <v>14</v>
      </c>
      <c r="S2" s="20" t="s">
        <v>15</v>
      </c>
      <c r="T2" s="20" t="s">
        <v>16</v>
      </c>
      <c r="U2" s="20"/>
      <c r="W2" s="18" t="s">
        <v>11</v>
      </c>
      <c r="X2" s="20" t="s">
        <v>12</v>
      </c>
      <c r="Y2" s="20" t="s">
        <v>13</v>
      </c>
      <c r="Z2" s="20" t="s">
        <v>14</v>
      </c>
      <c r="AA2" s="20" t="s">
        <v>15</v>
      </c>
      <c r="AB2" s="20" t="s">
        <v>16</v>
      </c>
      <c r="AC2" s="20"/>
      <c r="AE2" s="18" t="s">
        <v>11</v>
      </c>
      <c r="AF2" s="20" t="s">
        <v>12</v>
      </c>
      <c r="AG2" s="20" t="s">
        <v>13</v>
      </c>
      <c r="AH2" s="20" t="s">
        <v>14</v>
      </c>
      <c r="AI2" s="20" t="s">
        <v>15</v>
      </c>
      <c r="AJ2" s="20" t="s">
        <v>16</v>
      </c>
      <c r="AK2" s="20"/>
      <c r="AM2" s="18" t="s">
        <v>11</v>
      </c>
      <c r="AN2" s="20" t="s">
        <v>12</v>
      </c>
      <c r="AO2" s="20" t="s">
        <v>13</v>
      </c>
      <c r="AP2" s="20" t="s">
        <v>14</v>
      </c>
      <c r="AQ2" s="20" t="s">
        <v>15</v>
      </c>
      <c r="AR2" s="20" t="s">
        <v>16</v>
      </c>
      <c r="AU2" s="72" t="s">
        <v>11</v>
      </c>
      <c r="AV2" s="75">
        <v>2020</v>
      </c>
      <c r="AW2" s="75">
        <v>2021</v>
      </c>
      <c r="AX2" s="75">
        <v>2022</v>
      </c>
      <c r="AY2" s="75">
        <v>2023</v>
      </c>
      <c r="AZ2" s="76">
        <v>2024</v>
      </c>
      <c r="BC2" s="72" t="s">
        <v>0</v>
      </c>
      <c r="BD2" s="73" t="s">
        <v>65</v>
      </c>
      <c r="BE2" s="73" t="s">
        <v>123</v>
      </c>
      <c r="BF2" s="73" t="s">
        <v>58</v>
      </c>
      <c r="BG2" s="73" t="s">
        <v>89</v>
      </c>
      <c r="BH2" s="73" t="s">
        <v>2</v>
      </c>
      <c r="BI2" s="74" t="s">
        <v>91</v>
      </c>
    </row>
    <row r="3" spans="1:61" x14ac:dyDescent="0.3">
      <c r="A3" s="18" t="s">
        <v>17</v>
      </c>
      <c r="B3" s="21">
        <v>20139.657999999999</v>
      </c>
      <c r="C3" s="21">
        <v>36483.938999999998</v>
      </c>
      <c r="D3" s="21">
        <v>41512.466999999997</v>
      </c>
      <c r="E3" s="21">
        <v>34714</v>
      </c>
      <c r="F3" s="21">
        <v>30734</v>
      </c>
      <c r="H3" s="18" t="s">
        <v>17</v>
      </c>
      <c r="I3" s="21">
        <v>14198</v>
      </c>
      <c r="J3" s="21">
        <v>22845</v>
      </c>
      <c r="K3" s="21">
        <v>22780</v>
      </c>
      <c r="L3" s="21">
        <v>22855</v>
      </c>
      <c r="M3" s="21">
        <v>25455</v>
      </c>
      <c r="O3" s="18" t="s">
        <v>17</v>
      </c>
      <c r="P3" s="21">
        <v>9286</v>
      </c>
      <c r="Q3" s="21">
        <v>12152</v>
      </c>
      <c r="R3" s="21">
        <v>12451</v>
      </c>
      <c r="S3" s="21">
        <v>10551</v>
      </c>
      <c r="T3" s="21">
        <v>11895</v>
      </c>
      <c r="U3" s="21"/>
      <c r="W3" s="18" t="s">
        <v>17</v>
      </c>
      <c r="X3" s="21">
        <v>4124</v>
      </c>
      <c r="Y3" s="21">
        <v>6538</v>
      </c>
      <c r="Z3" s="21">
        <v>11186</v>
      </c>
      <c r="AA3" s="21">
        <v>6631</v>
      </c>
      <c r="AB3" s="21">
        <v>5936</v>
      </c>
      <c r="AC3" s="21"/>
      <c r="AE3" s="18" t="s">
        <v>17</v>
      </c>
      <c r="AF3" s="21">
        <v>38542</v>
      </c>
      <c r="AG3" s="21">
        <v>54968</v>
      </c>
      <c r="AH3" s="21">
        <v>56902</v>
      </c>
      <c r="AI3" s="21">
        <v>44622</v>
      </c>
      <c r="AJ3" s="21">
        <v>42964</v>
      </c>
      <c r="AK3" s="21"/>
      <c r="AM3" s="18" t="s">
        <v>17</v>
      </c>
      <c r="AN3" s="21">
        <v>11497</v>
      </c>
      <c r="AO3" s="21">
        <v>12222</v>
      </c>
      <c r="AP3" s="21">
        <v>11915</v>
      </c>
      <c r="AQ3" s="21">
        <v>11812</v>
      </c>
      <c r="AR3" s="21">
        <v>18682</v>
      </c>
      <c r="AU3" s="70" t="s">
        <v>17</v>
      </c>
      <c r="AV3" s="71" cm="1">
        <f t="array" ref="AV3:AZ3">Table1[[#This Row],[2020]:[2024]]</f>
        <v>20139.657999999999</v>
      </c>
      <c r="AW3" s="71">
        <v>36483.938999999998</v>
      </c>
      <c r="AX3" s="71">
        <v>41512.466999999997</v>
      </c>
      <c r="AY3" s="71">
        <v>34714</v>
      </c>
      <c r="AZ3" s="71">
        <v>30734</v>
      </c>
      <c r="BC3" s="70" t="s">
        <v>71</v>
      </c>
      <c r="BD3" s="77">
        <f ca="1">'Assumptions &amp; WACC'!B21</f>
        <v>0.11326748362397794</v>
      </c>
      <c r="BE3" s="77">
        <f>'Assumptions &amp; WACC'!$B$25</f>
        <v>0.02</v>
      </c>
      <c r="BF3" s="77">
        <f ca="1">'Assumptions &amp; WACC'!B12</f>
        <v>0.1305076</v>
      </c>
      <c r="BG3" s="27">
        <f ca="1">DCF!B20</f>
        <v>155.77962770474423</v>
      </c>
      <c r="BH3" s="27">
        <f ca="1">DCF!B21</f>
        <v>148.58000000000001</v>
      </c>
      <c r="BI3" s="80">
        <f ca="1">(BG3-BH3)/BH3</f>
        <v>4.8456237075947067E-2</v>
      </c>
    </row>
    <row r="4" spans="1:61" x14ac:dyDescent="0.3">
      <c r="A4" s="18" t="s">
        <v>18</v>
      </c>
      <c r="B4" s="21">
        <v>17911.707999999999</v>
      </c>
      <c r="C4" s="21">
        <v>25458.525000000001</v>
      </c>
      <c r="D4" s="21">
        <v>29009.187000000002</v>
      </c>
      <c r="E4" s="21">
        <v>26899</v>
      </c>
      <c r="F4" s="21">
        <v>26632</v>
      </c>
      <c r="H4" s="18" t="s">
        <v>18</v>
      </c>
      <c r="I4" s="21">
        <f>11655-1528</f>
        <v>10127</v>
      </c>
      <c r="J4" s="21">
        <f>14030-1998</f>
        <v>12032</v>
      </c>
      <c r="K4" s="21">
        <f>15089-2019</f>
        <v>13070</v>
      </c>
      <c r="L4" s="21">
        <v>13627</v>
      </c>
      <c r="M4" s="21">
        <v>15554</v>
      </c>
      <c r="O4" s="18" t="s">
        <v>18</v>
      </c>
      <c r="P4" s="21">
        <v>7969</v>
      </c>
      <c r="Q4" s="21">
        <v>9153</v>
      </c>
      <c r="R4" s="21">
        <v>10212</v>
      </c>
      <c r="S4" s="21">
        <v>9813</v>
      </c>
      <c r="T4" s="21">
        <v>10044</v>
      </c>
      <c r="U4" s="21"/>
      <c r="W4" s="18" t="s">
        <v>18</v>
      </c>
      <c r="X4" s="21">
        <v>3323</v>
      </c>
      <c r="Y4" s="21">
        <v>4151</v>
      </c>
      <c r="Z4" s="21">
        <v>5325</v>
      </c>
      <c r="AA4" s="21">
        <v>4086</v>
      </c>
      <c r="AB4" s="21">
        <v>3880</v>
      </c>
      <c r="AC4" s="21"/>
      <c r="AE4" s="18" t="s">
        <v>18</v>
      </c>
      <c r="AF4" s="21">
        <v>33346</v>
      </c>
      <c r="AG4" s="21">
        <v>44191</v>
      </c>
      <c r="AH4" s="21">
        <v>48338</v>
      </c>
      <c r="AI4" s="21">
        <v>39742</v>
      </c>
      <c r="AJ4" s="21">
        <v>38358</v>
      </c>
      <c r="AK4" s="21"/>
      <c r="AM4" s="18" t="s">
        <v>18</v>
      </c>
      <c r="AN4" s="21">
        <v>5014</v>
      </c>
      <c r="AO4" s="21">
        <v>5435</v>
      </c>
      <c r="AP4" s="21">
        <v>6468</v>
      </c>
      <c r="AQ4" s="21">
        <v>6699</v>
      </c>
      <c r="AR4" s="21">
        <v>8963</v>
      </c>
      <c r="AU4" s="36" t="s">
        <v>122</v>
      </c>
      <c r="AV4" s="37" cm="1">
        <f t="array" ref="AV4:AZ4">B6:F6</f>
        <v>988.73600000000079</v>
      </c>
      <c r="AW4" s="37">
        <v>9359.7119999999977</v>
      </c>
      <c r="AX4" s="37">
        <v>10415.059999999994</v>
      </c>
      <c r="AY4" s="37">
        <v>6243</v>
      </c>
      <c r="AZ4" s="37">
        <v>2872</v>
      </c>
      <c r="BC4" s="36" t="s">
        <v>72</v>
      </c>
      <c r="BD4" s="78">
        <f ca="1">'Assumptions &amp; WACC'!C21</f>
        <v>0.10343433935347908</v>
      </c>
      <c r="BE4" s="77">
        <f>'Assumptions &amp; WACC'!$B$25</f>
        <v>0.02</v>
      </c>
      <c r="BF4" s="78">
        <f ca="1">'Assumptions &amp; WACC'!C12</f>
        <v>0.11279560000000001</v>
      </c>
      <c r="BG4" s="79">
        <f ca="1">DCF!J20</f>
        <v>59.68385823747942</v>
      </c>
      <c r="BH4" s="79">
        <f ca="1">DCF!J21</f>
        <v>41.24</v>
      </c>
      <c r="BI4" s="80">
        <f ca="1">(BG4-BH4)/BH4</f>
        <v>0.44723225600095579</v>
      </c>
    </row>
    <row r="5" spans="1:61" x14ac:dyDescent="0.3">
      <c r="A5" s="18" t="s">
        <v>19</v>
      </c>
      <c r="B5" s="21">
        <f>615.041+10.533+613.64</f>
        <v>1239.2139999999999</v>
      </c>
      <c r="C5" s="21">
        <f>1706.609-103.068+62.161</f>
        <v>1665.702</v>
      </c>
      <c r="D5" s="21">
        <f>1997.178-10.714+101.756</f>
        <v>2088.2200000000003</v>
      </c>
      <c r="E5" s="21">
        <f>1585-13</f>
        <v>1572</v>
      </c>
      <c r="F5" s="21">
        <f>1123-30+137</f>
        <v>1230</v>
      </c>
      <c r="H5" s="18" t="s">
        <v>19</v>
      </c>
      <c r="I5" s="21">
        <f>370+50+159-473</f>
        <v>106</v>
      </c>
      <c r="J5" s="21">
        <f>383+55+91-80</f>
        <v>449</v>
      </c>
      <c r="K5" s="21">
        <f>420+115+121-2</f>
        <v>654</v>
      </c>
      <c r="L5" s="21">
        <f>479+137+319</f>
        <v>935</v>
      </c>
      <c r="M5" s="21">
        <f>513+156+127</f>
        <v>796</v>
      </c>
      <c r="O5" s="18" t="s">
        <v>19</v>
      </c>
      <c r="P5" s="21">
        <f>206+27+104+8</f>
        <v>345</v>
      </c>
      <c r="Q5" s="21">
        <f>227+31+1128-445</f>
        <v>941</v>
      </c>
      <c r="R5" s="21">
        <f>204+32+696-118</f>
        <v>814</v>
      </c>
      <c r="S5" s="21">
        <f>226+39+184+134</f>
        <v>583</v>
      </c>
      <c r="T5" s="21">
        <f>275+57+341+91</f>
        <v>764</v>
      </c>
      <c r="U5" s="21"/>
      <c r="W5" s="18" t="s">
        <v>19</v>
      </c>
      <c r="X5" s="21">
        <v>189</v>
      </c>
      <c r="Y5" s="21">
        <v>705</v>
      </c>
      <c r="Z5" s="21">
        <v>558</v>
      </c>
      <c r="AA5" s="21">
        <v>307</v>
      </c>
      <c r="AB5" s="21">
        <v>314</v>
      </c>
      <c r="AC5" s="21"/>
      <c r="AE5" s="18" t="s">
        <v>19</v>
      </c>
      <c r="AF5" s="21">
        <f>768+1471+708+239-18+1269+38</f>
        <v>4475</v>
      </c>
      <c r="AG5" s="21">
        <f>857+1645+6+975+55-35</f>
        <v>3503</v>
      </c>
      <c r="AH5" s="21">
        <f>851+1675+118+268+727+173</f>
        <v>3812</v>
      </c>
      <c r="AI5" s="21">
        <f>829+1627+528-119+280+229</f>
        <v>3374</v>
      </c>
      <c r="AJ5" s="21">
        <f>810+1581+103-6-415+200</f>
        <v>2273</v>
      </c>
      <c r="AK5" s="21"/>
      <c r="AM5" s="18" t="s">
        <v>19</v>
      </c>
      <c r="AN5" s="21">
        <f>366+187+122+269+178+49+206</f>
        <v>1377</v>
      </c>
      <c r="AO5" s="21">
        <f>1846+209+154+259+25+571+143</f>
        <v>3207</v>
      </c>
      <c r="AP5" s="21">
        <f>921+231+229+276+1320+82</f>
        <v>3059</v>
      </c>
      <c r="AQ5" s="21">
        <f>1533+265+200+299+1891+517</f>
        <v>4705</v>
      </c>
      <c r="AR5" s="21">
        <f>328+266+197+442+78+1114+191</f>
        <v>2616</v>
      </c>
      <c r="AU5" s="36" t="s">
        <v>24</v>
      </c>
      <c r="AV5" s="37" cm="1">
        <f t="array" ref="AV5:AZ5">B10:F10</f>
        <v>50.562000000000772</v>
      </c>
      <c r="AW5" s="37">
        <v>6257.8069999999989</v>
      </c>
      <c r="AX5" s="37">
        <v>7018.0059999999939</v>
      </c>
      <c r="AY5" s="37">
        <v>3684</v>
      </c>
      <c r="AZ5" s="37">
        <v>903</v>
      </c>
    </row>
    <row r="6" spans="1:61" x14ac:dyDescent="0.3">
      <c r="A6" s="17" t="s">
        <v>20</v>
      </c>
      <c r="B6" s="22">
        <f>B3-B4-B5</f>
        <v>988.73600000000079</v>
      </c>
      <c r="C6" s="22">
        <f t="shared" ref="C6:F6" si="0">C3-C4-C5</f>
        <v>9359.7119999999977</v>
      </c>
      <c r="D6" s="22">
        <f t="shared" si="0"/>
        <v>10415.059999999994</v>
      </c>
      <c r="E6" s="22">
        <f t="shared" si="0"/>
        <v>6243</v>
      </c>
      <c r="F6" s="22">
        <f t="shared" si="0"/>
        <v>2872</v>
      </c>
      <c r="G6" s="17"/>
      <c r="H6" s="17" t="s">
        <v>20</v>
      </c>
      <c r="I6" s="22">
        <f>I3-I4-I5</f>
        <v>3965</v>
      </c>
      <c r="J6" s="22">
        <f t="shared" ref="J6:M6" si="1">J3-J4-J5</f>
        <v>10364</v>
      </c>
      <c r="K6" s="22">
        <f t="shared" si="1"/>
        <v>9056</v>
      </c>
      <c r="L6" s="22">
        <f t="shared" si="1"/>
        <v>8293</v>
      </c>
      <c r="M6" s="22">
        <f t="shared" si="1"/>
        <v>9105</v>
      </c>
      <c r="O6" s="17" t="s">
        <v>20</v>
      </c>
      <c r="P6" s="22">
        <f>P3-P4-P5</f>
        <v>972</v>
      </c>
      <c r="Q6" s="22">
        <f t="shared" ref="Q6:T6" si="2">Q3-Q4-Q5</f>
        <v>2058</v>
      </c>
      <c r="R6" s="22">
        <f t="shared" si="2"/>
        <v>1425</v>
      </c>
      <c r="S6" s="22">
        <f t="shared" si="2"/>
        <v>155</v>
      </c>
      <c r="T6" s="22">
        <f t="shared" si="2"/>
        <v>1087</v>
      </c>
      <c r="U6" s="22"/>
      <c r="V6" s="17"/>
      <c r="W6" s="17" t="s">
        <v>20</v>
      </c>
      <c r="X6" s="22">
        <f>X3-X4-X5</f>
        <v>612</v>
      </c>
      <c r="Y6" s="22">
        <f t="shared" ref="Y6:AB6" si="3">Y3-Y4-Y5</f>
        <v>1682</v>
      </c>
      <c r="Z6" s="22">
        <f t="shared" si="3"/>
        <v>5303</v>
      </c>
      <c r="AA6" s="22">
        <f t="shared" si="3"/>
        <v>2238</v>
      </c>
      <c r="AB6" s="22">
        <f t="shared" si="3"/>
        <v>1742</v>
      </c>
      <c r="AC6" s="22"/>
      <c r="AE6" s="17" t="s">
        <v>20</v>
      </c>
      <c r="AF6" s="22">
        <f>AF3-AF4-AF5</f>
        <v>721</v>
      </c>
      <c r="AG6" s="22">
        <f t="shared" ref="AG6:AJ6" si="4">AG3-AG4-AG5</f>
        <v>7274</v>
      </c>
      <c r="AH6" s="22">
        <f t="shared" si="4"/>
        <v>4752</v>
      </c>
      <c r="AI6" s="22">
        <f t="shared" si="4"/>
        <v>1506</v>
      </c>
      <c r="AJ6" s="22">
        <f t="shared" si="4"/>
        <v>2333</v>
      </c>
      <c r="AK6" s="22"/>
      <c r="AL6" s="17"/>
      <c r="AM6" s="17" t="s">
        <v>20</v>
      </c>
      <c r="AN6" s="22">
        <f>AN3-AN4-AN5</f>
        <v>5106</v>
      </c>
      <c r="AO6" s="22">
        <f t="shared" ref="AO6:AR6" si="5">AO3-AO4-AO5</f>
        <v>3580</v>
      </c>
      <c r="AP6" s="22">
        <f t="shared" si="5"/>
        <v>2388</v>
      </c>
      <c r="AQ6" s="22">
        <f t="shared" si="5"/>
        <v>408</v>
      </c>
      <c r="AR6" s="22">
        <f t="shared" si="5"/>
        <v>7103</v>
      </c>
      <c r="AU6" s="36" t="s">
        <v>37</v>
      </c>
      <c r="AV6" s="37" cm="1">
        <f t="array" ref="AV6:AZ6">B27:F27</f>
        <v>1543.2190000000001</v>
      </c>
      <c r="AW6" s="37">
        <v>1621.989</v>
      </c>
      <c r="AX6" s="37">
        <v>1947.8969999999999</v>
      </c>
      <c r="AY6" s="37">
        <v>2214</v>
      </c>
      <c r="AZ6" s="37">
        <v>3173</v>
      </c>
    </row>
    <row r="7" spans="1:61" x14ac:dyDescent="0.3">
      <c r="A7" s="18" t="s">
        <v>21</v>
      </c>
      <c r="B7" s="21">
        <f>702.11+83.356</f>
        <v>785.46600000000001</v>
      </c>
      <c r="C7" s="21">
        <f>735.406+129.157</f>
        <v>864.56299999999999</v>
      </c>
      <c r="D7" s="21">
        <f>826.692+234.942</f>
        <v>1061.634</v>
      </c>
      <c r="E7" s="21">
        <f>931+238</f>
        <v>1169</v>
      </c>
      <c r="F7" s="21">
        <f>1094+262</f>
        <v>1356</v>
      </c>
      <c r="H7" s="18" t="s">
        <v>21</v>
      </c>
      <c r="I7" s="21">
        <v>1528</v>
      </c>
      <c r="J7" s="21">
        <v>1998</v>
      </c>
      <c r="K7" s="21">
        <v>2019</v>
      </c>
      <c r="L7" s="21">
        <v>2068</v>
      </c>
      <c r="M7" s="21">
        <v>2241</v>
      </c>
      <c r="O7" s="18" t="s">
        <v>21</v>
      </c>
      <c r="P7" s="21">
        <v>653</v>
      </c>
      <c r="Q7" s="21">
        <v>664</v>
      </c>
      <c r="R7" s="21">
        <v>617</v>
      </c>
      <c r="S7" s="21">
        <v>632</v>
      </c>
      <c r="T7" s="21">
        <v>642</v>
      </c>
      <c r="U7" s="21"/>
      <c r="W7" s="18" t="s">
        <v>21</v>
      </c>
      <c r="X7" s="21">
        <v>892</v>
      </c>
      <c r="Y7" s="21">
        <v>888</v>
      </c>
      <c r="Z7" s="21">
        <v>850</v>
      </c>
      <c r="AA7" s="21">
        <v>869</v>
      </c>
      <c r="AB7" s="21">
        <v>925</v>
      </c>
      <c r="AC7" s="21"/>
      <c r="AE7" s="18" t="s">
        <v>21</v>
      </c>
      <c r="AF7" s="21">
        <v>401</v>
      </c>
      <c r="AG7" s="21">
        <v>388</v>
      </c>
      <c r="AH7" s="21">
        <v>336</v>
      </c>
      <c r="AI7" s="21">
        <v>324</v>
      </c>
      <c r="AJ7" s="21">
        <v>310</v>
      </c>
      <c r="AK7" s="21"/>
      <c r="AM7" s="18" t="s">
        <v>21</v>
      </c>
      <c r="AN7" s="21">
        <v>2300</v>
      </c>
      <c r="AO7" s="21">
        <v>2323</v>
      </c>
      <c r="AP7" s="21">
        <v>2185</v>
      </c>
      <c r="AQ7" s="21">
        <v>2108</v>
      </c>
      <c r="AR7" s="21">
        <v>2576</v>
      </c>
      <c r="BF7" s="81">
        <f>(DCF!G5-DCF!B5)/DCF!B5</f>
        <v>0.52604378882700065</v>
      </c>
    </row>
    <row r="8" spans="1:61" x14ac:dyDescent="0.3">
      <c r="A8" s="18" t="s">
        <v>22</v>
      </c>
      <c r="B8" s="21">
        <v>153.19800000000001</v>
      </c>
      <c r="C8" s="21">
        <v>158.85400000000001</v>
      </c>
      <c r="D8" s="21">
        <v>170.21600000000001</v>
      </c>
      <c r="E8" s="21">
        <v>30</v>
      </c>
      <c r="F8" s="21">
        <v>30</v>
      </c>
      <c r="H8" s="18" t="s">
        <v>22</v>
      </c>
      <c r="I8" s="21">
        <v>598</v>
      </c>
      <c r="J8" s="21">
        <v>602</v>
      </c>
      <c r="K8" s="21">
        <v>560</v>
      </c>
      <c r="L8" s="21">
        <v>515</v>
      </c>
      <c r="M8" s="21">
        <v>319</v>
      </c>
      <c r="O8" s="18" t="s">
        <v>22</v>
      </c>
      <c r="P8" s="21">
        <v>146</v>
      </c>
      <c r="Q8" s="21">
        <v>195</v>
      </c>
      <c r="R8" s="21">
        <v>106</v>
      </c>
      <c r="S8" s="21">
        <v>107</v>
      </c>
      <c r="T8" s="21">
        <v>156</v>
      </c>
      <c r="U8" s="21"/>
      <c r="W8" s="18" t="s">
        <v>22</v>
      </c>
      <c r="X8" s="21">
        <v>179</v>
      </c>
      <c r="Y8" s="21">
        <v>184</v>
      </c>
      <c r="Z8" s="21">
        <v>344</v>
      </c>
      <c r="AA8" s="21">
        <v>150</v>
      </c>
      <c r="AB8" s="21">
        <v>121</v>
      </c>
      <c r="AC8" s="21"/>
      <c r="AE8" s="18" t="s">
        <v>22</v>
      </c>
      <c r="AF8" s="21">
        <v>827</v>
      </c>
      <c r="AG8" s="21">
        <v>731</v>
      </c>
      <c r="AH8" s="21">
        <v>662</v>
      </c>
      <c r="AI8" s="21">
        <v>746</v>
      </c>
      <c r="AJ8" s="21">
        <v>811</v>
      </c>
      <c r="AK8" s="21"/>
      <c r="AM8" s="18" t="s">
        <v>22</v>
      </c>
      <c r="AN8" s="21">
        <v>308</v>
      </c>
      <c r="AO8" s="21">
        <v>274</v>
      </c>
      <c r="AP8" s="21">
        <v>227</v>
      </c>
      <c r="AQ8" s="21">
        <v>243</v>
      </c>
      <c r="AR8" s="21">
        <v>375</v>
      </c>
      <c r="AU8" s="72" t="s">
        <v>11</v>
      </c>
      <c r="AV8" s="75">
        <v>2020</v>
      </c>
      <c r="AW8" s="75">
        <v>2021</v>
      </c>
      <c r="AX8" s="75">
        <v>2022</v>
      </c>
      <c r="AY8" s="75">
        <v>2023</v>
      </c>
      <c r="AZ8" s="76">
        <v>2024</v>
      </c>
      <c r="BF8" s="81">
        <f>(DCF!O5-DCF!J5)/DCF!J5</f>
        <v>0.79285814903507568</v>
      </c>
    </row>
    <row r="9" spans="1:61" x14ac:dyDescent="0.3">
      <c r="A9" s="18" t="s">
        <v>23</v>
      </c>
      <c r="B9" s="21">
        <v>-0.49</v>
      </c>
      <c r="C9" s="21">
        <v>2078.4879999999998</v>
      </c>
      <c r="D9" s="21">
        <v>2165.2040000000002</v>
      </c>
      <c r="E9" s="21">
        <v>1360</v>
      </c>
      <c r="F9" s="21">
        <v>583</v>
      </c>
      <c r="G9" s="17"/>
      <c r="H9" s="18" t="s">
        <v>23</v>
      </c>
      <c r="I9" s="21">
        <v>944</v>
      </c>
      <c r="J9" s="21">
        <v>2299</v>
      </c>
      <c r="K9" s="21">
        <v>2267</v>
      </c>
      <c r="L9" s="21">
        <v>2270</v>
      </c>
      <c r="M9" s="21">
        <v>2523</v>
      </c>
      <c r="O9" s="18" t="s">
        <v>23</v>
      </c>
      <c r="P9" s="21">
        <v>187</v>
      </c>
      <c r="Q9" s="21">
        <v>629</v>
      </c>
      <c r="R9" s="21">
        <v>664</v>
      </c>
      <c r="S9" s="21">
        <v>189</v>
      </c>
      <c r="T9" s="21">
        <v>265</v>
      </c>
      <c r="U9" s="21"/>
      <c r="V9" s="17"/>
      <c r="W9" s="18" t="s">
        <v>23</v>
      </c>
      <c r="X9" s="21">
        <v>31</v>
      </c>
      <c r="Y9" s="21">
        <v>283</v>
      </c>
      <c r="Z9" s="21">
        <v>1158</v>
      </c>
      <c r="AA9" s="21">
        <v>410</v>
      </c>
      <c r="AB9" s="21">
        <v>285</v>
      </c>
      <c r="AC9" s="21"/>
      <c r="AE9" s="18" t="s">
        <v>23</v>
      </c>
      <c r="AF9" s="21">
        <v>777</v>
      </c>
      <c r="AG9" s="21">
        <v>1740</v>
      </c>
      <c r="AH9" s="21">
        <v>1450</v>
      </c>
      <c r="AI9" s="21">
        <v>-4</v>
      </c>
      <c r="AJ9" s="21">
        <v>399</v>
      </c>
      <c r="AK9" s="21"/>
      <c r="AL9" s="17"/>
      <c r="AM9" s="18" t="s">
        <v>23</v>
      </c>
      <c r="AN9" s="21">
        <v>704</v>
      </c>
      <c r="AO9" s="21">
        <v>1098</v>
      </c>
      <c r="AP9" s="21">
        <v>455</v>
      </c>
      <c r="AQ9" s="21">
        <v>526</v>
      </c>
      <c r="AR9" s="21">
        <v>1397</v>
      </c>
      <c r="AU9" s="70" t="s">
        <v>17</v>
      </c>
      <c r="AV9" s="71" cm="1">
        <f t="array" ref="AV9:AZ9">I3:M3</f>
        <v>14198</v>
      </c>
      <c r="AW9" s="71">
        <v>22845</v>
      </c>
      <c r="AX9" s="71">
        <v>22780</v>
      </c>
      <c r="AY9" s="71">
        <v>22855</v>
      </c>
      <c r="AZ9" s="71">
        <v>25455</v>
      </c>
      <c r="BF9" s="82">
        <f>AVERAGE(BF7:BF8)</f>
        <v>0.65945096893103816</v>
      </c>
    </row>
    <row r="10" spans="1:61" x14ac:dyDescent="0.3">
      <c r="A10" s="17" t="s">
        <v>24</v>
      </c>
      <c r="B10" s="22">
        <f>B6-B7-B8-B9</f>
        <v>50.562000000000772</v>
      </c>
      <c r="C10" s="22">
        <f t="shared" ref="C10:F10" si="6">C6-C7-C8-C9</f>
        <v>6257.8069999999989</v>
      </c>
      <c r="D10" s="22">
        <f t="shared" si="6"/>
        <v>7018.0059999999939</v>
      </c>
      <c r="E10" s="22">
        <f t="shared" si="6"/>
        <v>3684</v>
      </c>
      <c r="F10" s="22">
        <f t="shared" si="6"/>
        <v>903</v>
      </c>
      <c r="G10" s="17"/>
      <c r="H10" s="17" t="s">
        <v>24</v>
      </c>
      <c r="I10" s="22">
        <f>I6-I7-I8-I9</f>
        <v>895</v>
      </c>
      <c r="J10" s="22">
        <f t="shared" ref="J10:M10" si="7">J6-J7-J8-J9</f>
        <v>5465</v>
      </c>
      <c r="K10" s="22">
        <f t="shared" si="7"/>
        <v>4210</v>
      </c>
      <c r="L10" s="22">
        <f t="shared" si="7"/>
        <v>3440</v>
      </c>
      <c r="M10" s="22">
        <f t="shared" si="7"/>
        <v>4022</v>
      </c>
      <c r="O10" s="17" t="s">
        <v>24</v>
      </c>
      <c r="P10" s="22">
        <f>P6-P7-P8-P9</f>
        <v>-14</v>
      </c>
      <c r="Q10" s="22">
        <f t="shared" ref="Q10:T10" si="8">Q6-Q7-Q8-Q9</f>
        <v>570</v>
      </c>
      <c r="R10" s="22">
        <f t="shared" si="8"/>
        <v>38</v>
      </c>
      <c r="S10" s="22">
        <f t="shared" si="8"/>
        <v>-773</v>
      </c>
      <c r="T10" s="22">
        <f t="shared" si="8"/>
        <v>24</v>
      </c>
      <c r="U10" s="22"/>
      <c r="V10" s="17"/>
      <c r="W10" s="17" t="s">
        <v>24</v>
      </c>
      <c r="X10" s="22">
        <f>X6-X7-X8-X9</f>
        <v>-490</v>
      </c>
      <c r="Y10" s="22">
        <f t="shared" ref="Y10:AB10" si="9">Y6-Y7-Y8-Y9</f>
        <v>327</v>
      </c>
      <c r="Z10" s="22">
        <f t="shared" si="9"/>
        <v>2951</v>
      </c>
      <c r="AA10" s="22">
        <f t="shared" si="9"/>
        <v>809</v>
      </c>
      <c r="AB10" s="22">
        <f t="shared" si="9"/>
        <v>411</v>
      </c>
      <c r="AC10" s="22"/>
      <c r="AE10" s="17" t="s">
        <v>24</v>
      </c>
      <c r="AF10" s="22">
        <f>AF6-AF7-AF8-AF9</f>
        <v>-1284</v>
      </c>
      <c r="AG10" s="22">
        <f t="shared" ref="AG10:AJ10" si="10">AG6-AG7-AG8-AG9</f>
        <v>4415</v>
      </c>
      <c r="AH10" s="22">
        <f t="shared" si="10"/>
        <v>2304</v>
      </c>
      <c r="AI10" s="22">
        <f t="shared" si="10"/>
        <v>440</v>
      </c>
      <c r="AJ10" s="22">
        <f t="shared" si="10"/>
        <v>813</v>
      </c>
      <c r="AK10" s="22"/>
      <c r="AL10" s="17"/>
      <c r="AM10" s="17" t="s">
        <v>24</v>
      </c>
      <c r="AN10" s="22">
        <f>AN6-AN7-AN8-AN9</f>
        <v>1794</v>
      </c>
      <c r="AO10" s="22">
        <f t="shared" ref="AO10:AR10" si="11">AO6-AO7-AO8-AO9</f>
        <v>-115</v>
      </c>
      <c r="AP10" s="22">
        <f t="shared" si="11"/>
        <v>-479</v>
      </c>
      <c r="AQ10" s="22">
        <f t="shared" si="11"/>
        <v>-2469</v>
      </c>
      <c r="AR10" s="22">
        <f t="shared" si="11"/>
        <v>2755</v>
      </c>
      <c r="AU10" s="36" t="s">
        <v>122</v>
      </c>
      <c r="AV10" s="37" cm="1">
        <f t="array" ref="AV10:AZ10">I6:M6</f>
        <v>3965</v>
      </c>
      <c r="AW10" s="37">
        <v>10364</v>
      </c>
      <c r="AX10" s="37">
        <v>9056</v>
      </c>
      <c r="AY10" s="37">
        <v>8293</v>
      </c>
      <c r="AZ10" s="37">
        <v>9105</v>
      </c>
    </row>
    <row r="11" spans="1:61" x14ac:dyDescent="0.3">
      <c r="AU11" s="36" t="s">
        <v>24</v>
      </c>
      <c r="AV11" s="37" cm="1">
        <f t="array" ref="AV11:AZ11">I10:M10</f>
        <v>895</v>
      </c>
      <c r="AW11" s="37">
        <v>5465</v>
      </c>
      <c r="AX11" s="37">
        <v>4210</v>
      </c>
      <c r="AY11" s="37">
        <v>3440</v>
      </c>
      <c r="AZ11" s="37">
        <v>4022</v>
      </c>
    </row>
    <row r="12" spans="1:61" x14ac:dyDescent="0.3">
      <c r="A12" s="17" t="s">
        <v>25</v>
      </c>
      <c r="H12" s="17" t="s">
        <v>25</v>
      </c>
      <c r="O12" s="17" t="s">
        <v>25</v>
      </c>
      <c r="W12" s="17" t="s">
        <v>25</v>
      </c>
      <c r="AE12" s="17" t="s">
        <v>25</v>
      </c>
      <c r="AM12" s="17" t="s">
        <v>25</v>
      </c>
      <c r="AU12" s="36" t="s">
        <v>37</v>
      </c>
      <c r="AV12" s="37" cm="1">
        <f t="array" ref="AV12:AZ12">I27:M27</f>
        <v>1961</v>
      </c>
      <c r="AW12" s="37">
        <v>2115</v>
      </c>
      <c r="AX12" s="37">
        <v>3469</v>
      </c>
      <c r="AY12" s="37">
        <v>4824</v>
      </c>
      <c r="AZ12" s="37">
        <v>4808</v>
      </c>
    </row>
    <row r="13" spans="1:61" x14ac:dyDescent="0.3">
      <c r="A13" s="18" t="s">
        <v>11</v>
      </c>
      <c r="B13" s="20" t="s">
        <v>12</v>
      </c>
      <c r="C13" s="20" t="s">
        <v>13</v>
      </c>
      <c r="D13" s="20" t="s">
        <v>14</v>
      </c>
      <c r="E13" s="20" t="s">
        <v>15</v>
      </c>
      <c r="F13" s="20" t="s">
        <v>16</v>
      </c>
      <c r="H13" s="18" t="s">
        <v>11</v>
      </c>
      <c r="I13" s="20" t="s">
        <v>12</v>
      </c>
      <c r="J13" s="20" t="s">
        <v>13</v>
      </c>
      <c r="K13" s="20" t="s">
        <v>14</v>
      </c>
      <c r="L13" s="20" t="s">
        <v>15</v>
      </c>
      <c r="M13" s="20" t="s">
        <v>16</v>
      </c>
      <c r="O13" s="18" t="s">
        <v>11</v>
      </c>
      <c r="P13" s="20" t="s">
        <v>12</v>
      </c>
      <c r="Q13" s="20" t="s">
        <v>13</v>
      </c>
      <c r="R13" s="20" t="s">
        <v>14</v>
      </c>
      <c r="S13" s="20" t="s">
        <v>15</v>
      </c>
      <c r="T13" s="20" t="s">
        <v>16</v>
      </c>
      <c r="U13" s="20"/>
      <c r="W13" s="18" t="s">
        <v>11</v>
      </c>
      <c r="X13" s="20" t="s">
        <v>12</v>
      </c>
      <c r="Y13" s="20" t="s">
        <v>13</v>
      </c>
      <c r="Z13" s="20" t="s">
        <v>14</v>
      </c>
      <c r="AA13" s="20" t="s">
        <v>15</v>
      </c>
      <c r="AB13" s="20" t="s">
        <v>16</v>
      </c>
      <c r="AC13" s="20"/>
      <c r="AE13" s="18" t="s">
        <v>11</v>
      </c>
      <c r="AF13" s="20" t="s">
        <v>12</v>
      </c>
      <c r="AG13" s="20" t="s">
        <v>13</v>
      </c>
      <c r="AH13" s="20" t="s">
        <v>14</v>
      </c>
      <c r="AI13" s="20" t="s">
        <v>15</v>
      </c>
      <c r="AJ13" s="20" t="s">
        <v>16</v>
      </c>
      <c r="AK13" s="20"/>
      <c r="AM13" s="18" t="s">
        <v>11</v>
      </c>
      <c r="AN13" s="20" t="s">
        <v>12</v>
      </c>
      <c r="AO13" s="20" t="s">
        <v>13</v>
      </c>
      <c r="AP13" s="20" t="s">
        <v>14</v>
      </c>
      <c r="AQ13" s="20" t="s">
        <v>15</v>
      </c>
      <c r="AR13" s="20" t="s">
        <v>16</v>
      </c>
    </row>
    <row r="14" spans="1:61" x14ac:dyDescent="0.3">
      <c r="A14" s="18" t="s">
        <v>26</v>
      </c>
      <c r="B14" s="21">
        <v>2639.6709999999998</v>
      </c>
      <c r="C14" s="21">
        <v>2364.8580000000002</v>
      </c>
      <c r="D14" s="21">
        <v>4280.8519999999999</v>
      </c>
      <c r="E14" s="21">
        <v>6383</v>
      </c>
      <c r="F14" s="21">
        <v>3558</v>
      </c>
      <c r="H14" s="18" t="s">
        <v>26</v>
      </c>
      <c r="I14" s="21">
        <v>3657</v>
      </c>
      <c r="J14" s="21">
        <v>8068</v>
      </c>
      <c r="K14" s="21">
        <v>8146</v>
      </c>
      <c r="L14" s="21">
        <v>4758</v>
      </c>
      <c r="M14" s="21">
        <v>3923</v>
      </c>
      <c r="O14" s="18" t="s">
        <v>26</v>
      </c>
      <c r="P14" s="21">
        <v>1607</v>
      </c>
      <c r="Q14" s="21">
        <v>1814</v>
      </c>
      <c r="R14" s="21">
        <v>1363</v>
      </c>
      <c r="S14" s="21">
        <v>944</v>
      </c>
      <c r="T14" s="21">
        <v>1138</v>
      </c>
      <c r="U14" s="21"/>
      <c r="W14" s="18" t="s">
        <v>26</v>
      </c>
      <c r="X14" s="21">
        <v>683</v>
      </c>
      <c r="Y14" s="21">
        <v>1628</v>
      </c>
      <c r="Z14" s="21">
        <v>2323</v>
      </c>
      <c r="AA14" s="21">
        <v>2032</v>
      </c>
      <c r="AB14" s="21">
        <v>1614</v>
      </c>
      <c r="AC14" s="21"/>
      <c r="AE14" s="18" t="s">
        <v>26</v>
      </c>
      <c r="AF14" s="21">
        <v>5104</v>
      </c>
      <c r="AG14" s="21">
        <v>2988</v>
      </c>
      <c r="AH14" s="21">
        <v>3886</v>
      </c>
      <c r="AI14" s="21">
        <v>2987</v>
      </c>
      <c r="AJ14" s="21">
        <v>2189</v>
      </c>
      <c r="AK14" s="21"/>
      <c r="AM14" s="18" t="s">
        <v>26</v>
      </c>
      <c r="AN14" s="21">
        <v>5540</v>
      </c>
      <c r="AO14" s="21">
        <v>4992</v>
      </c>
      <c r="AP14" s="21">
        <v>2877</v>
      </c>
      <c r="AQ14" s="21">
        <v>3002</v>
      </c>
      <c r="AR14" s="21">
        <v>3619</v>
      </c>
      <c r="AU14" s="72" t="s">
        <v>11</v>
      </c>
      <c r="AV14" s="75">
        <v>2025</v>
      </c>
      <c r="AW14" s="75">
        <v>2026</v>
      </c>
      <c r="AX14" s="75">
        <v>2027</v>
      </c>
      <c r="AY14" s="75">
        <v>2028</v>
      </c>
      <c r="AZ14" s="75">
        <v>2029</v>
      </c>
      <c r="BA14" s="76">
        <v>2030</v>
      </c>
    </row>
    <row r="15" spans="1:61" x14ac:dyDescent="0.3">
      <c r="A15" s="18" t="s">
        <v>27</v>
      </c>
      <c r="B15" s="21">
        <v>2298.85</v>
      </c>
      <c r="C15" s="21">
        <v>3853.9720000000002</v>
      </c>
      <c r="D15" s="21">
        <v>3591.03</v>
      </c>
      <c r="E15" s="21">
        <v>2953</v>
      </c>
      <c r="F15" s="21">
        <v>2675</v>
      </c>
      <c r="H15" s="18" t="s">
        <v>27</v>
      </c>
      <c r="I15" s="21">
        <v>892</v>
      </c>
      <c r="J15" s="21">
        <v>1168</v>
      </c>
      <c r="K15" s="21">
        <v>1336</v>
      </c>
      <c r="L15" s="21">
        <v>1209</v>
      </c>
      <c r="M15" s="21">
        <v>578</v>
      </c>
      <c r="O15" s="18" t="s">
        <v>27</v>
      </c>
      <c r="P15" s="21">
        <v>471</v>
      </c>
      <c r="Q15" s="21">
        <v>757</v>
      </c>
      <c r="R15" s="21">
        <v>778</v>
      </c>
      <c r="S15" s="21">
        <v>656</v>
      </c>
      <c r="T15" s="21">
        <v>1096</v>
      </c>
      <c r="U15" s="21"/>
      <c r="W15" s="18" t="s">
        <v>27</v>
      </c>
      <c r="X15" s="21">
        <v>265</v>
      </c>
      <c r="Y15" s="21">
        <v>497</v>
      </c>
      <c r="Z15" s="21">
        <v>582</v>
      </c>
      <c r="AA15" s="21">
        <v>505</v>
      </c>
      <c r="AB15" s="21">
        <v>404</v>
      </c>
      <c r="AC15" s="21"/>
      <c r="AE15" s="18" t="s">
        <v>27</v>
      </c>
      <c r="AF15" s="21">
        <f>4839+2551</f>
        <v>7390</v>
      </c>
      <c r="AG15" s="21">
        <f>6841+2713</f>
        <v>9554</v>
      </c>
      <c r="AH15" s="21">
        <f>5611+2144</f>
        <v>7755</v>
      </c>
      <c r="AI15" s="21">
        <f>4718+1896</f>
        <v>6614</v>
      </c>
      <c r="AJ15" s="21">
        <f>4756+2108</f>
        <v>6864</v>
      </c>
      <c r="AK15" s="21"/>
      <c r="AM15" s="18" t="s">
        <v>27</v>
      </c>
      <c r="AN15" s="21">
        <v>449</v>
      </c>
      <c r="AO15" s="21">
        <v>337</v>
      </c>
      <c r="AP15" s="21">
        <v>366</v>
      </c>
      <c r="AQ15" s="21">
        <v>734</v>
      </c>
      <c r="AR15" s="21">
        <v>1056</v>
      </c>
      <c r="AU15" s="70" t="s">
        <v>17</v>
      </c>
      <c r="AV15" s="71" cm="1">
        <f t="array" ref="AV15:BA15">DCF!B3:G3</f>
        <v>33445.099016964261</v>
      </c>
      <c r="AW15" s="71">
        <v>36395.34874258293</v>
      </c>
      <c r="AX15" s="71">
        <v>39605.845072318334</v>
      </c>
      <c r="AY15" s="71">
        <v>43099.544806866419</v>
      </c>
      <c r="AZ15" s="71">
        <v>46901.429805809043</v>
      </c>
      <c r="BA15" s="71">
        <v>51038.68562154234</v>
      </c>
    </row>
    <row r="16" spans="1:61" x14ac:dyDescent="0.3">
      <c r="A16" s="18" t="s">
        <v>28</v>
      </c>
      <c r="B16" s="21">
        <v>3569.0889999999999</v>
      </c>
      <c r="C16" s="21">
        <v>6011.1819999999998</v>
      </c>
      <c r="D16" s="21">
        <v>5453.5309999999999</v>
      </c>
      <c r="E16" s="21">
        <v>5578</v>
      </c>
      <c r="F16" s="21">
        <v>5106</v>
      </c>
      <c r="H16" s="18" t="s">
        <v>28</v>
      </c>
      <c r="I16" s="21">
        <f>1594+1014+1285</f>
        <v>3893</v>
      </c>
      <c r="J16" s="21">
        <f>1669+1170+1658</f>
        <v>4497</v>
      </c>
      <c r="K16" s="21">
        <f>1964+1383+1833</f>
        <v>5180</v>
      </c>
      <c r="L16" s="21">
        <f>2472+2169+1419</f>
        <v>6060</v>
      </c>
      <c r="M16" s="21">
        <f>3038+2382+1388</f>
        <v>6808</v>
      </c>
      <c r="O16" s="18" t="s">
        <v>28</v>
      </c>
      <c r="P16" s="21">
        <v>1398</v>
      </c>
      <c r="Q16" s="21">
        <v>1956</v>
      </c>
      <c r="R16" s="21">
        <v>2427</v>
      </c>
      <c r="S16" s="21">
        <v>2158</v>
      </c>
      <c r="T16" s="21">
        <v>1998</v>
      </c>
      <c r="U16" s="21"/>
      <c r="W16" s="18" t="s">
        <v>28</v>
      </c>
      <c r="X16" s="21">
        <v>287</v>
      </c>
      <c r="Y16" s="21">
        <v>408</v>
      </c>
      <c r="Z16" s="21">
        <v>474</v>
      </c>
      <c r="AA16" s="21">
        <v>299</v>
      </c>
      <c r="AB16" s="21">
        <v>314</v>
      </c>
      <c r="AC16" s="21"/>
      <c r="AE16" s="18" t="s">
        <v>28</v>
      </c>
      <c r="AF16" s="21">
        <v>5701</v>
      </c>
      <c r="AG16" s="21">
        <v>7372</v>
      </c>
      <c r="AH16" s="21">
        <v>6988</v>
      </c>
      <c r="AI16" s="21">
        <v>6076</v>
      </c>
      <c r="AJ16" s="21">
        <v>6544</v>
      </c>
      <c r="AK16" s="21"/>
      <c r="AM16" s="18" t="s">
        <v>28</v>
      </c>
      <c r="AN16" s="21">
        <v>963</v>
      </c>
      <c r="AO16" s="21">
        <v>930</v>
      </c>
      <c r="AP16" s="21">
        <v>979</v>
      </c>
      <c r="AQ16" s="21">
        <v>1663</v>
      </c>
      <c r="AR16" s="21">
        <v>1423</v>
      </c>
      <c r="AU16" s="36" t="s">
        <v>122</v>
      </c>
      <c r="AV16" s="37" cm="1">
        <f t="array" ref="AV16:BA16">DCF!B4:G4</f>
        <v>6108.7225375398348</v>
      </c>
      <c r="AW16" s="37">
        <v>6647.5834624578956</v>
      </c>
      <c r="AX16" s="37">
        <v>7233.978236657721</v>
      </c>
      <c r="AY16" s="37">
        <v>7872.0999027650805</v>
      </c>
      <c r="AZ16" s="37">
        <v>8566.5113789097686</v>
      </c>
      <c r="BA16" s="37">
        <v>9322.1780860801791</v>
      </c>
    </row>
    <row r="17" spans="1:53" x14ac:dyDescent="0.3">
      <c r="A17" s="17" t="s">
        <v>29</v>
      </c>
      <c r="B17" s="22">
        <v>9488.6620000000003</v>
      </c>
      <c r="C17" s="22">
        <v>12799.557000000001</v>
      </c>
      <c r="D17" s="22">
        <v>14691.683999999999</v>
      </c>
      <c r="E17" s="22">
        <v>16386</v>
      </c>
      <c r="F17" s="22">
        <v>12475</v>
      </c>
      <c r="G17" s="17"/>
      <c r="H17" s="17" t="s">
        <v>29</v>
      </c>
      <c r="I17" s="22">
        <v>9303</v>
      </c>
      <c r="J17" s="22">
        <v>14830</v>
      </c>
      <c r="K17" s="22">
        <v>15613</v>
      </c>
      <c r="L17" s="22">
        <v>14065</v>
      </c>
      <c r="M17" s="22">
        <v>13296</v>
      </c>
      <c r="O17" s="17" t="s">
        <v>29</v>
      </c>
      <c r="P17" s="22">
        <v>4520</v>
      </c>
      <c r="Q17" s="22">
        <v>5026</v>
      </c>
      <c r="R17" s="22">
        <v>5250</v>
      </c>
      <c r="S17" s="22">
        <v>4405</v>
      </c>
      <c r="T17" s="22">
        <v>4914</v>
      </c>
      <c r="U17" s="22"/>
      <c r="V17" s="17"/>
      <c r="W17" s="17" t="s">
        <v>29</v>
      </c>
      <c r="X17" s="22">
        <v>1367</v>
      </c>
      <c r="Y17" s="22">
        <v>2593</v>
      </c>
      <c r="Z17" s="22">
        <v>3673</v>
      </c>
      <c r="AA17" s="22">
        <v>3050</v>
      </c>
      <c r="AB17" s="22">
        <v>2520</v>
      </c>
      <c r="AC17" s="22"/>
      <c r="AE17" s="17" t="s">
        <v>29</v>
      </c>
      <c r="AF17" s="22">
        <v>19084</v>
      </c>
      <c r="AG17" s="22">
        <v>20848</v>
      </c>
      <c r="AH17" s="22">
        <v>20477</v>
      </c>
      <c r="AI17" s="22">
        <v>17614</v>
      </c>
      <c r="AJ17" s="22">
        <v>16590</v>
      </c>
      <c r="AK17" s="22"/>
      <c r="AL17" s="17"/>
      <c r="AM17" s="17" t="s">
        <v>29</v>
      </c>
      <c r="AN17" s="22">
        <v>8505</v>
      </c>
      <c r="AO17" s="22">
        <v>7696</v>
      </c>
      <c r="AP17" s="22">
        <v>6515</v>
      </c>
      <c r="AQ17" s="22">
        <v>7512</v>
      </c>
      <c r="AR17" s="22">
        <v>12275</v>
      </c>
      <c r="AU17" s="36" t="s">
        <v>24</v>
      </c>
      <c r="AV17" s="37" cm="1">
        <f t="array" ref="AV17:BA17">DCF!B5:G5</f>
        <v>4703.7163539056728</v>
      </c>
      <c r="AW17" s="37">
        <v>5118.6392660925794</v>
      </c>
      <c r="AX17" s="37">
        <v>5570.1632422264456</v>
      </c>
      <c r="AY17" s="37">
        <v>6061.5169251291118</v>
      </c>
      <c r="AZ17" s="37">
        <v>6596.2137617605222</v>
      </c>
      <c r="BA17" s="37">
        <v>7178.0771262817379</v>
      </c>
    </row>
    <row r="18" spans="1:53" x14ac:dyDescent="0.3">
      <c r="A18" s="18" t="s">
        <v>30</v>
      </c>
      <c r="B18" s="21">
        <v>6899.11</v>
      </c>
      <c r="C18" s="21">
        <v>8114.8180000000002</v>
      </c>
      <c r="D18" s="21">
        <v>9616.92</v>
      </c>
      <c r="E18" s="21">
        <v>11050</v>
      </c>
      <c r="F18" s="21">
        <v>13243</v>
      </c>
      <c r="H18" s="18" t="s">
        <v>30</v>
      </c>
      <c r="I18" s="21">
        <v>29818</v>
      </c>
      <c r="J18" s="21">
        <v>30345</v>
      </c>
      <c r="K18" s="21">
        <v>32627</v>
      </c>
      <c r="L18" s="21">
        <v>35295</v>
      </c>
      <c r="M18" s="21">
        <v>38514</v>
      </c>
      <c r="O18" s="18" t="s">
        <v>30</v>
      </c>
      <c r="P18" s="21">
        <v>7190</v>
      </c>
      <c r="Q18" s="21">
        <v>6623</v>
      </c>
      <c r="R18" s="21">
        <v>6493</v>
      </c>
      <c r="S18" s="21">
        <v>6785</v>
      </c>
      <c r="T18" s="21">
        <v>6389</v>
      </c>
      <c r="U18" s="21"/>
      <c r="W18" s="18" t="s">
        <v>30</v>
      </c>
      <c r="X18" s="21">
        <v>7632</v>
      </c>
      <c r="Y18" s="21">
        <v>7081</v>
      </c>
      <c r="Z18" s="21">
        <v>6437</v>
      </c>
      <c r="AA18" s="21">
        <v>7141</v>
      </c>
      <c r="AB18" s="21">
        <v>6735</v>
      </c>
      <c r="AC18" s="21"/>
      <c r="AE18" s="18" t="s">
        <v>30</v>
      </c>
      <c r="AF18" s="21">
        <v>20239</v>
      </c>
      <c r="AG18" s="21">
        <v>20555</v>
      </c>
      <c r="AH18" s="21">
        <v>20442</v>
      </c>
      <c r="AI18" s="21">
        <v>21066</v>
      </c>
      <c r="AJ18" s="21">
        <v>22004</v>
      </c>
      <c r="AK18" s="21"/>
      <c r="AM18" s="18" t="s">
        <v>30</v>
      </c>
      <c r="AN18" s="21">
        <v>24281</v>
      </c>
      <c r="AO18" s="21">
        <v>24124</v>
      </c>
      <c r="AP18" s="21">
        <v>24073</v>
      </c>
      <c r="AQ18" s="21">
        <v>37563</v>
      </c>
      <c r="AR18" s="21">
        <v>33547</v>
      </c>
      <c r="AU18" s="36" t="s">
        <v>37</v>
      </c>
      <c r="AV18" s="37" cm="1">
        <f t="array" ref="AV18:BA18">DCF!B7:G7</f>
        <v>2146.7681070297995</v>
      </c>
      <c r="AW18" s="37">
        <v>2336.1382152037668</v>
      </c>
      <c r="AX18" s="37">
        <v>2542.2129864255917</v>
      </c>
      <c r="AY18" s="37">
        <v>2766.4659677626187</v>
      </c>
      <c r="AZ18" s="37">
        <v>3010.5006904041984</v>
      </c>
      <c r="BA18" s="37">
        <v>3276.0621357847235</v>
      </c>
    </row>
    <row r="19" spans="1:53" x14ac:dyDescent="0.3">
      <c r="A19" s="18" t="s">
        <v>31</v>
      </c>
      <c r="B19" s="21">
        <v>1432.1590000000001</v>
      </c>
      <c r="C19" s="21">
        <v>1974.0409999999999</v>
      </c>
      <c r="D19" s="21">
        <v>1649.5229999999999</v>
      </c>
      <c r="E19" s="21">
        <v>2020</v>
      </c>
      <c r="F19" s="21">
        <v>1832</v>
      </c>
      <c r="H19" s="18" t="s">
        <v>31</v>
      </c>
      <c r="I19" s="21">
        <v>2708</v>
      </c>
      <c r="J19" s="21">
        <v>3495</v>
      </c>
      <c r="K19" s="21">
        <v>4027</v>
      </c>
      <c r="L19" s="21">
        <v>3729</v>
      </c>
      <c r="M19" s="21">
        <v>4057</v>
      </c>
      <c r="O19" s="18" t="s">
        <v>31</v>
      </c>
      <c r="P19" s="21">
        <v>1403</v>
      </c>
      <c r="Q19" s="21">
        <v>1674</v>
      </c>
      <c r="R19" s="21">
        <v>1757</v>
      </c>
      <c r="S19" s="21">
        <v>1714</v>
      </c>
      <c r="T19" s="21">
        <v>1805</v>
      </c>
      <c r="U19" s="21"/>
      <c r="W19" s="18" t="s">
        <v>31</v>
      </c>
      <c r="X19" s="21">
        <v>424</v>
      </c>
      <c r="Y19" s="21">
        <v>565</v>
      </c>
      <c r="Z19" s="21">
        <v>575</v>
      </c>
      <c r="AA19" s="21">
        <v>520</v>
      </c>
      <c r="AB19" s="21">
        <v>603</v>
      </c>
      <c r="AC19" s="21"/>
      <c r="AE19" s="18" t="s">
        <v>31</v>
      </c>
      <c r="AF19" s="21">
        <f>3763+2126</f>
        <v>5889</v>
      </c>
      <c r="AG19" s="21">
        <f>5577+2839</f>
        <v>8416</v>
      </c>
      <c r="AH19" s="21">
        <f>4940+2276</f>
        <v>7216</v>
      </c>
      <c r="AI19" s="21">
        <f>4529+1797</f>
        <v>6326</v>
      </c>
      <c r="AJ19" s="21">
        <f>4847+1694</f>
        <v>6541</v>
      </c>
      <c r="AK19" s="21"/>
      <c r="AM19" s="18" t="s">
        <v>31</v>
      </c>
      <c r="AN19" s="21">
        <v>493</v>
      </c>
      <c r="AO19" s="21">
        <v>518</v>
      </c>
      <c r="AP19" s="21">
        <v>633</v>
      </c>
      <c r="AQ19" s="21">
        <v>960</v>
      </c>
      <c r="AR19" s="21">
        <v>843</v>
      </c>
      <c r="AU19" s="36" t="s">
        <v>80</v>
      </c>
      <c r="AV19" s="37" cm="1">
        <f t="array" ref="AV19:BA19">DCF!B9:G9</f>
        <v>2098.2417996006725</v>
      </c>
      <c r="AW19" s="37">
        <v>3151.2728285350904</v>
      </c>
      <c r="AX19" s="37">
        <v>3429.2520264145642</v>
      </c>
      <c r="AY19" s="37">
        <v>3731.7522475942096</v>
      </c>
      <c r="AZ19" s="37">
        <v>4060.936533727051</v>
      </c>
      <c r="BA19" s="37">
        <v>4419.1587320917806</v>
      </c>
    </row>
    <row r="20" spans="1:53" x14ac:dyDescent="0.3">
      <c r="A20" s="17" t="s">
        <v>32</v>
      </c>
      <c r="B20" s="22">
        <v>2627.86</v>
      </c>
      <c r="C20" s="22">
        <v>5157.4129999999996</v>
      </c>
      <c r="D20" s="22">
        <v>4329.7439999999997</v>
      </c>
      <c r="E20" s="22">
        <v>4595</v>
      </c>
      <c r="F20" s="22">
        <v>4977</v>
      </c>
      <c r="G20" s="17"/>
      <c r="H20" s="17" t="s">
        <v>32</v>
      </c>
      <c r="I20" s="22">
        <v>3417</v>
      </c>
      <c r="J20" s="22">
        <v>5892</v>
      </c>
      <c r="K20" s="22">
        <v>6345</v>
      </c>
      <c r="L20" s="22">
        <v>5815</v>
      </c>
      <c r="M20" s="22">
        <v>5496</v>
      </c>
      <c r="O20" s="17" t="s">
        <v>32</v>
      </c>
      <c r="P20" s="22">
        <v>2761</v>
      </c>
      <c r="Q20" s="22">
        <v>3223</v>
      </c>
      <c r="R20" s="22">
        <v>3004</v>
      </c>
      <c r="S20" s="22">
        <v>3030</v>
      </c>
      <c r="T20" s="22">
        <v>3395</v>
      </c>
      <c r="U20" s="22"/>
      <c r="V20" s="17"/>
      <c r="W20" s="17" t="s">
        <v>32</v>
      </c>
      <c r="X20" s="22">
        <v>906</v>
      </c>
      <c r="Y20" s="22">
        <v>1432</v>
      </c>
      <c r="Z20" s="22">
        <v>995</v>
      </c>
      <c r="AA20" s="22">
        <v>800</v>
      </c>
      <c r="AB20" s="22">
        <v>818</v>
      </c>
      <c r="AC20" s="22"/>
      <c r="AE20" s="17" t="s">
        <v>32</v>
      </c>
      <c r="AF20" s="22">
        <v>11108</v>
      </c>
      <c r="AG20" s="22">
        <v>13226</v>
      </c>
      <c r="AH20" s="22">
        <v>11331</v>
      </c>
      <c r="AI20" s="22">
        <v>9957</v>
      </c>
      <c r="AJ20" s="22">
        <v>10288</v>
      </c>
      <c r="AK20" s="22"/>
      <c r="AL20" s="17"/>
      <c r="AM20" s="17" t="s">
        <v>32</v>
      </c>
      <c r="AN20" s="22">
        <v>3369</v>
      </c>
      <c r="AO20" s="22">
        <v>2654</v>
      </c>
      <c r="AP20" s="22">
        <v>2926</v>
      </c>
      <c r="AQ20" s="22">
        <v>5998</v>
      </c>
      <c r="AR20" s="22">
        <v>7543</v>
      </c>
    </row>
    <row r="21" spans="1:53" x14ac:dyDescent="0.3">
      <c r="A21" s="18" t="s">
        <v>33</v>
      </c>
      <c r="B21" s="21">
        <f>57.906+5271.789</f>
        <v>5329.6949999999997</v>
      </c>
      <c r="C21" s="21">
        <f>107.723+4961.41</f>
        <v>5069.1329999999998</v>
      </c>
      <c r="D21" s="21">
        <f>49.081+6613.687</f>
        <v>6662.768</v>
      </c>
      <c r="E21" s="21">
        <f>119+6649</f>
        <v>6768</v>
      </c>
      <c r="F21" s="21">
        <f>225+5683</f>
        <v>5908</v>
      </c>
      <c r="H21" s="18" t="s">
        <v>33</v>
      </c>
      <c r="I21" s="21">
        <f>34+9677</f>
        <v>9711</v>
      </c>
      <c r="J21" s="21">
        <f>372+9078</f>
        <v>9450</v>
      </c>
      <c r="K21" s="21">
        <f>1037+9583</f>
        <v>10620</v>
      </c>
      <c r="L21" s="21">
        <f>766+8656</f>
        <v>9422</v>
      </c>
      <c r="M21" s="21">
        <f>41+8907</f>
        <v>8948</v>
      </c>
      <c r="O21" s="18" t="s">
        <v>33</v>
      </c>
      <c r="P21" s="21">
        <f>2+2463</f>
        <v>2465</v>
      </c>
      <c r="Q21" s="21">
        <f>1+1726</f>
        <v>1727</v>
      </c>
      <c r="R21" s="21">
        <f>1+1806</f>
        <v>1807</v>
      </c>
      <c r="S21" s="21">
        <f>79+1732</f>
        <v>1811</v>
      </c>
      <c r="T21" s="21">
        <f>75+2470</f>
        <v>2545</v>
      </c>
      <c r="U21" s="21"/>
      <c r="W21" s="18" t="s">
        <v>33</v>
      </c>
      <c r="X21" s="21">
        <f>249+3712</f>
        <v>3961</v>
      </c>
      <c r="Y21" s="21">
        <f>3465</f>
        <v>3465</v>
      </c>
      <c r="Z21" s="21">
        <v>2965</v>
      </c>
      <c r="AA21" s="21">
        <f>2968</f>
        <v>2968</v>
      </c>
      <c r="AB21" s="21">
        <v>2971</v>
      </c>
      <c r="AC21" s="21"/>
      <c r="AE21" s="18" t="s">
        <v>33</v>
      </c>
      <c r="AF21" s="21">
        <f>460+16491</f>
        <v>16951</v>
      </c>
      <c r="AG21" s="21">
        <f>231+14280</f>
        <v>14511</v>
      </c>
      <c r="AH21" s="21">
        <f>362+14698</f>
        <v>15060</v>
      </c>
      <c r="AI21" s="21">
        <f>117+14907</f>
        <v>15024</v>
      </c>
      <c r="AJ21" s="21">
        <f>497+15711</f>
        <v>16208</v>
      </c>
      <c r="AK21" s="21"/>
      <c r="AM21" s="18" t="s">
        <v>33</v>
      </c>
      <c r="AN21" s="21">
        <f>551+5480</f>
        <v>6031</v>
      </c>
      <c r="AO21" s="21">
        <f>87+5565</f>
        <v>5652</v>
      </c>
      <c r="AP21" s="21">
        <v>5571</v>
      </c>
      <c r="AQ21" s="21">
        <f>1923+6951</f>
        <v>8874</v>
      </c>
      <c r="AR21" s="21">
        <f>924+7552</f>
        <v>8476</v>
      </c>
      <c r="AU21" s="72" t="s">
        <v>11</v>
      </c>
      <c r="AV21" s="75">
        <v>2025</v>
      </c>
      <c r="AW21" s="75">
        <v>2026</v>
      </c>
      <c r="AX21" s="75">
        <v>2027</v>
      </c>
      <c r="AY21" s="75">
        <v>2028</v>
      </c>
      <c r="AZ21" s="75">
        <v>2029</v>
      </c>
      <c r="BA21" s="76">
        <v>2030</v>
      </c>
    </row>
    <row r="22" spans="1:53" x14ac:dyDescent="0.3">
      <c r="A22" s="18" t="s">
        <v>34</v>
      </c>
      <c r="B22" s="21">
        <v>11231.861000000001</v>
      </c>
      <c r="C22" s="21">
        <v>14603.794</v>
      </c>
      <c r="D22" s="21">
        <v>19569.905999999999</v>
      </c>
      <c r="E22" s="21">
        <v>22123</v>
      </c>
      <c r="F22" s="21">
        <v>21417</v>
      </c>
      <c r="H22" s="18" t="s">
        <v>34</v>
      </c>
      <c r="I22" s="21">
        <v>18668</v>
      </c>
      <c r="J22" s="21">
        <v>23019</v>
      </c>
      <c r="K22" s="21">
        <v>24871</v>
      </c>
      <c r="L22" s="21">
        <v>27310</v>
      </c>
      <c r="M22" s="21">
        <v>28778</v>
      </c>
      <c r="O22" s="18" t="s">
        <v>34</v>
      </c>
      <c r="P22" s="21">
        <v>5016</v>
      </c>
      <c r="Q22" s="21">
        <v>6284</v>
      </c>
      <c r="R22" s="21">
        <v>6589</v>
      </c>
      <c r="S22" s="21">
        <v>5845</v>
      </c>
      <c r="T22" s="21">
        <v>5157</v>
      </c>
      <c r="U22" s="21"/>
      <c r="W22" s="18" t="s">
        <v>34</v>
      </c>
      <c r="X22" s="21">
        <v>5603</v>
      </c>
      <c r="Y22" s="21">
        <v>6036</v>
      </c>
      <c r="Z22" s="21">
        <v>7853</v>
      </c>
      <c r="AA22" s="21">
        <v>8373</v>
      </c>
      <c r="AB22" s="21">
        <v>7592</v>
      </c>
      <c r="AC22" s="21"/>
      <c r="AE22" s="18" t="s">
        <v>34</v>
      </c>
      <c r="AF22" s="21">
        <v>13005</v>
      </c>
      <c r="AG22" s="21">
        <v>18739</v>
      </c>
      <c r="AH22" s="21">
        <v>21247</v>
      </c>
      <c r="AI22" s="21">
        <v>19108</v>
      </c>
      <c r="AJ22" s="21">
        <v>17851</v>
      </c>
      <c r="AK22" s="21"/>
      <c r="AM22" s="18" t="s">
        <v>34</v>
      </c>
      <c r="AN22" s="21">
        <v>23845</v>
      </c>
      <c r="AO22" s="21">
        <v>21813</v>
      </c>
      <c r="AP22" s="21">
        <v>19533</v>
      </c>
      <c r="AQ22" s="21">
        <v>29205</v>
      </c>
      <c r="AR22" s="21">
        <v>30109</v>
      </c>
      <c r="AU22" s="70" t="s">
        <v>17</v>
      </c>
      <c r="AV22" s="71" cm="1">
        <f t="array" ref="AV22:BA22">DCF!J3:O3</f>
        <v>28607.656817933348</v>
      </c>
      <c r="AW22" s="71">
        <v>32150.777003050418</v>
      </c>
      <c r="AX22" s="71">
        <v>36132.720288083678</v>
      </c>
      <c r="AY22" s="71">
        <v>40607.835863283268</v>
      </c>
      <c r="AZ22" s="71">
        <v>45637.204183687842</v>
      </c>
      <c r="BA22" s="71">
        <v>51289.470650830634</v>
      </c>
    </row>
    <row r="23" spans="1:53" x14ac:dyDescent="0.3">
      <c r="AU23" s="36" t="s">
        <v>122</v>
      </c>
      <c r="AV23" s="37" cm="1">
        <f t="array" ref="AV23:BA23">DCF!J4:O4</f>
        <v>10789.546835894462</v>
      </c>
      <c r="AW23" s="37">
        <v>12125.855553026415</v>
      </c>
      <c r="AX23" s="37">
        <v>13627.668995671227</v>
      </c>
      <c r="AY23" s="37">
        <v>15315.485282127396</v>
      </c>
      <c r="AZ23" s="37">
        <v>17212.341266989184</v>
      </c>
      <c r="BA23" s="37">
        <v>19344.126969129</v>
      </c>
    </row>
    <row r="24" spans="1:53" x14ac:dyDescent="0.3">
      <c r="A24" s="17" t="s">
        <v>35</v>
      </c>
      <c r="H24" s="17" t="s">
        <v>35</v>
      </c>
      <c r="O24" s="17" t="s">
        <v>35</v>
      </c>
      <c r="W24" s="17" t="s">
        <v>35</v>
      </c>
      <c r="AE24" s="17" t="s">
        <v>35</v>
      </c>
      <c r="AM24" s="17" t="s">
        <v>35</v>
      </c>
      <c r="AU24" s="36" t="s">
        <v>24</v>
      </c>
      <c r="AV24" s="37" cm="1">
        <f t="array" ref="AV24:BA24">DCF!J5:O5</f>
        <v>8307.9510636387349</v>
      </c>
      <c r="AW24" s="37">
        <v>9336.9087758303394</v>
      </c>
      <c r="AX24" s="37">
        <v>10493.305126666844</v>
      </c>
      <c r="AY24" s="37">
        <v>11792.923667238096</v>
      </c>
      <c r="AZ24" s="37">
        <v>13253.502775581672</v>
      </c>
      <c r="BA24" s="37">
        <v>14894.977766229331</v>
      </c>
    </row>
    <row r="25" spans="1:53" x14ac:dyDescent="0.3">
      <c r="A25" s="18" t="s">
        <v>11</v>
      </c>
      <c r="B25" s="20" t="s">
        <v>12</v>
      </c>
      <c r="C25" s="20" t="s">
        <v>13</v>
      </c>
      <c r="D25" s="20" t="s">
        <v>14</v>
      </c>
      <c r="E25" s="20" t="s">
        <v>15</v>
      </c>
      <c r="F25" s="20" t="s">
        <v>16</v>
      </c>
      <c r="H25" s="18" t="s">
        <v>11</v>
      </c>
      <c r="I25" s="20" t="s">
        <v>12</v>
      </c>
      <c r="J25" s="20" t="s">
        <v>13</v>
      </c>
      <c r="K25" s="20" t="s">
        <v>14</v>
      </c>
      <c r="L25" s="20" t="s">
        <v>15</v>
      </c>
      <c r="M25" s="20" t="s">
        <v>16</v>
      </c>
      <c r="O25" s="18" t="s">
        <v>11</v>
      </c>
      <c r="P25" s="20" t="s">
        <v>12</v>
      </c>
      <c r="Q25" s="20" t="s">
        <v>13</v>
      </c>
      <c r="R25" s="20" t="s">
        <v>14</v>
      </c>
      <c r="S25" s="20" t="s">
        <v>15</v>
      </c>
      <c r="T25" s="20" t="s">
        <v>16</v>
      </c>
      <c r="U25" s="20"/>
      <c r="W25" s="18" t="s">
        <v>11</v>
      </c>
      <c r="X25" s="20" t="s">
        <v>12</v>
      </c>
      <c r="Y25" s="20" t="s">
        <v>13</v>
      </c>
      <c r="Z25" s="20" t="s">
        <v>14</v>
      </c>
      <c r="AA25" s="20" t="s">
        <v>15</v>
      </c>
      <c r="AB25" s="20" t="s">
        <v>16</v>
      </c>
      <c r="AC25" s="20"/>
      <c r="AE25" s="18" t="s">
        <v>11</v>
      </c>
      <c r="AF25" s="20" t="s">
        <v>12</v>
      </c>
      <c r="AG25" s="20" t="s">
        <v>13</v>
      </c>
      <c r="AH25" s="20" t="s">
        <v>14</v>
      </c>
      <c r="AI25" s="20" t="s">
        <v>15</v>
      </c>
      <c r="AJ25" s="20" t="s">
        <v>16</v>
      </c>
      <c r="AK25" s="20"/>
      <c r="AM25" s="18" t="s">
        <v>11</v>
      </c>
      <c r="AN25" s="20" t="s">
        <v>12</v>
      </c>
      <c r="AO25" s="20" t="s">
        <v>13</v>
      </c>
      <c r="AP25" s="20" t="s">
        <v>14</v>
      </c>
      <c r="AQ25" s="20" t="s">
        <v>15</v>
      </c>
      <c r="AR25" s="20" t="s">
        <v>16</v>
      </c>
      <c r="AU25" s="36" t="s">
        <v>37</v>
      </c>
      <c r="AV25" s="37" cm="1">
        <f t="array" ref="AV25:BA25">DCF!J7:O7</f>
        <v>4544.3455851741946</v>
      </c>
      <c r="AW25" s="37">
        <v>5107.1726168828854</v>
      </c>
      <c r="AX25" s="37">
        <v>5739.706994057442</v>
      </c>
      <c r="AY25" s="37">
        <v>6450.5821222348104</v>
      </c>
      <c r="AZ25" s="37">
        <v>7249.50067290472</v>
      </c>
      <c r="BA25" s="37">
        <v>8147.367014411122</v>
      </c>
    </row>
    <row r="26" spans="1:53" x14ac:dyDescent="0.3">
      <c r="A26" s="18" t="s">
        <v>36</v>
      </c>
      <c r="B26" s="21">
        <v>2696.877</v>
      </c>
      <c r="C26" s="21">
        <v>6230.7759999999998</v>
      </c>
      <c r="D26" s="21">
        <v>10072.054</v>
      </c>
      <c r="E26" s="21">
        <v>7112</v>
      </c>
      <c r="F26" s="21">
        <v>3979</v>
      </c>
      <c r="H26" s="18" t="s">
        <v>36</v>
      </c>
      <c r="I26" s="21">
        <v>3017</v>
      </c>
      <c r="J26" s="21">
        <v>7715</v>
      </c>
      <c r="K26" s="21">
        <v>5139</v>
      </c>
      <c r="L26" s="21">
        <v>5279</v>
      </c>
      <c r="M26" s="21">
        <v>7160</v>
      </c>
      <c r="O26" s="18" t="s">
        <v>36</v>
      </c>
      <c r="P26" s="21">
        <v>394</v>
      </c>
      <c r="Q26" s="21">
        <v>920</v>
      </c>
      <c r="R26" s="21">
        <v>822</v>
      </c>
      <c r="S26" s="21">
        <v>91</v>
      </c>
      <c r="T26" s="21">
        <v>622</v>
      </c>
      <c r="U26" s="21"/>
      <c r="W26" s="18" t="s">
        <v>36</v>
      </c>
      <c r="X26" s="21">
        <v>1231</v>
      </c>
      <c r="Y26" s="21">
        <v>2873</v>
      </c>
      <c r="Z26" s="21">
        <v>3855</v>
      </c>
      <c r="AA26" s="21">
        <v>2757</v>
      </c>
      <c r="AB26" s="21">
        <v>2271</v>
      </c>
      <c r="AC26" s="21"/>
      <c r="AE26" s="18" t="s">
        <v>36</v>
      </c>
      <c r="AF26" s="21">
        <v>6226</v>
      </c>
      <c r="AG26" s="21">
        <v>7009</v>
      </c>
      <c r="AH26" s="21">
        <v>7475</v>
      </c>
      <c r="AI26" s="21">
        <v>5196</v>
      </c>
      <c r="AJ26" s="21">
        <v>2914</v>
      </c>
      <c r="AK26" s="21"/>
      <c r="AM26" s="18" t="s">
        <v>36</v>
      </c>
      <c r="AN26" s="21">
        <v>4882</v>
      </c>
      <c r="AO26" s="21">
        <v>4279</v>
      </c>
      <c r="AP26" s="21">
        <v>3220</v>
      </c>
      <c r="AQ26" s="21">
        <v>2763</v>
      </c>
      <c r="AR26" s="21">
        <v>6363</v>
      </c>
      <c r="AU26" s="36" t="s">
        <v>80</v>
      </c>
      <c r="AV26" s="37" cm="1">
        <f t="array" ref="AV26:BA26">DCF!J9:O9</f>
        <v>3550.6149048046482</v>
      </c>
      <c r="AW26" s="37">
        <v>5844.2833010510612</v>
      </c>
      <c r="AX26" s="37">
        <v>6568.1104310841638</v>
      </c>
      <c r="AY26" s="37">
        <v>7381.5851170592869</v>
      </c>
      <c r="AZ26" s="37">
        <v>8295.8104027183817</v>
      </c>
      <c r="BA26" s="37">
        <v>9323.2644677905682</v>
      </c>
    </row>
    <row r="27" spans="1:53" x14ac:dyDescent="0.3">
      <c r="A27" s="18" t="s">
        <v>37</v>
      </c>
      <c r="B27" s="21">
        <v>1543.2190000000001</v>
      </c>
      <c r="C27" s="21">
        <v>1621.989</v>
      </c>
      <c r="D27" s="21">
        <v>1947.8969999999999</v>
      </c>
      <c r="E27" s="21">
        <v>2214</v>
      </c>
      <c r="F27" s="21">
        <v>3173</v>
      </c>
      <c r="H27" s="18" t="s">
        <v>37</v>
      </c>
      <c r="I27" s="21">
        <f>428+183+1266+19+65</f>
        <v>1961</v>
      </c>
      <c r="J27" s="21">
        <f>342+162+1296+222+6+87</f>
        <v>2115</v>
      </c>
      <c r="K27" s="21">
        <f>597+304+1575+806+33+154</f>
        <v>3469</v>
      </c>
      <c r="L27" s="21">
        <f>761+368+3411+84+200</f>
        <v>4824</v>
      </c>
      <c r="M27" s="21">
        <f>1033+375+2908+117+375</f>
        <v>4808</v>
      </c>
      <c r="O27" s="18" t="s">
        <v>37</v>
      </c>
      <c r="P27" s="21">
        <v>353</v>
      </c>
      <c r="Q27" s="21">
        <v>390</v>
      </c>
      <c r="R27" s="21">
        <v>480</v>
      </c>
      <c r="S27" s="21">
        <v>531</v>
      </c>
      <c r="T27" s="21">
        <v>580</v>
      </c>
      <c r="U27" s="21"/>
      <c r="W27" s="18" t="s">
        <v>37</v>
      </c>
      <c r="X27" s="21">
        <v>309</v>
      </c>
      <c r="Y27" s="21">
        <v>514</v>
      </c>
      <c r="Z27" s="21">
        <v>453</v>
      </c>
      <c r="AA27" s="21">
        <v>499</v>
      </c>
      <c r="AB27" s="21">
        <v>518</v>
      </c>
      <c r="AC27" s="21"/>
      <c r="AE27" s="18" t="s">
        <v>37</v>
      </c>
      <c r="AF27" s="21">
        <v>1252</v>
      </c>
      <c r="AG27" s="21">
        <v>1501</v>
      </c>
      <c r="AH27" s="21">
        <v>1823</v>
      </c>
      <c r="AI27" s="21">
        <v>2356</v>
      </c>
      <c r="AJ27" s="21">
        <v>2940</v>
      </c>
      <c r="AK27" s="21"/>
      <c r="AM27" s="18" t="s">
        <v>37</v>
      </c>
      <c r="AN27" s="21">
        <v>1302</v>
      </c>
      <c r="AO27" s="21">
        <v>1653</v>
      </c>
      <c r="AP27" s="21">
        <v>2131</v>
      </c>
      <c r="AQ27" s="21">
        <v>2666</v>
      </c>
      <c r="AR27" s="21">
        <v>3402</v>
      </c>
    </row>
    <row r="28" spans="1:53" x14ac:dyDescent="0.3">
      <c r="A28" s="18" t="s">
        <v>38</v>
      </c>
      <c r="B28" s="21">
        <v>491.65499999999997</v>
      </c>
      <c r="C28" s="21">
        <v>483.46899999999999</v>
      </c>
      <c r="D28" s="21">
        <v>533.58900000000006</v>
      </c>
      <c r="E28" s="21">
        <v>515</v>
      </c>
      <c r="F28" s="21">
        <v>522</v>
      </c>
      <c r="H28" s="18" t="s">
        <v>38</v>
      </c>
      <c r="I28" s="21">
        <f>73</f>
        <v>73</v>
      </c>
      <c r="J28" s="21">
        <f>331+583</f>
        <v>914</v>
      </c>
      <c r="K28" s="21">
        <f>866+840</f>
        <v>1706</v>
      </c>
      <c r="L28" s="21">
        <f>863+625</f>
        <v>1488</v>
      </c>
      <c r="M28" s="21">
        <f>865+1833</f>
        <v>2698</v>
      </c>
      <c r="O28" s="18" t="s">
        <v>38</v>
      </c>
      <c r="P28" s="21">
        <v>207</v>
      </c>
      <c r="Q28" s="21">
        <v>215</v>
      </c>
      <c r="R28" s="21">
        <v>379</v>
      </c>
      <c r="S28" s="21">
        <v>30</v>
      </c>
      <c r="T28" s="21">
        <v>49</v>
      </c>
      <c r="U28" s="21"/>
      <c r="W28" s="18" t="s">
        <v>38</v>
      </c>
      <c r="X28" s="21">
        <v>258</v>
      </c>
      <c r="Y28" s="21">
        <v>260</v>
      </c>
      <c r="Z28" s="21">
        <v>306</v>
      </c>
      <c r="AA28" s="21">
        <v>311</v>
      </c>
      <c r="AB28" s="21">
        <v>364</v>
      </c>
      <c r="AC28" s="21"/>
      <c r="AE28" s="18" t="s">
        <v>38</v>
      </c>
      <c r="AF28" s="21">
        <v>2071</v>
      </c>
      <c r="AG28" s="21">
        <v>2073</v>
      </c>
      <c r="AH28" s="21">
        <v>2006</v>
      </c>
      <c r="AI28" s="21">
        <v>1972</v>
      </c>
      <c r="AJ28" s="21">
        <v>1966</v>
      </c>
      <c r="AK28" s="21"/>
      <c r="AM28" s="18" t="s">
        <v>38</v>
      </c>
      <c r="AN28" s="21">
        <v>834</v>
      </c>
      <c r="AO28" s="21">
        <v>1757</v>
      </c>
      <c r="AP28" s="21">
        <v>1746</v>
      </c>
      <c r="AQ28" s="21">
        <v>1415</v>
      </c>
      <c r="AR28" s="21">
        <v>1145</v>
      </c>
    </row>
    <row r="29" spans="1:53" x14ac:dyDescent="0.3">
      <c r="A29" s="18" t="s">
        <v>39</v>
      </c>
      <c r="B29" s="21">
        <v>97.15</v>
      </c>
      <c r="C29" s="21">
        <v>0</v>
      </c>
      <c r="D29" s="21">
        <v>1111</v>
      </c>
      <c r="E29" s="21">
        <v>10</v>
      </c>
      <c r="F29" s="21">
        <v>10</v>
      </c>
      <c r="H29" s="18" t="s">
        <v>39</v>
      </c>
      <c r="I29" s="21">
        <v>3724</v>
      </c>
      <c r="J29" s="21">
        <v>1461</v>
      </c>
      <c r="K29" s="21">
        <v>4515</v>
      </c>
      <c r="L29" s="21">
        <v>2980</v>
      </c>
      <c r="M29" s="21">
        <v>2731</v>
      </c>
      <c r="O29" s="18" t="s">
        <v>39</v>
      </c>
      <c r="P29" s="21">
        <v>1</v>
      </c>
      <c r="Q29" s="21">
        <v>1294</v>
      </c>
      <c r="R29" s="21">
        <v>1</v>
      </c>
      <c r="S29" s="21">
        <v>72</v>
      </c>
      <c r="T29" s="21">
        <v>679</v>
      </c>
      <c r="U29" s="21"/>
      <c r="W29" s="18" t="s">
        <v>39</v>
      </c>
      <c r="X29" s="21">
        <f>500</f>
        <v>500</v>
      </c>
      <c r="Y29" s="21">
        <v>518</v>
      </c>
      <c r="Z29" s="21">
        <v>507</v>
      </c>
      <c r="AA29" s="21">
        <v>0</v>
      </c>
      <c r="AB29" s="21">
        <v>0</v>
      </c>
      <c r="AC29" s="21"/>
      <c r="AE29" s="18" t="s">
        <v>39</v>
      </c>
      <c r="AF29" s="21">
        <f>163+4653</f>
        <v>4816</v>
      </c>
      <c r="AG29" s="21">
        <f>130+2771</f>
        <v>2901</v>
      </c>
      <c r="AH29" s="21">
        <f>14+1006</f>
        <v>1020</v>
      </c>
      <c r="AI29" s="21">
        <f>446</f>
        <v>446</v>
      </c>
      <c r="AJ29" s="21">
        <f>17+267</f>
        <v>284</v>
      </c>
      <c r="AK29" s="21"/>
      <c r="AM29" s="18" t="s">
        <v>39</v>
      </c>
      <c r="AN29" s="21">
        <v>1160</v>
      </c>
      <c r="AO29" s="21">
        <v>1382</v>
      </c>
      <c r="AP29" s="21">
        <v>89</v>
      </c>
      <c r="AQ29" s="21">
        <v>0</v>
      </c>
      <c r="AR29" s="21">
        <v>3860</v>
      </c>
    </row>
    <row r="32" spans="1:53" x14ac:dyDescent="0.3">
      <c r="O32" s="104" t="s">
        <v>11</v>
      </c>
      <c r="P32" s="105">
        <v>2020</v>
      </c>
      <c r="Q32" s="105">
        <v>2021</v>
      </c>
      <c r="R32" s="105">
        <v>2022</v>
      </c>
      <c r="S32" s="105">
        <v>2023</v>
      </c>
      <c r="T32" s="105">
        <v>2024</v>
      </c>
      <c r="U32" s="103"/>
      <c r="W32" s="104" t="s">
        <v>11</v>
      </c>
      <c r="X32" s="105">
        <v>2020</v>
      </c>
      <c r="Y32" s="105">
        <v>2021</v>
      </c>
      <c r="Z32" s="105">
        <v>2022</v>
      </c>
      <c r="AA32" s="105">
        <v>2023</v>
      </c>
      <c r="AB32" s="105">
        <v>2024</v>
      </c>
      <c r="AC32" s="103"/>
      <c r="AE32" s="104" t="s">
        <v>11</v>
      </c>
      <c r="AF32" s="105">
        <v>2020</v>
      </c>
      <c r="AG32" s="105">
        <v>2021</v>
      </c>
      <c r="AH32" s="105">
        <v>2022</v>
      </c>
      <c r="AI32" s="105">
        <v>2023</v>
      </c>
      <c r="AJ32" s="105">
        <v>2024</v>
      </c>
      <c r="AK32" s="107"/>
      <c r="AL32" s="103"/>
      <c r="AM32" s="104" t="s">
        <v>11</v>
      </c>
      <c r="AN32" s="105">
        <v>2020</v>
      </c>
      <c r="AO32" s="105">
        <v>2021</v>
      </c>
      <c r="AP32" s="105">
        <v>2022</v>
      </c>
      <c r="AQ32" s="105">
        <v>2023</v>
      </c>
      <c r="AR32" s="105">
        <v>2024</v>
      </c>
      <c r="AS32" s="107"/>
    </row>
    <row r="33" spans="15:45" x14ac:dyDescent="0.3">
      <c r="O33" s="36" t="s">
        <v>17</v>
      </c>
      <c r="P33" s="79">
        <f>P3</f>
        <v>9286</v>
      </c>
      <c r="Q33" s="79">
        <f t="shared" ref="Q33:T33" si="12">Q3</f>
        <v>12152</v>
      </c>
      <c r="R33" s="79">
        <f t="shared" si="12"/>
        <v>12451</v>
      </c>
      <c r="S33" s="79">
        <f t="shared" si="12"/>
        <v>10551</v>
      </c>
      <c r="T33" s="79">
        <f t="shared" si="12"/>
        <v>11895</v>
      </c>
      <c r="W33" s="36" t="s">
        <v>17</v>
      </c>
      <c r="X33" s="79">
        <f>X3</f>
        <v>4124</v>
      </c>
      <c r="Y33" s="79">
        <f t="shared" ref="Y33:AB33" si="13">Y3</f>
        <v>6538</v>
      </c>
      <c r="Z33" s="79">
        <f t="shared" si="13"/>
        <v>11186</v>
      </c>
      <c r="AA33" s="79">
        <f t="shared" si="13"/>
        <v>6631</v>
      </c>
      <c r="AB33" s="79">
        <f t="shared" si="13"/>
        <v>5936</v>
      </c>
      <c r="AE33" s="36" t="s">
        <v>17</v>
      </c>
      <c r="AF33" s="79">
        <f>AF3</f>
        <v>38542</v>
      </c>
      <c r="AG33" s="79">
        <f t="shared" ref="AG33:AJ33" si="14">AG3</f>
        <v>54968</v>
      </c>
      <c r="AH33" s="79">
        <f t="shared" si="14"/>
        <v>56902</v>
      </c>
      <c r="AI33" s="79">
        <f t="shared" si="14"/>
        <v>44622</v>
      </c>
      <c r="AJ33" s="79">
        <f t="shared" si="14"/>
        <v>42964</v>
      </c>
      <c r="AK33" s="106"/>
      <c r="AM33" s="36" t="s">
        <v>17</v>
      </c>
      <c r="AN33" s="79">
        <f>AN3</f>
        <v>11497</v>
      </c>
      <c r="AO33" s="79">
        <f t="shared" ref="AO33:AR33" si="15">AO3</f>
        <v>12222</v>
      </c>
      <c r="AP33" s="79">
        <f t="shared" si="15"/>
        <v>11915</v>
      </c>
      <c r="AQ33" s="79">
        <f t="shared" si="15"/>
        <v>11812</v>
      </c>
      <c r="AR33" s="79">
        <f t="shared" si="15"/>
        <v>18682</v>
      </c>
      <c r="AS33" s="106"/>
    </row>
    <row r="34" spans="15:45" x14ac:dyDescent="0.3">
      <c r="O34" s="36" t="s">
        <v>122</v>
      </c>
      <c r="P34" s="79">
        <f>P6</f>
        <v>972</v>
      </c>
      <c r="Q34" s="79">
        <f t="shared" ref="Q34:T34" si="16">Q6</f>
        <v>2058</v>
      </c>
      <c r="R34" s="79">
        <f t="shared" si="16"/>
        <v>1425</v>
      </c>
      <c r="S34" s="79">
        <f t="shared" si="16"/>
        <v>155</v>
      </c>
      <c r="T34" s="79">
        <f t="shared" si="16"/>
        <v>1087</v>
      </c>
      <c r="W34" s="36" t="s">
        <v>122</v>
      </c>
      <c r="X34" s="79">
        <f>X6</f>
        <v>612</v>
      </c>
      <c r="Y34" s="79">
        <f t="shared" ref="Y34:AB34" si="17">Y6</f>
        <v>1682</v>
      </c>
      <c r="Z34" s="79">
        <f t="shared" si="17"/>
        <v>5303</v>
      </c>
      <c r="AA34" s="79">
        <f t="shared" si="17"/>
        <v>2238</v>
      </c>
      <c r="AB34" s="79">
        <f t="shared" si="17"/>
        <v>1742</v>
      </c>
      <c r="AE34" s="36" t="s">
        <v>122</v>
      </c>
      <c r="AF34" s="79">
        <f>AF6</f>
        <v>721</v>
      </c>
      <c r="AG34" s="79">
        <f t="shared" ref="AG34:AJ34" si="18">AG6</f>
        <v>7274</v>
      </c>
      <c r="AH34" s="79">
        <f t="shared" si="18"/>
        <v>4752</v>
      </c>
      <c r="AI34" s="79">
        <f t="shared" si="18"/>
        <v>1506</v>
      </c>
      <c r="AJ34" s="79">
        <f t="shared" si="18"/>
        <v>2333</v>
      </c>
      <c r="AK34" s="106"/>
      <c r="AM34" s="36" t="s">
        <v>122</v>
      </c>
      <c r="AN34" s="79">
        <f>AN6</f>
        <v>5106</v>
      </c>
      <c r="AO34" s="79">
        <f t="shared" ref="AO34:AR34" si="19">AO6</f>
        <v>3580</v>
      </c>
      <c r="AP34" s="79">
        <f t="shared" si="19"/>
        <v>2388</v>
      </c>
      <c r="AQ34" s="79">
        <f t="shared" si="19"/>
        <v>408</v>
      </c>
      <c r="AR34" s="79">
        <f t="shared" si="19"/>
        <v>7103</v>
      </c>
      <c r="AS34" s="106"/>
    </row>
    <row r="35" spans="15:45" x14ac:dyDescent="0.3">
      <c r="O35" s="36" t="s">
        <v>24</v>
      </c>
      <c r="P35" s="79">
        <f>P10</f>
        <v>-14</v>
      </c>
      <c r="Q35" s="79">
        <f t="shared" ref="Q35:T35" si="20">Q10</f>
        <v>570</v>
      </c>
      <c r="R35" s="79">
        <f t="shared" si="20"/>
        <v>38</v>
      </c>
      <c r="S35" s="79">
        <f t="shared" si="20"/>
        <v>-773</v>
      </c>
      <c r="T35" s="79">
        <f t="shared" si="20"/>
        <v>24</v>
      </c>
      <c r="W35" s="36" t="s">
        <v>24</v>
      </c>
      <c r="X35" s="79">
        <f>X10</f>
        <v>-490</v>
      </c>
      <c r="Y35" s="79">
        <f t="shared" ref="Y35:AB35" si="21">Y10</f>
        <v>327</v>
      </c>
      <c r="Z35" s="79">
        <f t="shared" si="21"/>
        <v>2951</v>
      </c>
      <c r="AA35" s="79">
        <f t="shared" si="21"/>
        <v>809</v>
      </c>
      <c r="AB35" s="79">
        <f t="shared" si="21"/>
        <v>411</v>
      </c>
      <c r="AE35" s="36" t="s">
        <v>24</v>
      </c>
      <c r="AF35" s="79">
        <f>AF10</f>
        <v>-1284</v>
      </c>
      <c r="AG35" s="79">
        <f t="shared" ref="AG35:AJ35" si="22">AG10</f>
        <v>4415</v>
      </c>
      <c r="AH35" s="79">
        <f t="shared" si="22"/>
        <v>2304</v>
      </c>
      <c r="AI35" s="79">
        <f t="shared" si="22"/>
        <v>440</v>
      </c>
      <c r="AJ35" s="79">
        <f t="shared" si="22"/>
        <v>813</v>
      </c>
      <c r="AK35" s="106"/>
      <c r="AM35" s="36" t="s">
        <v>24</v>
      </c>
      <c r="AN35" s="79">
        <f>AN10</f>
        <v>1794</v>
      </c>
      <c r="AO35" s="79">
        <f t="shared" ref="AO35:AR35" si="23">AO10</f>
        <v>-115</v>
      </c>
      <c r="AP35" s="79">
        <f t="shared" si="23"/>
        <v>-479</v>
      </c>
      <c r="AQ35" s="79">
        <f t="shared" si="23"/>
        <v>-2469</v>
      </c>
      <c r="AR35" s="79">
        <f t="shared" si="23"/>
        <v>2755</v>
      </c>
      <c r="AS35" s="106"/>
    </row>
    <row r="37" spans="15:45" x14ac:dyDescent="0.3">
      <c r="O37" s="104" t="s">
        <v>11</v>
      </c>
      <c r="P37" s="104">
        <v>2025</v>
      </c>
      <c r="Q37" s="104">
        <v>2026</v>
      </c>
      <c r="R37" s="104">
        <v>2027</v>
      </c>
      <c r="S37" s="104">
        <v>2028</v>
      </c>
      <c r="T37" s="104">
        <v>2029</v>
      </c>
      <c r="U37" s="104">
        <v>2030</v>
      </c>
      <c r="W37" s="104" t="s">
        <v>11</v>
      </c>
      <c r="X37" s="104">
        <v>2025</v>
      </c>
      <c r="Y37" s="104">
        <v>2026</v>
      </c>
      <c r="Z37" s="104">
        <v>2027</v>
      </c>
      <c r="AA37" s="104">
        <v>2028</v>
      </c>
      <c r="AB37" s="104">
        <v>2029</v>
      </c>
      <c r="AC37" s="104">
        <v>2030</v>
      </c>
      <c r="AE37" s="104" t="s">
        <v>11</v>
      </c>
      <c r="AF37" s="104">
        <v>2025</v>
      </c>
      <c r="AG37" s="104">
        <v>2026</v>
      </c>
      <c r="AH37" s="104">
        <v>2027</v>
      </c>
      <c r="AI37" s="104">
        <v>2028</v>
      </c>
      <c r="AJ37" s="104">
        <v>2029</v>
      </c>
      <c r="AK37" s="104">
        <v>2030</v>
      </c>
      <c r="AM37" s="104" t="s">
        <v>11</v>
      </c>
      <c r="AN37" s="104">
        <v>2025</v>
      </c>
      <c r="AO37" s="104">
        <v>2026</v>
      </c>
      <c r="AP37" s="104">
        <v>2027</v>
      </c>
      <c r="AQ37" s="104">
        <v>2028</v>
      </c>
      <c r="AR37" s="104">
        <v>2029</v>
      </c>
      <c r="AS37" s="104">
        <v>2030</v>
      </c>
    </row>
    <row r="38" spans="15:45" x14ac:dyDescent="0.3">
      <c r="O38" s="36" t="str">
        <f>O33</f>
        <v>Revenue</v>
      </c>
      <c r="P38" s="79">
        <f>DCF!R3</f>
        <v>12498.894427370815</v>
      </c>
      <c r="Q38" s="79">
        <f>DCF!S3</f>
        <v>13133.447827369584</v>
      </c>
      <c r="R38" s="79">
        <f>DCF!T3</f>
        <v>13800.216718089536</v>
      </c>
      <c r="S38" s="79">
        <f>DCF!U3</f>
        <v>14500.836640120962</v>
      </c>
      <c r="T38" s="79">
        <f>DCF!V3</f>
        <v>15237.026168425591</v>
      </c>
      <c r="U38" s="79">
        <f>DCF!W3</f>
        <v>16010.591127888851</v>
      </c>
      <c r="W38" s="36" t="str">
        <f>W33</f>
        <v>Revenue</v>
      </c>
      <c r="X38" s="79">
        <f>DCF!Z3</f>
        <v>6384.5301088913084</v>
      </c>
      <c r="Y38" s="79">
        <f>DCF!AA3</f>
        <v>6866.9516023146325</v>
      </c>
      <c r="Z38" s="79">
        <f>DCF!AB3</f>
        <v>7385.8253472501992</v>
      </c>
      <c r="AA38" s="79">
        <f>DCF!AC3</f>
        <v>7943.9057123536895</v>
      </c>
      <c r="AB38" s="79">
        <f>DCF!AD3</f>
        <v>8544.1551891367562</v>
      </c>
      <c r="AC38" s="79">
        <f>DCF!AE3</f>
        <v>9189.7601179386002</v>
      </c>
      <c r="AE38" s="36" t="str">
        <f>AE33</f>
        <v>Revenue</v>
      </c>
      <c r="AF38" s="79">
        <f>DCF!AH3</f>
        <v>43907.509107033839</v>
      </c>
      <c r="AG38" s="79">
        <f>DCF!AI3</f>
        <v>44871.738105955206</v>
      </c>
      <c r="AH38" s="79">
        <f>DCF!AJ3</f>
        <v>45857.142015074613</v>
      </c>
      <c r="AI38" s="79">
        <f>DCF!AK3</f>
        <v>46864.185845112945</v>
      </c>
      <c r="AJ38" s="79">
        <f>DCF!AL3</f>
        <v>47893.344818639394</v>
      </c>
      <c r="AK38" s="79">
        <f>DCF!AM3</f>
        <v>48945.104594328302</v>
      </c>
      <c r="AM38" s="36" t="str">
        <f>AM33</f>
        <v>Revenue</v>
      </c>
      <c r="AN38" s="79">
        <f>DCF!AP3</f>
        <v>20586.90853544162</v>
      </c>
      <c r="AO38" s="79">
        <f>DCF!AQ3</f>
        <v>22686.050907110533</v>
      </c>
      <c r="AP38" s="79">
        <f>DCF!AR3</f>
        <v>24999.232151539283</v>
      </c>
      <c r="AQ38" s="79">
        <f>DCF!AS3</f>
        <v>27548.276724120042</v>
      </c>
      <c r="AR38" s="79">
        <f>DCF!AT3</f>
        <v>30357.234408976263</v>
      </c>
      <c r="AS38" s="79">
        <f>DCF!AU3</f>
        <v>33452.607224416839</v>
      </c>
    </row>
    <row r="39" spans="15:45" x14ac:dyDescent="0.3">
      <c r="O39" s="36" t="str">
        <f t="shared" ref="O39:O40" si="24">O34</f>
        <v>Operating income</v>
      </c>
      <c r="P39" s="79">
        <f>DCF!R4</f>
        <v>1263.9780163793653</v>
      </c>
      <c r="Q39" s="79">
        <f>DCF!S4</f>
        <v>1328.1486158254111</v>
      </c>
      <c r="R39" s="79">
        <f>DCF!T4</f>
        <v>1395.5770771803691</v>
      </c>
      <c r="S39" s="79">
        <f>DCF!U4</f>
        <v>1466.4287980610479</v>
      </c>
      <c r="T39" s="79">
        <f>DCF!V4</f>
        <v>1540.8775731165458</v>
      </c>
      <c r="U39" s="79">
        <f>DCF!W4</f>
        <v>1619.1060203351876</v>
      </c>
      <c r="W39" s="36" t="str">
        <f t="shared" ref="W39:W40" si="25">W34</f>
        <v>Operating income</v>
      </c>
      <c r="X39" s="79">
        <f>DCF!Z4</f>
        <v>2147.7177123531796</v>
      </c>
      <c r="Y39" s="79">
        <f>DCF!AA4</f>
        <v>2310.0014150805318</v>
      </c>
      <c r="Z39" s="79">
        <f>DCF!AB4</f>
        <v>2484.5474370221</v>
      </c>
      <c r="AA39" s="79">
        <f>DCF!AC4</f>
        <v>2672.2823313066592</v>
      </c>
      <c r="AB39" s="79">
        <f>DCF!AD4</f>
        <v>2874.2026623459606</v>
      </c>
      <c r="AC39" s="79">
        <f>DCF!AE4</f>
        <v>3091.3802959574368</v>
      </c>
      <c r="AE39" s="36" t="str">
        <f t="shared" ref="AE39:AE40" si="26">AE34</f>
        <v>Operating income</v>
      </c>
      <c r="AF39" s="79">
        <f>DCF!AH4</f>
        <v>3492.4626583461609</v>
      </c>
      <c r="AG39" s="79">
        <f>DCF!AI4</f>
        <v>3569.1587370195903</v>
      </c>
      <c r="AH39" s="79">
        <f>DCF!AJ4</f>
        <v>3647.5390966887871</v>
      </c>
      <c r="AI39" s="79">
        <f>DCF!AK4</f>
        <v>3727.6407249354088</v>
      </c>
      <c r="AJ39" s="79">
        <f>DCF!AL4</f>
        <v>3809.5014216053364</v>
      </c>
      <c r="AK39" s="79">
        <f>DCF!AM4</f>
        <v>3893.1598166463709</v>
      </c>
      <c r="AM39" s="36" t="str">
        <f t="shared" ref="AM39:AM40" si="27">AM34</f>
        <v>Operating income</v>
      </c>
      <c r="AN39" s="79">
        <f>DCF!AP4</f>
        <v>5785.8652179286009</v>
      </c>
      <c r="AO39" s="79">
        <f>DCF!AQ4</f>
        <v>6375.8204710357077</v>
      </c>
      <c r="AP39" s="79">
        <f>DCF!AR4</f>
        <v>7025.9304611716307</v>
      </c>
      <c r="AQ39" s="79">
        <f>DCF!AS4</f>
        <v>7742.3288609631472</v>
      </c>
      <c r="AR39" s="79">
        <f>DCF!AT4</f>
        <v>8531.7747624428957</v>
      </c>
      <c r="AS39" s="79">
        <f>DCF!AU4</f>
        <v>9401.7164478857212</v>
      </c>
    </row>
    <row r="40" spans="15:45" x14ac:dyDescent="0.3">
      <c r="O40" s="36" t="str">
        <f t="shared" si="24"/>
        <v>Net income</v>
      </c>
      <c r="P40" s="79">
        <f>DCF!R5</f>
        <v>973.26307261211127</v>
      </c>
      <c r="Q40" s="79">
        <f>DCF!S5</f>
        <v>1022.6744341855665</v>
      </c>
      <c r="R40" s="79">
        <f>DCF!T5</f>
        <v>1074.5943494288842</v>
      </c>
      <c r="S40" s="79">
        <f>DCF!U5</f>
        <v>1129.150174507007</v>
      </c>
      <c r="T40" s="79">
        <f>DCF!V5</f>
        <v>1186.4757312997403</v>
      </c>
      <c r="U40" s="79">
        <f>DCF!W5</f>
        <v>1246.7116356580946</v>
      </c>
      <c r="W40" s="36" t="str">
        <f t="shared" si="25"/>
        <v>Net income</v>
      </c>
      <c r="X40" s="79">
        <f>DCF!Z5</f>
        <v>1653.7426385119484</v>
      </c>
      <c r="Y40" s="79">
        <f>DCF!AA5</f>
        <v>1778.7010896120096</v>
      </c>
      <c r="Z40" s="79">
        <f>DCF!AB5</f>
        <v>1913.1015265070171</v>
      </c>
      <c r="AA40" s="79">
        <f>DCF!AC5</f>
        <v>2057.6573951061278</v>
      </c>
      <c r="AB40" s="79">
        <f>DCF!AD5</f>
        <v>2213.1360500063897</v>
      </c>
      <c r="AC40" s="79">
        <f>DCF!AE5</f>
        <v>2380.3628278872266</v>
      </c>
      <c r="AE40" s="36" t="str">
        <f t="shared" si="26"/>
        <v>Net income</v>
      </c>
      <c r="AF40" s="79">
        <f>DCF!AH5</f>
        <v>2689.1962469265441</v>
      </c>
      <c r="AG40" s="79">
        <f>DCF!AI5</f>
        <v>2748.2522275050846</v>
      </c>
      <c r="AH40" s="79">
        <f>DCF!AJ5</f>
        <v>2808.6051044503661</v>
      </c>
      <c r="AI40" s="79">
        <f>DCF!AK5</f>
        <v>2870.283358200265</v>
      </c>
      <c r="AJ40" s="79">
        <f>DCF!AL5</f>
        <v>2933.316094636109</v>
      </c>
      <c r="AK40" s="79">
        <f>DCF!AM5</f>
        <v>2997.7330588177056</v>
      </c>
      <c r="AM40" s="36" t="str">
        <f t="shared" si="27"/>
        <v>Net income</v>
      </c>
      <c r="AN40" s="79">
        <f>DCF!AP5</f>
        <v>4455.1162178050226</v>
      </c>
      <c r="AO40" s="79">
        <f>DCF!AQ5</f>
        <v>4909.3817626974951</v>
      </c>
      <c r="AP40" s="79">
        <f>DCF!AR5</f>
        <v>5409.966455102156</v>
      </c>
      <c r="AQ40" s="79">
        <f>DCF!AS5</f>
        <v>5961.5932229416239</v>
      </c>
      <c r="AR40" s="79">
        <f>DCF!AT5</f>
        <v>6569.46656708103</v>
      </c>
      <c r="AS40" s="79">
        <f>DCF!AU5</f>
        <v>7239.3216648720054</v>
      </c>
    </row>
  </sheetData>
  <pageMargins left="0.7" right="0.7" top="0.75" bottom="0.75" header="0.3" footer="0.3"/>
  <tableParts count="18">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66CB0-5A88-4C25-B8A2-624DF247A549}">
  <dimension ref="A1:O27"/>
  <sheetViews>
    <sheetView topLeftCell="B4" workbookViewId="0">
      <selection activeCell="E32" sqref="E32"/>
    </sheetView>
  </sheetViews>
  <sheetFormatPr defaultRowHeight="14.4" x14ac:dyDescent="0.3"/>
  <cols>
    <col min="1" max="1" width="27" bestFit="1" customWidth="1"/>
    <col min="2" max="3" width="9.88671875" bestFit="1" customWidth="1"/>
    <col min="4" max="4" width="10" style="85" bestFit="1" customWidth="1"/>
    <col min="5" max="5" width="9" style="85" bestFit="1" customWidth="1"/>
    <col min="6" max="6" width="10" style="85" bestFit="1" customWidth="1"/>
    <col min="7" max="7" width="11" style="85" bestFit="1" customWidth="1"/>
    <col min="9" max="9" width="13.77734375" bestFit="1" customWidth="1"/>
    <col min="10" max="15" width="10.5546875" bestFit="1" customWidth="1"/>
  </cols>
  <sheetData>
    <row r="1" spans="1:15" x14ac:dyDescent="0.3">
      <c r="A1" s="17" t="s">
        <v>40</v>
      </c>
      <c r="B1" s="23"/>
      <c r="C1" s="23"/>
      <c r="D1" s="23"/>
      <c r="E1" s="23"/>
      <c r="F1" s="23"/>
      <c r="G1" s="23"/>
      <c r="H1" s="18"/>
      <c r="I1" s="18"/>
      <c r="J1" s="18"/>
      <c r="K1" s="18"/>
      <c r="L1" s="18"/>
      <c r="M1" s="18"/>
      <c r="N1" s="18"/>
      <c r="O1" s="18"/>
    </row>
    <row r="2" spans="1:15" x14ac:dyDescent="0.3">
      <c r="A2" s="72" t="s">
        <v>41</v>
      </c>
      <c r="B2" s="75" t="s">
        <v>71</v>
      </c>
      <c r="C2" s="75" t="s">
        <v>72</v>
      </c>
      <c r="D2" s="75" t="s">
        <v>124</v>
      </c>
      <c r="E2" s="75" t="s">
        <v>127</v>
      </c>
      <c r="F2" s="75" t="s">
        <v>125</v>
      </c>
      <c r="G2" s="76" t="s">
        <v>128</v>
      </c>
      <c r="H2" s="18"/>
      <c r="I2" s="56" t="s">
        <v>42</v>
      </c>
      <c r="J2" s="57" t="s">
        <v>12</v>
      </c>
      <c r="K2" s="57" t="s">
        <v>13</v>
      </c>
      <c r="L2" s="57" t="s">
        <v>14</v>
      </c>
      <c r="M2" s="57" t="s">
        <v>15</v>
      </c>
      <c r="N2" s="58" t="s">
        <v>16</v>
      </c>
      <c r="O2" s="18"/>
    </row>
    <row r="3" spans="1:15" x14ac:dyDescent="0.3">
      <c r="A3" s="86" t="s">
        <v>43</v>
      </c>
      <c r="B3" s="87">
        <f>(Table1[[#This Row],[2024]]/Table1[[#This Row],[2020]])^(1/5)-1</f>
        <v>8.821172047127801E-2</v>
      </c>
      <c r="C3" s="87">
        <f>(Table18[[#This Row],[2024]]/Table18[[#This Row],[2020]])^(1/5)-1</f>
        <v>0.12385216334446469</v>
      </c>
      <c r="D3" s="87">
        <f>(Table114[[#This Row],[2024]]/Table114[[#This Row],[2020]])^(1/5)-1</f>
        <v>5.0768762284221447E-2</v>
      </c>
      <c r="E3" s="87">
        <f>(Table1819[[#This Row],[2024]]/Table1819[[#This Row],[2020]])^(1/5)-1</f>
        <v>7.5561002171716352E-2</v>
      </c>
      <c r="F3" s="87">
        <f>(Table11435[[#This Row],[2024]]/Table11435[[#This Row],[2020]])^(1/5)-1</f>
        <v>2.1960457756117657E-2</v>
      </c>
      <c r="G3" s="87">
        <f>(Table181938[[#This Row],[2024]]/Table181938[[#This Row],[2020]])^(1/5)-1</f>
        <v>0.1019649146473407</v>
      </c>
      <c r="H3" s="18"/>
      <c r="I3" s="26" t="s">
        <v>73</v>
      </c>
      <c r="J3" s="27">
        <f>Financials!B17-Financials!B20</f>
        <v>6860.8019999999997</v>
      </c>
      <c r="K3" s="27">
        <f>Financials!C17-Financials!C20</f>
        <v>7642.1440000000011</v>
      </c>
      <c r="L3" s="27">
        <f>Financials!D17-Financials!D20</f>
        <v>10361.939999999999</v>
      </c>
      <c r="M3" s="27">
        <f>Financials!E17-Financials!E20</f>
        <v>11791</v>
      </c>
      <c r="N3" s="27">
        <f>Financials!F17-Financials!F20</f>
        <v>7498</v>
      </c>
      <c r="O3" s="18"/>
    </row>
    <row r="4" spans="1:15" x14ac:dyDescent="0.3">
      <c r="A4" s="24" t="s">
        <v>44</v>
      </c>
      <c r="B4" s="25">
        <f>AVERAGE(Financials!B6:F6)/AVERAGE(Financials!B3:F3)</f>
        <v>0.18264925854880337</v>
      </c>
      <c r="C4" s="25">
        <f>AVERAGE(Financials!I6:M6)/AVERAGE(Financials!I3:M3)</f>
        <v>0.37715590985175668</v>
      </c>
      <c r="D4" s="25">
        <f>AVERAGE(Financials!P6:T6)/AVERAGE(Financials!P3:T3)</f>
        <v>0.10112718558622527</v>
      </c>
      <c r="E4" s="25">
        <f>AVERAGE(Financials!X6:AB6)/AVERAGE(Financials!X3:AB3)</f>
        <v>0.33639401423797766</v>
      </c>
      <c r="F4" s="25">
        <f>AVERAGE(Financials!AG6:AJ6)/AVERAGE(Financials!AG3:AJ3)</f>
        <v>7.9541352478742181E-2</v>
      </c>
      <c r="G4" s="25">
        <f>AVERAGE(Financials!AN6:AR6)/AVERAGE(Financials!AN3:AR3)</f>
        <v>0.28104585047181224</v>
      </c>
      <c r="H4" s="18"/>
      <c r="I4" s="28" t="s">
        <v>74</v>
      </c>
      <c r="J4" s="29">
        <f>Financials!I17-Financials!I20</f>
        <v>5886</v>
      </c>
      <c r="K4" s="29">
        <f>Financials!J17-Financials!J20</f>
        <v>8938</v>
      </c>
      <c r="L4" s="29">
        <f>Financials!K17-Financials!K20</f>
        <v>9268</v>
      </c>
      <c r="M4" s="29">
        <f>Financials!L17-Financials!L20</f>
        <v>8250</v>
      </c>
      <c r="N4" s="29">
        <f>Financials!M17-Financials!M20</f>
        <v>7800</v>
      </c>
      <c r="O4" s="18"/>
    </row>
    <row r="5" spans="1:15" x14ac:dyDescent="0.3">
      <c r="A5" s="24" t="s">
        <v>45</v>
      </c>
      <c r="B5" s="25">
        <f>AVERAGE(Financials!B7:F7)/AVERAGE(Financials!B3:F3)</f>
        <v>3.2012060783622551E-2</v>
      </c>
      <c r="C5" s="25">
        <f>AVERAGE(Financials!I7:M7)/AVERAGE(Financials!I3:M3)</f>
        <v>9.1128517658809069E-2</v>
      </c>
      <c r="D5" s="25">
        <f>AVERAGE(Financials!P7:T7)/AVERAGE(Financials!P3:T3)</f>
        <v>5.6945060797017839E-2</v>
      </c>
      <c r="E5" s="25">
        <f>AVERAGE(Financials!X7:AB7)/AVERAGE(Financials!X3:AB3)</f>
        <v>0.1285485979950603</v>
      </c>
      <c r="F5" s="25">
        <f>AVERAGE(Financials!AF7:AJ7)/AVERAGE(Financials!AF3:AJ3)</f>
        <v>7.3908184102387418E-3</v>
      </c>
      <c r="G5" s="25">
        <f>AVERAGE(Financials!AN7:AR7)/AVERAGE(Financials!AN3:AR3)</f>
        <v>0.17378417614323735</v>
      </c>
      <c r="H5" s="18"/>
      <c r="I5" s="18"/>
      <c r="J5" s="18"/>
      <c r="K5" s="18"/>
      <c r="L5" s="18"/>
      <c r="M5" s="18"/>
      <c r="N5" s="18"/>
      <c r="O5" s="18"/>
    </row>
    <row r="6" spans="1:15" x14ac:dyDescent="0.3">
      <c r="A6" s="24" t="s">
        <v>46</v>
      </c>
      <c r="B6" s="25">
        <f>AVERAGE(Financials!B27:F27)/AVERAGE(Financials!B3:F3)</f>
        <v>6.4187823332228749E-2</v>
      </c>
      <c r="C6" s="25">
        <f>AVERAGE(Financials!I27:M27)/AVERAGE(Financials!I3:M3)</f>
        <v>0.15885067463216596</v>
      </c>
      <c r="D6" s="25">
        <f>AVERAGE(Financials!P27:T27)/AVERAGE(Financials!P3:T3)</f>
        <v>4.1430726901570958E-2</v>
      </c>
      <c r="E6" s="25">
        <f>AVERAGE(Financials!X27:AB27)/AVERAGE(Financials!X3:AB3)</f>
        <v>6.6627923870405351E-2</v>
      </c>
      <c r="F6" s="25">
        <f>AVERAGE(Financials!AF27:AJ27)/AVERAGE(Financials!AF3:AJ3)</f>
        <v>4.1479340162522374E-2</v>
      </c>
      <c r="G6" s="25">
        <f>AVERAGE(Financials!AN27:AR27)/AVERAGE(Financials!AN3:AR3)</f>
        <v>0.16867287684490687</v>
      </c>
      <c r="H6" s="18"/>
      <c r="I6" s="56" t="s">
        <v>47</v>
      </c>
      <c r="J6" s="57" t="s">
        <v>48</v>
      </c>
      <c r="K6" s="57" t="s">
        <v>49</v>
      </c>
      <c r="L6" s="57" t="s">
        <v>50</v>
      </c>
      <c r="M6" s="57" t="s">
        <v>51</v>
      </c>
      <c r="N6" s="57" t="s">
        <v>52</v>
      </c>
      <c r="O6" s="58" t="s">
        <v>53</v>
      </c>
    </row>
    <row r="7" spans="1:15" x14ac:dyDescent="0.3">
      <c r="A7" s="24" t="s">
        <v>54</v>
      </c>
      <c r="B7" s="25">
        <f>AVERAGE(J3:N3)/AVERAGE(Financials!B3:F3)</f>
        <v>0.26991557074899425</v>
      </c>
      <c r="C7" s="25">
        <f>AVERAGE(J4:N4)/AVERAGE(Financials!I3:M3)</f>
        <v>0.37122802474730193</v>
      </c>
      <c r="D7" s="25">
        <f>AVERAGE(J11:N11)/AVERAGE(Financials!P3:T3)</f>
        <v>0.15446880269814503</v>
      </c>
      <c r="E7" s="25">
        <f>AVERAGE(J12:N12)/AVERAGE(Financials!X3:AB3)</f>
        <v>0.2397791660613105</v>
      </c>
      <c r="F7" s="25">
        <f>AVERAGE(J19:N19)/AVERAGE(Financials!AF3:AJ3)</f>
        <v>0.16261901360515635</v>
      </c>
      <c r="G7" s="25">
        <f>AVERAGE(J20:N20)/AVERAGE(Financials!AN3:AR3)</f>
        <v>0.30264033389789496</v>
      </c>
      <c r="H7" s="18"/>
      <c r="I7" s="26" t="str">
        <f>I3</f>
        <v>WC-Nucor</v>
      </c>
      <c r="J7" s="27">
        <f>DCF!B3*'Assumptions &amp; WACC'!$B$7</f>
        <v>9027.352989920535</v>
      </c>
      <c r="K7" s="27">
        <f>DCF!C3*'Assumptions &amp; WACC'!$B$7</f>
        <v>9823.6713284629623</v>
      </c>
      <c r="L7" s="27">
        <f>DCF!D3*'Assumptions &amp; WACC'!$B$7</f>
        <v>10690.234277691045</v>
      </c>
      <c r="M7" s="27">
        <f>DCF!E3*'Assumptions &amp; WACC'!$B$7</f>
        <v>11633.2382355672</v>
      </c>
      <c r="N7" s="27">
        <f>DCF!F3*'Assumptions &amp; WACC'!$B$7</f>
        <v>12659.426194978838</v>
      </c>
      <c r="O7" s="27">
        <f>DCF!G3*'Assumptions &amp; WACC'!$B$7</f>
        <v>13776.135959817087</v>
      </c>
    </row>
    <row r="8" spans="1:15" x14ac:dyDescent="0.3">
      <c r="A8" s="24" t="s">
        <v>55</v>
      </c>
      <c r="B8" s="30">
        <v>6</v>
      </c>
      <c r="C8" s="30">
        <v>6</v>
      </c>
      <c r="D8" s="30">
        <v>6</v>
      </c>
      <c r="E8" s="30">
        <v>6</v>
      </c>
      <c r="F8" s="30">
        <v>6</v>
      </c>
      <c r="G8" s="30">
        <v>6</v>
      </c>
      <c r="H8" s="18"/>
      <c r="I8" s="28" t="str">
        <f>I4</f>
        <v>WC-Freeport</v>
      </c>
      <c r="J8" s="29">
        <f>DCF!J3*'Assumptions &amp; WACC'!$C$7</f>
        <v>10619.963933170082</v>
      </c>
      <c r="K8" s="29">
        <f>DCF!K3*'Assumptions &amp; WACC'!$C$7</f>
        <v>11935.269440933387</v>
      </c>
      <c r="L8" s="29">
        <f>DCF!L3*'Assumptions &amp; WACC'!$C$7</f>
        <v>13413.478381292067</v>
      </c>
      <c r="M8" s="29">
        <f>DCF!M3*'Assumptions &amp; WACC'!$C$7</f>
        <v>15074.766696789296</v>
      </c>
      <c r="N8" s="29">
        <f>DCF!N3*'Assumptions &amp; WACC'!$C$7</f>
        <v>16941.809164099741</v>
      </c>
      <c r="O8" s="29">
        <f>DCF!O3*'Assumptions &amp; WACC'!$C$7</f>
        <v>19040.088880042571</v>
      </c>
    </row>
    <row r="9" spans="1:15" x14ac:dyDescent="0.3">
      <c r="A9" s="24" t="s">
        <v>56</v>
      </c>
      <c r="B9" s="25">
        <f ca="1">$I$27</f>
        <v>4.1386000000000006E-2</v>
      </c>
      <c r="C9" s="25">
        <f t="shared" ref="C9:G9" ca="1" si="0">$I$27</f>
        <v>4.1386000000000006E-2</v>
      </c>
      <c r="D9" s="25">
        <f t="shared" ca="1" si="0"/>
        <v>4.1386000000000006E-2</v>
      </c>
      <c r="E9" s="25">
        <f t="shared" ca="1" si="0"/>
        <v>4.1386000000000006E-2</v>
      </c>
      <c r="F9" s="25">
        <f t="shared" ca="1" si="0"/>
        <v>4.1386000000000006E-2</v>
      </c>
      <c r="G9" s="25">
        <f t="shared" ca="1" si="0"/>
        <v>4.1386000000000006E-2</v>
      </c>
      <c r="H9" s="18"/>
      <c r="I9" s="18"/>
      <c r="J9" s="18"/>
      <c r="K9" s="18"/>
      <c r="L9" s="18"/>
      <c r="M9" s="18"/>
      <c r="N9" s="18"/>
      <c r="O9" s="18"/>
    </row>
    <row r="10" spans="1:15" x14ac:dyDescent="0.3">
      <c r="A10" s="24" t="s">
        <v>57</v>
      </c>
      <c r="B10" s="25">
        <v>4.8000000000000001E-2</v>
      </c>
      <c r="C10" s="25">
        <v>4.8000000000000001E-2</v>
      </c>
      <c r="D10" s="25">
        <v>4.8000000000000001E-2</v>
      </c>
      <c r="E10" s="25">
        <v>4.8000000000000001E-2</v>
      </c>
      <c r="F10" s="25">
        <v>4.8000000000000001E-2</v>
      </c>
      <c r="G10" s="25">
        <v>4.8000000000000001E-2</v>
      </c>
      <c r="H10" s="18"/>
      <c r="I10" s="56" t="s">
        <v>42</v>
      </c>
      <c r="J10" s="57" t="s">
        <v>12</v>
      </c>
      <c r="K10" s="57" t="s">
        <v>13</v>
      </c>
      <c r="L10" s="57" t="s">
        <v>14</v>
      </c>
      <c r="M10" s="57" t="s">
        <v>15</v>
      </c>
      <c r="N10" s="58" t="s">
        <v>16</v>
      </c>
      <c r="O10" s="18"/>
    </row>
    <row r="11" spans="1:15" x14ac:dyDescent="0.3">
      <c r="A11" s="24" t="s">
        <v>7</v>
      </c>
      <c r="B11" s="31">
        <f ca="1">'Company Profile'!B9</f>
        <v>1.8567</v>
      </c>
      <c r="C11" s="31">
        <f ca="1">'Company Profile'!C9</f>
        <v>1.4877</v>
      </c>
      <c r="D11" s="31">
        <f ca="1">'Company Profile'!D9</f>
        <v>1.9931000000000001</v>
      </c>
      <c r="E11" s="31">
        <f ca="1">'Company Profile'!E9</f>
        <v>0.99099999999999999</v>
      </c>
      <c r="F11" s="31">
        <f ca="1">'Company Profile'!F9</f>
        <v>0.79979999999999996</v>
      </c>
      <c r="G11" s="31">
        <f ca="1">'Company Profile'!G9</f>
        <v>0.41749999999999998</v>
      </c>
      <c r="H11" s="18"/>
      <c r="I11" s="26" t="s">
        <v>129</v>
      </c>
      <c r="J11" s="27">
        <f>Financials!P17-Financials!P20</f>
        <v>1759</v>
      </c>
      <c r="K11" s="27">
        <f>Financials!Q17-Financials!Q20</f>
        <v>1803</v>
      </c>
      <c r="L11" s="27">
        <f>Financials!R17-Financials!R20</f>
        <v>2246</v>
      </c>
      <c r="M11" s="27">
        <f>Financials!S17-Financials!S20</f>
        <v>1375</v>
      </c>
      <c r="N11" s="27">
        <f>Financials!T17-Financials!T20</f>
        <v>1519</v>
      </c>
      <c r="O11" s="18"/>
    </row>
    <row r="12" spans="1:15" x14ac:dyDescent="0.3">
      <c r="A12" s="54" t="s">
        <v>58</v>
      </c>
      <c r="B12" s="59">
        <f ca="1">B9+(B10*B11)</f>
        <v>0.1305076</v>
      </c>
      <c r="C12" s="59">
        <f ca="1">C9+(C10*C11)</f>
        <v>0.11279560000000001</v>
      </c>
      <c r="D12" s="59">
        <f t="shared" ref="D12:G12" ca="1" si="1">D9+(D10*D11)</f>
        <v>0.13705480000000003</v>
      </c>
      <c r="E12" s="59">
        <f t="shared" ca="1" si="1"/>
        <v>8.8954000000000005E-2</v>
      </c>
      <c r="F12" s="59">
        <f t="shared" ca="1" si="1"/>
        <v>7.9776399999999997E-2</v>
      </c>
      <c r="G12" s="59">
        <f t="shared" ca="1" si="1"/>
        <v>6.1426000000000008E-2</v>
      </c>
      <c r="H12" s="18"/>
      <c r="I12" s="28" t="s">
        <v>130</v>
      </c>
      <c r="J12" s="29">
        <f>Financials!X17-Financials!X20</f>
        <v>461</v>
      </c>
      <c r="K12" s="29">
        <f>Financials!Y17-Financials!Y20</f>
        <v>1161</v>
      </c>
      <c r="L12" s="29">
        <f>Financials!Z17-Financials!Z20</f>
        <v>2678</v>
      </c>
      <c r="M12" s="29">
        <f>Financials!AA17-Financials!AA20</f>
        <v>2250</v>
      </c>
      <c r="N12" s="29">
        <f>Financials!AB17-Financials!AB20</f>
        <v>1702</v>
      </c>
      <c r="O12" s="18"/>
    </row>
    <row r="13" spans="1:15" x14ac:dyDescent="0.3">
      <c r="A13" s="24" t="s">
        <v>59</v>
      </c>
      <c r="B13" s="25">
        <f>AVERAGE(Financials!B8:F8)/AVERAGE(Financials!B21:F21)</f>
        <v>1.8235098761850154E-2</v>
      </c>
      <c r="C13" s="25">
        <f>AVERAGE(Financials!I8:M8)/AVERAGE(Financials!I21:M21)</f>
        <v>5.3872193723910188E-2</v>
      </c>
      <c r="D13" s="25">
        <f>AVERAGE(Financials!P8:T8)/AVERAGE(Financials!P21:T21)</f>
        <v>6.856591018831483E-2</v>
      </c>
      <c r="E13" s="25">
        <f>AVERAGE(Financials!X8:AB8)/AVERAGE(Financials!X21:AB21)</f>
        <v>5.988977342314758E-2</v>
      </c>
      <c r="F13" s="25">
        <f>AVERAGE(Financials!AF8:AJ8)/AVERAGE(Financials!AF21:AJ21)</f>
        <v>4.8576279033876069E-2</v>
      </c>
      <c r="G13" s="25">
        <f>AVERAGE(Financials!AN8:AR8)/AVERAGE(Financials!AN21:AR21)</f>
        <v>4.1238007166801524E-2</v>
      </c>
      <c r="H13" s="18"/>
      <c r="I13" s="18"/>
      <c r="J13" s="18"/>
      <c r="K13" s="18"/>
      <c r="L13" s="18"/>
      <c r="M13" s="18"/>
      <c r="N13" s="18"/>
      <c r="O13" s="18"/>
    </row>
    <row r="14" spans="1:15" x14ac:dyDescent="0.3">
      <c r="A14" s="24" t="s">
        <v>60</v>
      </c>
      <c r="B14" s="25">
        <v>0.23</v>
      </c>
      <c r="C14" s="25">
        <v>0.23</v>
      </c>
      <c r="D14" s="25">
        <v>0.23</v>
      </c>
      <c r="E14" s="25">
        <v>0.23</v>
      </c>
      <c r="F14" s="25">
        <v>0.23</v>
      </c>
      <c r="G14" s="25">
        <v>0.23</v>
      </c>
      <c r="H14" s="18"/>
      <c r="I14" s="56" t="s">
        <v>47</v>
      </c>
      <c r="J14" s="57" t="s">
        <v>48</v>
      </c>
      <c r="K14" s="57" t="s">
        <v>49</v>
      </c>
      <c r="L14" s="57" t="s">
        <v>50</v>
      </c>
      <c r="M14" s="57" t="s">
        <v>51</v>
      </c>
      <c r="N14" s="57" t="s">
        <v>52</v>
      </c>
      <c r="O14" s="58" t="s">
        <v>53</v>
      </c>
    </row>
    <row r="15" spans="1:15" x14ac:dyDescent="0.3">
      <c r="A15" s="54" t="s">
        <v>61</v>
      </c>
      <c r="B15" s="59">
        <f>B13*(1-B14)</f>
        <v>1.4041026046624619E-2</v>
      </c>
      <c r="C15" s="59">
        <f>C13*(1-C14)</f>
        <v>4.1481589167410848E-2</v>
      </c>
      <c r="D15" s="59">
        <f t="shared" ref="D15:G15" si="2">D13*(1-D14)</f>
        <v>5.2795750845002418E-2</v>
      </c>
      <c r="E15" s="59">
        <f t="shared" si="2"/>
        <v>4.6115125535823635E-2</v>
      </c>
      <c r="F15" s="59">
        <f t="shared" si="2"/>
        <v>3.7403734856084572E-2</v>
      </c>
      <c r="G15" s="59">
        <f t="shared" si="2"/>
        <v>3.1753265518437171E-2</v>
      </c>
      <c r="H15" s="18"/>
      <c r="I15" s="26" t="str">
        <f>I11</f>
        <v>WC-Alcoa</v>
      </c>
      <c r="J15" s="27">
        <f>DCF!R3*'Assumptions &amp; WACC'!$D$7</f>
        <v>1930.6892572464867</v>
      </c>
      <c r="K15" s="27">
        <f>DCF!S3*'Assumptions &amp; WACC'!$D$7</f>
        <v>2028.7079611923339</v>
      </c>
      <c r="L15" s="27">
        <f>DCF!T3*'Assumptions &amp; WACC'!$D$7</f>
        <v>2131.7029534182152</v>
      </c>
      <c r="M15" s="27">
        <f>DCF!U3*'Assumptions &amp; WACC'!$D$7</f>
        <v>2239.9268739208774</v>
      </c>
      <c r="N15" s="27">
        <f>DCF!V3*'Assumptions &amp; WACC'!$D$7</f>
        <v>2353.6451889170053</v>
      </c>
      <c r="O15" s="27">
        <f>DCF!W3*'Assumptions &amp; WACC'!$D$7</f>
        <v>2473.1368420145341</v>
      </c>
    </row>
    <row r="16" spans="1:15" x14ac:dyDescent="0.3">
      <c r="A16" s="24" t="s">
        <v>33</v>
      </c>
      <c r="B16" s="32">
        <f>Financials!F21</f>
        <v>5908</v>
      </c>
      <c r="C16" s="32">
        <f>Financials!M21</f>
        <v>8948</v>
      </c>
      <c r="D16" s="88">
        <f>Financials!T21</f>
        <v>2545</v>
      </c>
      <c r="E16" s="88">
        <f>Financials!AB21</f>
        <v>2971</v>
      </c>
      <c r="F16" s="88">
        <f>Financials!AJ21</f>
        <v>16208</v>
      </c>
      <c r="G16" s="88">
        <f>Financials!AR21</f>
        <v>8476</v>
      </c>
      <c r="H16" s="18"/>
      <c r="I16" s="28" t="str">
        <f>I12</f>
        <v>WC-RFIL</v>
      </c>
      <c r="J16" s="29">
        <f>DCF!Z3*'Assumptions &amp; WACC'!$E$7</f>
        <v>1530.8773052032859</v>
      </c>
      <c r="K16" s="29">
        <f>DCF!AA3*'Assumptions &amp; WACC'!$E$7</f>
        <v>1646.5519285863825</v>
      </c>
      <c r="L16" s="29">
        <f>DCF!AB3*'Assumptions &amp; WACC'!$E$7</f>
        <v>1770.9670424381418</v>
      </c>
      <c r="M16" s="29">
        <f>DCF!AC3*'Assumptions &amp; WACC'!$E$7</f>
        <v>1904.7830869778484</v>
      </c>
      <c r="N16" s="29">
        <f>DCF!AD3*'Assumptions &amp; WACC'!$E$7</f>
        <v>2048.7104059496301</v>
      </c>
      <c r="O16" s="29">
        <f>DCF!AE3*'Assumptions &amp; WACC'!$E$7</f>
        <v>2203.5130173828079</v>
      </c>
    </row>
    <row r="17" spans="1:15" x14ac:dyDescent="0.3">
      <c r="A17" s="24" t="s">
        <v>6</v>
      </c>
      <c r="B17" s="32">
        <f ca="1">'Company Profile'!B8</f>
        <v>34003.825645999998</v>
      </c>
      <c r="C17" s="32">
        <f ca="1">'Company Profile'!C8</f>
        <v>59217.794439999998</v>
      </c>
      <c r="D17" s="32">
        <f ca="1">'Company Profile'!D8</f>
        <v>9509.1580799999992</v>
      </c>
      <c r="E17" s="32">
        <f ca="1">'Company Profile'!E8</f>
        <v>64.964770000000001</v>
      </c>
      <c r="F17" s="32">
        <f ca="1">'Company Profile'!F8</f>
        <v>15150.007131</v>
      </c>
      <c r="G17" s="32">
        <f ca="1">'Company Profile'!G8</f>
        <v>95398.211460000006</v>
      </c>
      <c r="H17" s="18"/>
      <c r="I17" s="18"/>
      <c r="J17" s="18"/>
      <c r="K17" s="18"/>
      <c r="L17" s="18"/>
      <c r="M17" s="18"/>
      <c r="N17" s="18"/>
      <c r="O17" s="18"/>
    </row>
    <row r="18" spans="1:15" x14ac:dyDescent="0.3">
      <c r="A18" s="54" t="s">
        <v>62</v>
      </c>
      <c r="B18" s="55">
        <f ca="1">B16+B17</f>
        <v>39911.825645999998</v>
      </c>
      <c r="C18" s="55">
        <f ca="1">C16+C17</f>
        <v>68165.794439999998</v>
      </c>
      <c r="D18" s="55">
        <f t="shared" ref="D18:G18" ca="1" si="3">D16+D17</f>
        <v>12054.158079999999</v>
      </c>
      <c r="E18" s="55">
        <f t="shared" ca="1" si="3"/>
        <v>3035.96477</v>
      </c>
      <c r="F18" s="55">
        <f t="shared" ca="1" si="3"/>
        <v>31358.007130999998</v>
      </c>
      <c r="G18" s="55">
        <f t="shared" ca="1" si="3"/>
        <v>103874.21146000001</v>
      </c>
      <c r="H18" s="18"/>
      <c r="I18" s="56" t="s">
        <v>42</v>
      </c>
      <c r="J18" s="57" t="s">
        <v>12</v>
      </c>
      <c r="K18" s="57" t="s">
        <v>13</v>
      </c>
      <c r="L18" s="57" t="s">
        <v>14</v>
      </c>
      <c r="M18" s="57" t="s">
        <v>15</v>
      </c>
      <c r="N18" s="58" t="s">
        <v>16</v>
      </c>
      <c r="O18" s="18"/>
    </row>
    <row r="19" spans="1:15" x14ac:dyDescent="0.3">
      <c r="A19" s="24" t="s">
        <v>63</v>
      </c>
      <c r="B19" s="25">
        <f ca="1">B16/B18</f>
        <v>0.148026303091252</v>
      </c>
      <c r="C19" s="25">
        <f ca="1">C16/C18</f>
        <v>0.13126818330968168</v>
      </c>
      <c r="D19" s="25">
        <f t="shared" ref="D19:G19" ca="1" si="4">D16/D18</f>
        <v>0.21113046494907092</v>
      </c>
      <c r="E19" s="25">
        <f t="shared" ca="1" si="4"/>
        <v>0.97860160610493507</v>
      </c>
      <c r="F19" s="25">
        <f t="shared" ca="1" si="4"/>
        <v>0.51686958078330958</v>
      </c>
      <c r="G19" s="25">
        <f t="shared" ca="1" si="4"/>
        <v>8.1598694044131906E-2</v>
      </c>
      <c r="H19" s="18"/>
      <c r="I19" s="26" t="s">
        <v>131</v>
      </c>
      <c r="J19" s="27">
        <f>Financials!AF17-Financials!AF20</f>
        <v>7976</v>
      </c>
      <c r="K19" s="27">
        <f>Financials!AG17-Financials!AG20</f>
        <v>7622</v>
      </c>
      <c r="L19" s="27">
        <f>Financials!AH17-Financials!AH20</f>
        <v>9146</v>
      </c>
      <c r="M19" s="27">
        <f>Financials!AI17-Financials!AI20</f>
        <v>7657</v>
      </c>
      <c r="N19" s="27">
        <f>Financials!AJ17-Financials!AJ20</f>
        <v>6302</v>
      </c>
      <c r="O19" s="18"/>
    </row>
    <row r="20" spans="1:15" x14ac:dyDescent="0.3">
      <c r="A20" s="24" t="s">
        <v>64</v>
      </c>
      <c r="B20" s="25">
        <f ca="1">B17/B18</f>
        <v>0.85197369690874802</v>
      </c>
      <c r="C20" s="25">
        <f ca="1">C17/C18</f>
        <v>0.86873181669031829</v>
      </c>
      <c r="D20" s="25">
        <f t="shared" ref="D20:G20" ca="1" si="5">D17/D18</f>
        <v>0.78886953505092905</v>
      </c>
      <c r="E20" s="25">
        <f t="shared" ca="1" si="5"/>
        <v>2.1398393895064864E-2</v>
      </c>
      <c r="F20" s="25">
        <f t="shared" ca="1" si="5"/>
        <v>0.48313041921669053</v>
      </c>
      <c r="G20" s="25">
        <f t="shared" ca="1" si="5"/>
        <v>0.91840130595586811</v>
      </c>
      <c r="H20" s="18"/>
      <c r="I20" s="28" t="s">
        <v>132</v>
      </c>
      <c r="J20" s="29">
        <f>Financials!AN17-Table292039[[#This Row],[2020]]</f>
        <v>5136</v>
      </c>
      <c r="K20" s="29">
        <f>Financials!AO17-Table292039[[#This Row],[2021]]</f>
        <v>5042</v>
      </c>
      <c r="L20" s="29">
        <f>Financials!AP17-Table292039[[#This Row],[2022]]</f>
        <v>3589</v>
      </c>
      <c r="M20" s="29">
        <f>Financials!AQ17-Table292039[[#This Row],[2023]]</f>
        <v>1514</v>
      </c>
      <c r="N20" s="29">
        <f>Financials!AR17-Table292039[[#This Row],[2024]]</f>
        <v>4732</v>
      </c>
      <c r="O20" s="18"/>
    </row>
    <row r="21" spans="1:15" x14ac:dyDescent="0.3">
      <c r="A21" s="54" t="s">
        <v>65</v>
      </c>
      <c r="B21" s="59">
        <f ca="1">(B12*B20)+(B15*B19)</f>
        <v>0.11326748362397794</v>
      </c>
      <c r="C21" s="59">
        <f ca="1">(C12*C20)+(C15*C19)</f>
        <v>0.10343433935347908</v>
      </c>
      <c r="D21" s="59">
        <f t="shared" ref="D21:G21" ca="1" si="6">(D12*D20)+(D15*D19)</f>
        <v>0.11926514777573877</v>
      </c>
      <c r="E21" s="59">
        <f t="shared" ca="1" si="6"/>
        <v>4.7031808645629315E-2</v>
      </c>
      <c r="F21" s="59">
        <f t="shared" ca="1" si="6"/>
        <v>5.7875258330392892E-2</v>
      </c>
      <c r="G21" s="59">
        <f t="shared" ca="1" si="6"/>
        <v>5.9004743617586203E-2</v>
      </c>
      <c r="H21" s="18"/>
      <c r="I21" s="18"/>
      <c r="J21" s="18"/>
      <c r="K21" s="18"/>
      <c r="L21" s="18"/>
      <c r="M21" s="18"/>
      <c r="N21" s="18"/>
      <c r="O21" s="18"/>
    </row>
    <row r="22" spans="1:15" x14ac:dyDescent="0.3">
      <c r="A22" s="24" t="s">
        <v>66</v>
      </c>
      <c r="B22" s="30">
        <v>2030</v>
      </c>
      <c r="C22" s="30">
        <v>2030</v>
      </c>
      <c r="D22" s="30">
        <v>2030</v>
      </c>
      <c r="E22" s="30">
        <v>2030</v>
      </c>
      <c r="F22" s="30">
        <v>2030</v>
      </c>
      <c r="G22" s="30">
        <v>2030</v>
      </c>
      <c r="H22" s="18"/>
      <c r="I22" s="56" t="s">
        <v>47</v>
      </c>
      <c r="J22" s="57" t="s">
        <v>48</v>
      </c>
      <c r="K22" s="57" t="s">
        <v>49</v>
      </c>
      <c r="L22" s="57" t="s">
        <v>50</v>
      </c>
      <c r="M22" s="57" t="s">
        <v>51</v>
      </c>
      <c r="N22" s="57" t="s">
        <v>52</v>
      </c>
      <c r="O22" s="58" t="s">
        <v>53</v>
      </c>
    </row>
    <row r="23" spans="1:15" x14ac:dyDescent="0.3">
      <c r="A23" s="24" t="s">
        <v>67</v>
      </c>
      <c r="B23" s="25">
        <f ca="1">1/(1+B21)^6</f>
        <v>0.52529450027842239</v>
      </c>
      <c r="C23" s="25">
        <f ca="1">1/(1+C21)^6</f>
        <v>0.55401436850836538</v>
      </c>
      <c r="D23" s="25">
        <f t="shared" ref="D23:G23" ca="1" si="7">1/(1+D21)^6</f>
        <v>0.50863016826682184</v>
      </c>
      <c r="E23" s="25">
        <f t="shared" ca="1" si="7"/>
        <v>0.75899820005097596</v>
      </c>
      <c r="F23" s="25">
        <f t="shared" ca="1" si="7"/>
        <v>0.7134987890715444</v>
      </c>
      <c r="G23" s="25">
        <f t="shared" ca="1" si="7"/>
        <v>0.70894503816339272</v>
      </c>
      <c r="H23" s="18"/>
      <c r="I23" s="26" t="str">
        <f>I19</f>
        <v>WC-Dow</v>
      </c>
      <c r="J23" s="27">
        <f>DCF!AH3*'Assumptions &amp; WACC'!$F$7</f>
        <v>7140.1958208452625</v>
      </c>
      <c r="K23" s="27">
        <f>DCF!AI3*'Assumptions &amp; WACC'!$F$7</f>
        <v>7296.9977895393422</v>
      </c>
      <c r="L23" s="27">
        <f>DCF!AJ3*'Assumptions &amp; WACC'!$F$7</f>
        <v>7457.2432012430054</v>
      </c>
      <c r="M23" s="27">
        <f>DCF!AK3*'Assumptions &amp; WACC'!$F$7</f>
        <v>7621.0076755409973</v>
      </c>
      <c r="N23" s="27">
        <f>DCF!AL3*'Assumptions &amp; WACC'!$F$7</f>
        <v>7788.3684926587639</v>
      </c>
      <c r="O23" s="27">
        <f>DCF!AM3*'Assumptions &amp; WACC'!$F$7</f>
        <v>7959.4046299308748</v>
      </c>
    </row>
    <row r="24" spans="1:15" x14ac:dyDescent="0.3">
      <c r="A24" s="24" t="s">
        <v>68</v>
      </c>
      <c r="B24" s="32">
        <f>Financials!F14</f>
        <v>3558</v>
      </c>
      <c r="C24" s="32">
        <f>Financials!M14</f>
        <v>3923</v>
      </c>
      <c r="D24" s="88">
        <f>Financials!T14</f>
        <v>1138</v>
      </c>
      <c r="E24" s="88">
        <f>Financials!AB14</f>
        <v>1614</v>
      </c>
      <c r="F24" s="88">
        <f>Financials!AJ14</f>
        <v>2189</v>
      </c>
      <c r="G24" s="88">
        <f>Financials!AR14</f>
        <v>3619</v>
      </c>
      <c r="H24" s="18"/>
      <c r="I24" s="28" t="str">
        <f>I20</f>
        <v>WC-Newmount</v>
      </c>
      <c r="J24" s="29">
        <f>DCF!AP3*'Assumptions &amp; WACC'!$G$7</f>
        <v>6230.4288730914759</v>
      </c>
      <c r="K24" s="29">
        <f>DCF!AQ3*'Assumptions &amp; WACC'!$G$7</f>
        <v>6865.7140213525745</v>
      </c>
      <c r="L24" s="29">
        <f>DCF!AR3*'Assumptions &amp; WACC'!$G$7</f>
        <v>7565.77596553284</v>
      </c>
      <c r="M24" s="29">
        <f>DCF!AS3*'Assumptions &amp; WACC'!$G$7</f>
        <v>8337.2196660992977</v>
      </c>
      <c r="N24" s="29">
        <f>DCF!AT3*'Assumptions &amp; WACC'!$G$7</f>
        <v>9187.3235577492414</v>
      </c>
      <c r="O24" s="29">
        <f>DCF!AU3*'Assumptions &amp; WACC'!$G$7</f>
        <v>10124.108220152646</v>
      </c>
    </row>
    <row r="25" spans="1:15" x14ac:dyDescent="0.3">
      <c r="A25" s="24" t="s">
        <v>69</v>
      </c>
      <c r="B25" s="25">
        <v>0.02</v>
      </c>
      <c r="C25" s="25">
        <v>0.02</v>
      </c>
      <c r="D25" s="25">
        <v>2.2499999999999999E-2</v>
      </c>
      <c r="E25" s="25">
        <v>2E-3</v>
      </c>
      <c r="F25" s="25">
        <v>0.02</v>
      </c>
      <c r="G25" s="25">
        <v>0.03</v>
      </c>
      <c r="H25" s="18"/>
      <c r="I25" s="18"/>
      <c r="J25" s="18"/>
      <c r="K25" s="18"/>
      <c r="L25" s="18"/>
      <c r="M25" s="18"/>
      <c r="N25" s="18"/>
      <c r="O25" s="18"/>
    </row>
    <row r="26" spans="1:15" x14ac:dyDescent="0.3">
      <c r="A26" s="24" t="s">
        <v>70</v>
      </c>
      <c r="B26" s="32">
        <v>238</v>
      </c>
      <c r="C26" s="32">
        <v>1445</v>
      </c>
      <c r="D26" s="88">
        <f ca="1">'Company Profile'!D6</f>
        <v>258.964</v>
      </c>
      <c r="E26" s="88">
        <f ca="1">'Company Profile'!E6</f>
        <v>10.667450000000001</v>
      </c>
      <c r="F26" s="88">
        <f ca="1">'Company Profile'!F6</f>
        <v>710.76739999999995</v>
      </c>
      <c r="G26" s="88">
        <f ca="1">'Company Profile'!G6</f>
        <v>1091.2629999999999</v>
      </c>
      <c r="H26" s="18"/>
      <c r="I26" s="18" t="e" vm="7">
        <v>#VALUE!</v>
      </c>
      <c r="J26" s="18"/>
      <c r="K26" s="18"/>
      <c r="L26" s="18"/>
      <c r="M26" s="18"/>
      <c r="N26" s="18"/>
      <c r="O26" s="18"/>
    </row>
    <row r="27" spans="1:15" x14ac:dyDescent="0.3">
      <c r="I27" s="108" cm="1">
        <f t="array" aca="1" ref="I27" ca="1">(_FV(I26,"Price",TRUE))/100</f>
        <v>4.1386000000000006E-2</v>
      </c>
    </row>
  </sheetData>
  <pageMargins left="0.7" right="0.7" top="0.75" bottom="0.75" header="0.3" footer="0.3"/>
  <tableParts count="6">
    <tablePart r:id="rId1"/>
    <tablePart r:id="rId2"/>
    <tablePart r:id="rId3"/>
    <tablePart r:id="rId4"/>
    <tablePart r:id="rId5"/>
    <tablePart r:id="rId6"/>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A1EF7-3371-4383-B241-9F7C7889E075}">
  <dimension ref="A1:AU22"/>
  <sheetViews>
    <sheetView tabSelected="1" topLeftCell="AL1" workbookViewId="0">
      <selection activeCell="Z16" sqref="Z16"/>
    </sheetView>
  </sheetViews>
  <sheetFormatPr defaultRowHeight="14.4" x14ac:dyDescent="0.3"/>
  <cols>
    <col min="1" max="1" width="22.77734375" bestFit="1" customWidth="1"/>
    <col min="2" max="2" width="12.33203125" bestFit="1" customWidth="1"/>
    <col min="3" max="7" width="10.88671875" bestFit="1" customWidth="1"/>
    <col min="9" max="9" width="22.77734375" bestFit="1" customWidth="1"/>
    <col min="10" max="10" width="12.33203125" bestFit="1" customWidth="1"/>
    <col min="11" max="15" width="10.88671875" bestFit="1" customWidth="1"/>
    <col min="17" max="17" width="22.77734375" bestFit="1" customWidth="1"/>
    <col min="18" max="18" width="12.33203125" bestFit="1" customWidth="1"/>
    <col min="19" max="23" width="10.88671875" bestFit="1" customWidth="1"/>
    <col min="25" max="25" width="22.77734375" bestFit="1" customWidth="1"/>
    <col min="26" max="26" width="12.33203125" bestFit="1" customWidth="1"/>
    <col min="27" max="31" width="10.88671875" bestFit="1" customWidth="1"/>
    <col min="33" max="33" width="22.77734375" bestFit="1" customWidth="1"/>
    <col min="34" max="34" width="12.33203125" bestFit="1" customWidth="1"/>
    <col min="35" max="39" width="10.88671875" bestFit="1" customWidth="1"/>
    <col min="41" max="41" width="22.77734375" bestFit="1" customWidth="1"/>
    <col min="42" max="42" width="12.33203125" bestFit="1" customWidth="1"/>
    <col min="43" max="47" width="10.88671875" bestFit="1" customWidth="1"/>
  </cols>
  <sheetData>
    <row r="1" spans="1:47" x14ac:dyDescent="0.3">
      <c r="A1" s="17" t="s">
        <v>75</v>
      </c>
      <c r="B1" s="18"/>
      <c r="C1" s="18"/>
      <c r="D1" s="18"/>
      <c r="E1" s="18"/>
      <c r="F1" s="18"/>
      <c r="G1" s="19" t="s">
        <v>71</v>
      </c>
      <c r="H1" s="18"/>
      <c r="I1" s="18"/>
      <c r="J1" s="20"/>
      <c r="K1" s="20"/>
      <c r="L1" s="20"/>
      <c r="M1" s="20"/>
      <c r="N1" s="20"/>
      <c r="O1" s="19" t="s">
        <v>72</v>
      </c>
      <c r="Q1" s="17" t="s">
        <v>75</v>
      </c>
      <c r="R1" s="18"/>
      <c r="S1" s="18"/>
      <c r="T1" s="18"/>
      <c r="U1" s="18"/>
      <c r="V1" s="18"/>
      <c r="W1" s="19" t="str">
        <f>'Assumptions &amp; WACC'!D2</f>
        <v>Alcoa</v>
      </c>
      <c r="X1" s="18"/>
      <c r="Y1" s="18"/>
      <c r="Z1" s="20"/>
      <c r="AA1" s="20"/>
      <c r="AB1" s="20"/>
      <c r="AC1" s="20"/>
      <c r="AD1" s="20"/>
      <c r="AE1" s="19" t="str">
        <f>'Assumptions &amp; WACC'!E2</f>
        <v>RF Ind</v>
      </c>
      <c r="AG1" s="17" t="s">
        <v>75</v>
      </c>
      <c r="AH1" s="18"/>
      <c r="AI1" s="18"/>
      <c r="AJ1" s="18"/>
      <c r="AK1" s="18"/>
      <c r="AL1" s="18"/>
      <c r="AM1" s="19" t="str">
        <f>'Assumptions &amp; WACC'!F2</f>
        <v>Dow</v>
      </c>
      <c r="AN1" s="18"/>
      <c r="AO1" s="18"/>
      <c r="AP1" s="20"/>
      <c r="AQ1" s="20"/>
      <c r="AR1" s="20"/>
      <c r="AS1" s="20"/>
      <c r="AT1" s="20"/>
      <c r="AU1" s="19" t="str">
        <f>'Assumptions &amp; WACC'!G2</f>
        <v>Newmount</v>
      </c>
    </row>
    <row r="2" spans="1:47" x14ac:dyDescent="0.3">
      <c r="A2" s="18" t="s">
        <v>11</v>
      </c>
      <c r="B2" s="33" t="s">
        <v>48</v>
      </c>
      <c r="C2" s="33" t="s">
        <v>49</v>
      </c>
      <c r="D2" s="33" t="s">
        <v>50</v>
      </c>
      <c r="E2" s="33" t="s">
        <v>51</v>
      </c>
      <c r="F2" s="33" t="s">
        <v>52</v>
      </c>
      <c r="G2" s="33" t="s">
        <v>53</v>
      </c>
      <c r="H2" s="18"/>
      <c r="I2" s="18" t="s">
        <v>11</v>
      </c>
      <c r="J2" s="34" t="s">
        <v>48</v>
      </c>
      <c r="K2" s="34" t="s">
        <v>49</v>
      </c>
      <c r="L2" s="34" t="s">
        <v>50</v>
      </c>
      <c r="M2" s="34" t="s">
        <v>51</v>
      </c>
      <c r="N2" s="34" t="s">
        <v>52</v>
      </c>
      <c r="O2" s="34" t="s">
        <v>53</v>
      </c>
      <c r="Q2" s="18" t="s">
        <v>11</v>
      </c>
      <c r="R2" s="33" t="s">
        <v>48</v>
      </c>
      <c r="S2" s="33" t="s">
        <v>49</v>
      </c>
      <c r="T2" s="33" t="s">
        <v>50</v>
      </c>
      <c r="U2" s="33" t="s">
        <v>51</v>
      </c>
      <c r="V2" s="33" t="s">
        <v>52</v>
      </c>
      <c r="W2" s="33" t="s">
        <v>53</v>
      </c>
      <c r="X2" s="18"/>
      <c r="Y2" s="18" t="s">
        <v>11</v>
      </c>
      <c r="Z2" s="34" t="s">
        <v>48</v>
      </c>
      <c r="AA2" s="34" t="s">
        <v>49</v>
      </c>
      <c r="AB2" s="34" t="s">
        <v>50</v>
      </c>
      <c r="AC2" s="34" t="s">
        <v>51</v>
      </c>
      <c r="AD2" s="34" t="s">
        <v>52</v>
      </c>
      <c r="AE2" s="34" t="s">
        <v>53</v>
      </c>
      <c r="AG2" s="18" t="s">
        <v>11</v>
      </c>
      <c r="AH2" s="33" t="s">
        <v>48</v>
      </c>
      <c r="AI2" s="33" t="s">
        <v>49</v>
      </c>
      <c r="AJ2" s="33" t="s">
        <v>50</v>
      </c>
      <c r="AK2" s="33" t="s">
        <v>51</v>
      </c>
      <c r="AL2" s="33" t="s">
        <v>52</v>
      </c>
      <c r="AM2" s="33" t="s">
        <v>53</v>
      </c>
      <c r="AN2" s="18"/>
      <c r="AO2" s="18" t="s">
        <v>11</v>
      </c>
      <c r="AP2" s="34" t="s">
        <v>48</v>
      </c>
      <c r="AQ2" s="34" t="s">
        <v>49</v>
      </c>
      <c r="AR2" s="34" t="s">
        <v>50</v>
      </c>
      <c r="AS2" s="34" t="s">
        <v>51</v>
      </c>
      <c r="AT2" s="34" t="s">
        <v>52</v>
      </c>
      <c r="AU2" s="34" t="s">
        <v>53</v>
      </c>
    </row>
    <row r="3" spans="1:47" x14ac:dyDescent="0.3">
      <c r="A3" s="18" t="s">
        <v>17</v>
      </c>
      <c r="B3" s="35">
        <f>Table1[[#This Row],[2024]]*(1+'Assumptions &amp; WACC'!B3)</f>
        <v>33445.099016964261</v>
      </c>
      <c r="C3" s="35">
        <f>Table9[[#This Row],[2025]]*(1+'Assumptions &amp; WACC'!$B$3)</f>
        <v>36395.34874258293</v>
      </c>
      <c r="D3" s="35">
        <f>Table9[[#This Row],[2026]]*(1+'Assumptions &amp; WACC'!$B$3)</f>
        <v>39605.845072318334</v>
      </c>
      <c r="E3" s="35">
        <f>Table9[[#This Row],[2027]]*(1+'Assumptions &amp; WACC'!$B$3)</f>
        <v>43099.544806866419</v>
      </c>
      <c r="F3" s="35">
        <f>Table9[[#This Row],[2028]]*(1+'Assumptions &amp; WACC'!$B$3)</f>
        <v>46901.429805809043</v>
      </c>
      <c r="G3" s="35">
        <f>Table9[[#This Row],[2029]]*(1+'Assumptions &amp; WACC'!$B$3)</f>
        <v>51038.68562154234</v>
      </c>
      <c r="H3" s="18"/>
      <c r="I3" s="36" t="s">
        <v>17</v>
      </c>
      <c r="J3" s="37">
        <f>Table18[[#This Row],[2024]]*(1+'Assumptions &amp; WACC'!C3)</f>
        <v>28607.656817933348</v>
      </c>
      <c r="K3" s="37">
        <f>Table10[[#This Row],[2025]]*(1+'Assumptions &amp; WACC'!$C$3)</f>
        <v>32150.777003050418</v>
      </c>
      <c r="L3" s="37">
        <f>Table10[[#This Row],[2026]]*(1+'Assumptions &amp; WACC'!$C$3)</f>
        <v>36132.720288083678</v>
      </c>
      <c r="M3" s="37">
        <f>Table10[[#This Row],[2027]]*(1+'Assumptions &amp; WACC'!$C$3)</f>
        <v>40607.835863283268</v>
      </c>
      <c r="N3" s="37">
        <f>Table10[[#This Row],[2028]]*(1+'Assumptions &amp; WACC'!$C$3)</f>
        <v>45637.204183687842</v>
      </c>
      <c r="O3" s="37">
        <f>Table10[[#This Row],[2029]]*(1+'Assumptions &amp; WACC'!$C$3)</f>
        <v>51289.470650830634</v>
      </c>
      <c r="Q3" s="18" t="s">
        <v>17</v>
      </c>
      <c r="R3" s="35">
        <f>Table114[[#This Row],[2024]]*(1+'Assumptions &amp; WACC'!D3)</f>
        <v>12498.894427370815</v>
      </c>
      <c r="S3" s="35">
        <f>Table952[[#This Row],[2025]]*(1+'Assumptions &amp; WACC'!$D$3)</f>
        <v>13133.447827369584</v>
      </c>
      <c r="T3" s="35">
        <f>Table952[[#This Row],[2026]]*(1+'Assumptions &amp; WACC'!$D$3)</f>
        <v>13800.216718089536</v>
      </c>
      <c r="U3" s="35">
        <f>Table952[[#This Row],[2027]]*(1+'Assumptions &amp; WACC'!$D$3)</f>
        <v>14500.836640120962</v>
      </c>
      <c r="V3" s="35">
        <f>Table952[[#This Row],[2028]]*(1+'Assumptions &amp; WACC'!$D$3)</f>
        <v>15237.026168425591</v>
      </c>
      <c r="W3" s="35">
        <f>Table952[[#This Row],[2029]]*(1+'Assumptions &amp; WACC'!$D$3)</f>
        <v>16010.591127888851</v>
      </c>
      <c r="X3" s="18"/>
      <c r="Y3" s="36" t="s">
        <v>17</v>
      </c>
      <c r="Z3" s="37">
        <f>Table1819[[#This Row],[2024]]*(1+'Assumptions &amp; WACC'!E3)</f>
        <v>6384.5301088913084</v>
      </c>
      <c r="AA3" s="37">
        <f>Table1053[[#This Row],[2025]]*(1+'Assumptions &amp; WACC'!$E$3)</f>
        <v>6866.9516023146325</v>
      </c>
      <c r="AB3" s="37">
        <f>Table1053[[#This Row],[2026]]*(1+'Assumptions &amp; WACC'!$E$3)</f>
        <v>7385.8253472501992</v>
      </c>
      <c r="AC3" s="37">
        <f>Table1053[[#This Row],[2027]]*(1+'Assumptions &amp; WACC'!$E$3)</f>
        <v>7943.9057123536895</v>
      </c>
      <c r="AD3" s="37">
        <f>Table1053[[#This Row],[2028]]*(1+'Assumptions &amp; WACC'!$E$3)</f>
        <v>8544.1551891367562</v>
      </c>
      <c r="AE3" s="37">
        <f>Table1053[[#This Row],[2029]]*(1+'Assumptions &amp; WACC'!$E$3)</f>
        <v>9189.7601179386002</v>
      </c>
      <c r="AG3" s="18" t="s">
        <v>17</v>
      </c>
      <c r="AH3" s="35">
        <f>Table11435[[#This Row],[2024]]*(1+'Assumptions &amp; WACC'!F3)</f>
        <v>43907.509107033839</v>
      </c>
      <c r="AI3" s="35">
        <f>Table960[[#This Row],[2025]]*(1+'Assumptions &amp; WACC'!$F$3)</f>
        <v>44871.738105955206</v>
      </c>
      <c r="AJ3" s="35">
        <f>Table960[[#This Row],[2026]]*(1+'Assumptions &amp; WACC'!$F$3)</f>
        <v>45857.142015074613</v>
      </c>
      <c r="AK3" s="35">
        <f>Table960[[#This Row],[2027]]*(1+'Assumptions &amp; WACC'!$F$3)</f>
        <v>46864.185845112945</v>
      </c>
      <c r="AL3" s="35">
        <f>Table960[[#This Row],[2028]]*(1+'Assumptions &amp; WACC'!$F$3)</f>
        <v>47893.344818639394</v>
      </c>
      <c r="AM3" s="35">
        <f>Table960[[#This Row],[2029]]*(1+'Assumptions &amp; WACC'!$F$3)</f>
        <v>48945.104594328302</v>
      </c>
      <c r="AN3" s="18"/>
      <c r="AO3" s="36" t="s">
        <v>17</v>
      </c>
      <c r="AP3" s="37">
        <f>Table181938[[#This Row],[2024]]*(1+'Assumptions &amp; WACC'!$G$3)</f>
        <v>20586.90853544162</v>
      </c>
      <c r="AQ3" s="37">
        <f>Table1061[[#This Row],[2025]]*(1+'Assumptions &amp; WACC'!$G$3)</f>
        <v>22686.050907110533</v>
      </c>
      <c r="AR3" s="37">
        <f>Table1061[[#This Row],[2026]]*(1+'Assumptions &amp; WACC'!$G$3)</f>
        <v>24999.232151539283</v>
      </c>
      <c r="AS3" s="37">
        <f>Table1061[[#This Row],[2027]]*(1+'Assumptions &amp; WACC'!$G$3)</f>
        <v>27548.276724120042</v>
      </c>
      <c r="AT3" s="37">
        <f>Table1061[[#This Row],[2028]]*(1+'Assumptions &amp; WACC'!$G$3)</f>
        <v>30357.234408976263</v>
      </c>
      <c r="AU3" s="37">
        <f>Table1061[[#This Row],[2029]]*(1+'Assumptions &amp; WACC'!$G$3)</f>
        <v>33452.607224416839</v>
      </c>
    </row>
    <row r="4" spans="1:47" x14ac:dyDescent="0.3">
      <c r="A4" s="18" t="s">
        <v>76</v>
      </c>
      <c r="B4" s="35">
        <f>B3*'Assumptions &amp; WACC'!$B$4</f>
        <v>6108.7225375398348</v>
      </c>
      <c r="C4" s="35">
        <f>C3*'Assumptions &amp; WACC'!$B$4</f>
        <v>6647.5834624578956</v>
      </c>
      <c r="D4" s="35">
        <f>D3*'Assumptions &amp; WACC'!$B$4</f>
        <v>7233.978236657721</v>
      </c>
      <c r="E4" s="35">
        <f>E3*'Assumptions &amp; WACC'!$B$4</f>
        <v>7872.0999027650805</v>
      </c>
      <c r="F4" s="35">
        <f>F3*'Assumptions &amp; WACC'!$B$4</f>
        <v>8566.5113789097686</v>
      </c>
      <c r="G4" s="35">
        <f>G3*'Assumptions &amp; WACC'!$B$4</f>
        <v>9322.1780860801791</v>
      </c>
      <c r="H4" s="18"/>
      <c r="I4" s="36" t="s">
        <v>76</v>
      </c>
      <c r="J4" s="37">
        <f>J3*'Assumptions &amp; WACC'!$C$4</f>
        <v>10789.546835894462</v>
      </c>
      <c r="K4" s="37">
        <f>K3*'Assumptions &amp; WACC'!$C$4</f>
        <v>12125.855553026415</v>
      </c>
      <c r="L4" s="37">
        <f>L3*'Assumptions &amp; WACC'!$C$4</f>
        <v>13627.668995671227</v>
      </c>
      <c r="M4" s="37">
        <f>M3*'Assumptions &amp; WACC'!$C$4</f>
        <v>15315.485282127396</v>
      </c>
      <c r="N4" s="37">
        <f>N3*'Assumptions &amp; WACC'!$C$4</f>
        <v>17212.341266989184</v>
      </c>
      <c r="O4" s="37">
        <f>O3*'Assumptions &amp; WACC'!$C$4</f>
        <v>19344.126969129</v>
      </c>
      <c r="Q4" s="18" t="s">
        <v>76</v>
      </c>
      <c r="R4" s="35">
        <f>R3*'Assumptions &amp; WACC'!$D$4</f>
        <v>1263.9780163793653</v>
      </c>
      <c r="S4" s="35">
        <f>S3*'Assumptions &amp; WACC'!$D$4</f>
        <v>1328.1486158254111</v>
      </c>
      <c r="T4" s="35">
        <f>T3*'Assumptions &amp; WACC'!$D$4</f>
        <v>1395.5770771803691</v>
      </c>
      <c r="U4" s="35">
        <f>U3*'Assumptions &amp; WACC'!$D$4</f>
        <v>1466.4287980610479</v>
      </c>
      <c r="V4" s="35">
        <f>V3*'Assumptions &amp; WACC'!$D$4</f>
        <v>1540.8775731165458</v>
      </c>
      <c r="W4" s="35">
        <f>W3*'Assumptions &amp; WACC'!$D$4</f>
        <v>1619.1060203351876</v>
      </c>
      <c r="X4" s="18"/>
      <c r="Y4" s="36" t="s">
        <v>76</v>
      </c>
      <c r="Z4" s="37">
        <f>Z3*'Assumptions &amp; WACC'!$E$4</f>
        <v>2147.7177123531796</v>
      </c>
      <c r="AA4" s="37">
        <f>AA3*'Assumptions &amp; WACC'!$E$4</f>
        <v>2310.0014150805318</v>
      </c>
      <c r="AB4" s="37">
        <f>AB3*'Assumptions &amp; WACC'!$E$4</f>
        <v>2484.5474370221</v>
      </c>
      <c r="AC4" s="37">
        <f>AC3*'Assumptions &amp; WACC'!$E$4</f>
        <v>2672.2823313066592</v>
      </c>
      <c r="AD4" s="37">
        <f>AD3*'Assumptions &amp; WACC'!$E$4</f>
        <v>2874.2026623459606</v>
      </c>
      <c r="AE4" s="37">
        <f>AE3*'Assumptions &amp; WACC'!$E$4</f>
        <v>3091.3802959574368</v>
      </c>
      <c r="AG4" s="18" t="s">
        <v>76</v>
      </c>
      <c r="AH4" s="35">
        <f>AH3*'Assumptions &amp; WACC'!$F$4</f>
        <v>3492.4626583461609</v>
      </c>
      <c r="AI4" s="35">
        <f>AI3*'Assumptions &amp; WACC'!$F$4</f>
        <v>3569.1587370195903</v>
      </c>
      <c r="AJ4" s="35">
        <f>AJ3*'Assumptions &amp; WACC'!$F$4</f>
        <v>3647.5390966887871</v>
      </c>
      <c r="AK4" s="35">
        <f>AK3*'Assumptions &amp; WACC'!$F$4</f>
        <v>3727.6407249354088</v>
      </c>
      <c r="AL4" s="35">
        <f>AL3*'Assumptions &amp; WACC'!$F$4</f>
        <v>3809.5014216053364</v>
      </c>
      <c r="AM4" s="35">
        <f>AM3*'Assumptions &amp; WACC'!$F$4</f>
        <v>3893.1598166463709</v>
      </c>
      <c r="AN4" s="18"/>
      <c r="AO4" s="36" t="s">
        <v>76</v>
      </c>
      <c r="AP4" s="37">
        <f>AP3*'Assumptions &amp; WACC'!$G$4</f>
        <v>5785.8652179286009</v>
      </c>
      <c r="AQ4" s="37">
        <f>AQ3*'Assumptions &amp; WACC'!$G$4</f>
        <v>6375.8204710357077</v>
      </c>
      <c r="AR4" s="37">
        <f>AR3*'Assumptions &amp; WACC'!$G$4</f>
        <v>7025.9304611716307</v>
      </c>
      <c r="AS4" s="37">
        <f>AS3*'Assumptions &amp; WACC'!$G$4</f>
        <v>7742.3288609631472</v>
      </c>
      <c r="AT4" s="37">
        <f>AT3*'Assumptions &amp; WACC'!$G$4</f>
        <v>8531.7747624428957</v>
      </c>
      <c r="AU4" s="37">
        <f>AU3*'Assumptions &amp; WACC'!$G$4</f>
        <v>9401.7164478857212</v>
      </c>
    </row>
    <row r="5" spans="1:47" s="100" customFormat="1" x14ac:dyDescent="0.3">
      <c r="A5" s="17" t="s">
        <v>77</v>
      </c>
      <c r="B5" s="39">
        <f>B4*(1-'Assumptions &amp; WACC'!$B$14)</f>
        <v>4703.7163539056728</v>
      </c>
      <c r="C5" s="39">
        <f>C4*(1-'Assumptions &amp; WACC'!$B$14)</f>
        <v>5118.6392660925794</v>
      </c>
      <c r="D5" s="39">
        <f>D4*(1-'Assumptions &amp; WACC'!$B$14)</f>
        <v>5570.1632422264456</v>
      </c>
      <c r="E5" s="39">
        <f>E4*(1-'Assumptions &amp; WACC'!$B$14)</f>
        <v>6061.5169251291118</v>
      </c>
      <c r="F5" s="39">
        <f>F4*(1-'Assumptions &amp; WACC'!$B$14)</f>
        <v>6596.2137617605222</v>
      </c>
      <c r="G5" s="39">
        <f>G4*(1-'Assumptions &amp; WACC'!$B$14)</f>
        <v>7178.0771262817379</v>
      </c>
      <c r="H5" s="17"/>
      <c r="I5" s="101" t="s">
        <v>77</v>
      </c>
      <c r="J5" s="102">
        <f>J4*(1-'Assumptions &amp; WACC'!$C$14)</f>
        <v>8307.9510636387349</v>
      </c>
      <c r="K5" s="102">
        <f>K4*(1-'Assumptions &amp; WACC'!$C$14)</f>
        <v>9336.9087758303394</v>
      </c>
      <c r="L5" s="102">
        <f>L4*(1-'Assumptions &amp; WACC'!$C$14)</f>
        <v>10493.305126666844</v>
      </c>
      <c r="M5" s="102">
        <f>M4*(1-'Assumptions &amp; WACC'!$C$14)</f>
        <v>11792.923667238096</v>
      </c>
      <c r="N5" s="102">
        <f>N4*(1-'Assumptions &amp; WACC'!$C$14)</f>
        <v>13253.502775581672</v>
      </c>
      <c r="O5" s="102">
        <f>O4*(1-'Assumptions &amp; WACC'!$C$14)</f>
        <v>14894.977766229331</v>
      </c>
      <c r="Q5" s="17" t="s">
        <v>77</v>
      </c>
      <c r="R5" s="39">
        <f>R4*(1-'Assumptions &amp; WACC'!$B$14)</f>
        <v>973.26307261211127</v>
      </c>
      <c r="S5" s="39">
        <f>S4*(1-'Assumptions &amp; WACC'!$B$14)</f>
        <v>1022.6744341855665</v>
      </c>
      <c r="T5" s="39">
        <f>T4*(1-'Assumptions &amp; WACC'!$B$14)</f>
        <v>1074.5943494288842</v>
      </c>
      <c r="U5" s="39">
        <f>U4*(1-'Assumptions &amp; WACC'!$B$14)</f>
        <v>1129.150174507007</v>
      </c>
      <c r="V5" s="39">
        <f>V4*(1-'Assumptions &amp; WACC'!$B$14)</f>
        <v>1186.4757312997403</v>
      </c>
      <c r="W5" s="39">
        <f>W4*(1-'Assumptions &amp; WACC'!$B$14)</f>
        <v>1246.7116356580946</v>
      </c>
      <c r="X5" s="17"/>
      <c r="Y5" s="101" t="s">
        <v>77</v>
      </c>
      <c r="Z5" s="102">
        <f>Z4*(1-'Assumptions &amp; WACC'!$C$14)</f>
        <v>1653.7426385119484</v>
      </c>
      <c r="AA5" s="102">
        <f>AA4*(1-'Assumptions &amp; WACC'!$C$14)</f>
        <v>1778.7010896120096</v>
      </c>
      <c r="AB5" s="102">
        <f>AB4*(1-'Assumptions &amp; WACC'!$C$14)</f>
        <v>1913.1015265070171</v>
      </c>
      <c r="AC5" s="102">
        <f>AC4*(1-'Assumptions &amp; WACC'!$C$14)</f>
        <v>2057.6573951061278</v>
      </c>
      <c r="AD5" s="102">
        <f>AD4*(1-'Assumptions &amp; WACC'!$C$14)</f>
        <v>2213.1360500063897</v>
      </c>
      <c r="AE5" s="102">
        <f>AE4*(1-'Assumptions &amp; WACC'!$C$14)</f>
        <v>2380.3628278872266</v>
      </c>
      <c r="AG5" s="17" t="s">
        <v>77</v>
      </c>
      <c r="AH5" s="39">
        <f>AH4*(1-'Assumptions &amp; WACC'!$B$14)</f>
        <v>2689.1962469265441</v>
      </c>
      <c r="AI5" s="39">
        <f>AI4*(1-'Assumptions &amp; WACC'!$B$14)</f>
        <v>2748.2522275050846</v>
      </c>
      <c r="AJ5" s="39">
        <f>AJ4*(1-'Assumptions &amp; WACC'!$B$14)</f>
        <v>2808.6051044503661</v>
      </c>
      <c r="AK5" s="39">
        <f>AK4*(1-'Assumptions &amp; WACC'!$B$14)</f>
        <v>2870.283358200265</v>
      </c>
      <c r="AL5" s="39">
        <f>AL4*(1-'Assumptions &amp; WACC'!$B$14)</f>
        <v>2933.316094636109</v>
      </c>
      <c r="AM5" s="39">
        <f>AM4*(1-'Assumptions &amp; WACC'!$B$14)</f>
        <v>2997.7330588177056</v>
      </c>
      <c r="AN5" s="17"/>
      <c r="AO5" s="101" t="s">
        <v>77</v>
      </c>
      <c r="AP5" s="102">
        <f>AP4*(1-'Assumptions &amp; WACC'!$C$14)</f>
        <v>4455.1162178050226</v>
      </c>
      <c r="AQ5" s="102">
        <f>AQ4*(1-'Assumptions &amp; WACC'!$C$14)</f>
        <v>4909.3817626974951</v>
      </c>
      <c r="AR5" s="102">
        <f>AR4*(1-'Assumptions &amp; WACC'!$C$14)</f>
        <v>5409.966455102156</v>
      </c>
      <c r="AS5" s="102">
        <f>AS4*(1-'Assumptions &amp; WACC'!$C$14)</f>
        <v>5961.5932229416239</v>
      </c>
      <c r="AT5" s="102">
        <f>AT4*(1-'Assumptions &amp; WACC'!$C$14)</f>
        <v>6569.46656708103</v>
      </c>
      <c r="AU5" s="102">
        <f>AU4*(1-'Assumptions &amp; WACC'!$C$14)</f>
        <v>7239.3216648720054</v>
      </c>
    </row>
    <row r="6" spans="1:47" x14ac:dyDescent="0.3">
      <c r="A6" s="18" t="s">
        <v>78</v>
      </c>
      <c r="B6" s="35">
        <f>B3*'Assumptions &amp; WACC'!$B$5</f>
        <v>1070.6465426453346</v>
      </c>
      <c r="C6" s="35">
        <f>C3*'Assumptions &amp; WACC'!$B$5</f>
        <v>1165.0901161887052</v>
      </c>
      <c r="D6" s="35">
        <f>D3*'Assumptions &amp; WACC'!$B$5</f>
        <v>1267.8647198417923</v>
      </c>
      <c r="E6" s="35">
        <f>E3*'Assumptions &amp; WACC'!$B$5</f>
        <v>1379.7052481038716</v>
      </c>
      <c r="F6" s="35">
        <f>F3*'Assumptions &amp; WACC'!$B$5</f>
        <v>1501.4114217823656</v>
      </c>
      <c r="G6" s="35">
        <f>G3*'Assumptions &amp; WACC'!$B$5</f>
        <v>1633.8535064330156</v>
      </c>
      <c r="H6" s="18"/>
      <c r="I6" s="36" t="s">
        <v>78</v>
      </c>
      <c r="J6" s="37">
        <f>J3*'Assumptions &amp; WACC'!$C$5</f>
        <v>2606.9733595101889</v>
      </c>
      <c r="K6" s="37">
        <f>K3*'Assumptions &amp; WACC'!$C$5</f>
        <v>2929.8526498669125</v>
      </c>
      <c r="L6" s="37">
        <f>L3*'Assumptions &amp; WACC'!$C$5</f>
        <v>3292.7212388334419</v>
      </c>
      <c r="M6" s="37">
        <f>M3*'Assumptions &amp; WACC'!$C$5</f>
        <v>3700.5318875532294</v>
      </c>
      <c r="N6" s="37">
        <f>N3*'Assumptions &amp; WACC'!$C$5</f>
        <v>4158.8507673518725</v>
      </c>
      <c r="O6" s="37">
        <f>O3*'Assumptions &amp; WACC'!$C$5</f>
        <v>4673.9334319151885</v>
      </c>
      <c r="Q6" s="18" t="s">
        <v>78</v>
      </c>
      <c r="R6" s="35">
        <f>R3*'Assumptions &amp; WACC'!$D$5</f>
        <v>711.75030306213853</v>
      </c>
      <c r="S6" s="35">
        <f>S3*'Assumptions &amp; WACC'!$D$5</f>
        <v>747.88498500402284</v>
      </c>
      <c r="T6" s="35">
        <f>T3*'Assumptions &amp; WACC'!$D$5</f>
        <v>785.85418002363065</v>
      </c>
      <c r="U6" s="35">
        <f>U3*'Assumptions &amp; WACC'!$D$5</f>
        <v>825.75102407931206</v>
      </c>
      <c r="V6" s="35">
        <f>V3*'Assumptions &amp; WACC'!$D$5</f>
        <v>867.67338152674711</v>
      </c>
      <c r="W6" s="35">
        <f>W3*'Assumptions &amp; WACC'!$D$5</f>
        <v>911.72408517382507</v>
      </c>
      <c r="X6" s="18"/>
      <c r="Y6" s="36" t="s">
        <v>78</v>
      </c>
      <c r="Z6" s="37">
        <f>Z3*'Assumptions &amp; WACC'!$E$4</f>
        <v>2147.7177123531796</v>
      </c>
      <c r="AA6" s="37">
        <f>AA3*'Assumptions &amp; WACC'!$E$4</f>
        <v>2310.0014150805318</v>
      </c>
      <c r="AB6" s="37">
        <f>AB3*'Assumptions &amp; WACC'!$E$4</f>
        <v>2484.5474370221</v>
      </c>
      <c r="AC6" s="37">
        <f>AC3*'Assumptions &amp; WACC'!$E$4</f>
        <v>2672.2823313066592</v>
      </c>
      <c r="AD6" s="37">
        <f>AD3*'Assumptions &amp; WACC'!$E$4</f>
        <v>2874.2026623459606</v>
      </c>
      <c r="AE6" s="37">
        <f>AE3*'Assumptions &amp; WACC'!$E$4</f>
        <v>3091.3802959574368</v>
      </c>
      <c r="AG6" s="18" t="s">
        <v>78</v>
      </c>
      <c r="AH6" s="35">
        <f>AH3*'Assumptions &amp; WACC'!$F$5</f>
        <v>324.51242665599091</v>
      </c>
      <c r="AI6" s="35">
        <f>AI3*'Assumptions &amp; WACC'!$F$5</f>
        <v>331.63886809290506</v>
      </c>
      <c r="AJ6" s="35">
        <f>AJ3*'Assumptions &amp; WACC'!$F$5</f>
        <v>338.92180944594594</v>
      </c>
      <c r="AK6" s="35">
        <f>AK3*'Assumptions &amp; WACC'!$F$5</f>
        <v>346.36468752491061</v>
      </c>
      <c r="AL6" s="35">
        <f>AL3*'Assumptions &amp; WACC'!$F$5</f>
        <v>353.9710146135123</v>
      </c>
      <c r="AM6" s="35">
        <f>AM3*'Assumptions &amp; WACC'!$F$5</f>
        <v>361.74438012682242</v>
      </c>
      <c r="AN6" s="18"/>
      <c r="AO6" s="36" t="s">
        <v>78</v>
      </c>
      <c r="AP6" s="37">
        <f>AP3*'Assumptions &amp; WACC'!$G$5</f>
        <v>3577.6789391679031</v>
      </c>
      <c r="AQ6" s="37">
        <f>AQ3*'Assumptions &amp; WACC'!$G$5</f>
        <v>3942.4766668357465</v>
      </c>
      <c r="AR6" s="37">
        <f>AR3*'Assumptions &amp; WACC'!$G$5</f>
        <v>4344.4709636687849</v>
      </c>
      <c r="AS6" s="37">
        <f>AS3*'Assumptions &amp; WACC'!$G$5</f>
        <v>4787.4545746671229</v>
      </c>
      <c r="AT6" s="37">
        <f>AT3*'Assumptions &amp; WACC'!$G$5</f>
        <v>5275.6069717510763</v>
      </c>
      <c r="AU6" s="37">
        <f>AU3*'Assumptions &amp; WACC'!$G$5</f>
        <v>5813.5337863385903</v>
      </c>
    </row>
    <row r="7" spans="1:47" x14ac:dyDescent="0.3">
      <c r="A7" s="18" t="s">
        <v>37</v>
      </c>
      <c r="B7" s="35">
        <f>B3*'Assumptions &amp; WACC'!$B$6</f>
        <v>2146.7681070297995</v>
      </c>
      <c r="C7" s="35">
        <f>C3*'Assumptions &amp; WACC'!$B$6</f>
        <v>2336.1382152037668</v>
      </c>
      <c r="D7" s="35">
        <f>D3*'Assumptions &amp; WACC'!$B$6</f>
        <v>2542.2129864255917</v>
      </c>
      <c r="E7" s="35">
        <f>E3*'Assumptions &amp; WACC'!$B$6</f>
        <v>2766.4659677626187</v>
      </c>
      <c r="F7" s="35">
        <f>F3*'Assumptions &amp; WACC'!$B$6</f>
        <v>3010.5006904041984</v>
      </c>
      <c r="G7" s="35">
        <f>G3*'Assumptions &amp; WACC'!$B$6</f>
        <v>3276.0621357847235</v>
      </c>
      <c r="H7" s="18"/>
      <c r="I7" s="36" t="s">
        <v>37</v>
      </c>
      <c r="J7" s="37">
        <f>J3*'Assumptions &amp; WACC'!$C$6</f>
        <v>4544.3455851741946</v>
      </c>
      <c r="K7" s="37">
        <f>K3*'Assumptions &amp; WACC'!$C$6</f>
        <v>5107.1726168828854</v>
      </c>
      <c r="L7" s="37">
        <f>L3*'Assumptions &amp; WACC'!$C$6</f>
        <v>5739.706994057442</v>
      </c>
      <c r="M7" s="37">
        <f>M3*'Assumptions &amp; WACC'!$C$6</f>
        <v>6450.5821222348104</v>
      </c>
      <c r="N7" s="37">
        <f>N3*'Assumptions &amp; WACC'!$C$6</f>
        <v>7249.50067290472</v>
      </c>
      <c r="O7" s="37">
        <f>O3*'Assumptions &amp; WACC'!$C$6</f>
        <v>8147.367014411122</v>
      </c>
      <c r="Q7" s="18" t="s">
        <v>37</v>
      </c>
      <c r="R7" s="35">
        <f>R3*'Assumptions &amp; WACC'!$D$6</f>
        <v>517.8382815919673</v>
      </c>
      <c r="S7" s="35">
        <f>S3*'Assumptions &amp; WACC'!$D$6</f>
        <v>544.1282902117797</v>
      </c>
      <c r="T7" s="35">
        <f>T3*'Assumptions &amp; WACC'!$D$6</f>
        <v>571.75301002966137</v>
      </c>
      <c r="U7" s="35">
        <f>U3*'Assumptions &amp; WACC'!$D$6</f>
        <v>600.7802026811454</v>
      </c>
      <c r="V7" s="35">
        <f>V3*'Assumptions &amp; WACC'!$D$6</f>
        <v>631.28106997613077</v>
      </c>
      <c r="W7" s="35">
        <f>W3*'Assumptions &amp; WACC'!$D$6</f>
        <v>663.33042855227791</v>
      </c>
      <c r="X7" s="18"/>
      <c r="Y7" s="36" t="s">
        <v>37</v>
      </c>
      <c r="Z7" s="37">
        <f>Z3*'Assumptions &amp; WACC'!$E$6</f>
        <v>425.38798604352087</v>
      </c>
      <c r="AA7" s="37">
        <f>AA3*'Assumptions &amp; WACC'!$E$6</f>
        <v>457.53072858077735</v>
      </c>
      <c r="AB7" s="37">
        <f>AB3*'Assumptions &amp; WACC'!$E$6</f>
        <v>492.10220895669642</v>
      </c>
      <c r="AC7" s="37">
        <f>AC3*'Assumptions &amp; WACC'!$E$6</f>
        <v>529.28594503637976</v>
      </c>
      <c r="AD7" s="37">
        <f>AD3*'Assumptions &amp; WACC'!$E$6</f>
        <v>569.27932147873264</v>
      </c>
      <c r="AE7" s="37">
        <f>AE3*'Assumptions &amp; WACC'!$E$6</f>
        <v>612.29463752530035</v>
      </c>
      <c r="AG7" s="18" t="s">
        <v>37</v>
      </c>
      <c r="AH7" s="35">
        <f>AH3*'Assumptions &amp; WACC'!$F$6</f>
        <v>1821.2545059397055</v>
      </c>
      <c r="AI7" s="35">
        <f>AI3*'Assumptions &amp; WACC'!$F$6</f>
        <v>1861.2500885805334</v>
      </c>
      <c r="AJ7" s="35">
        <f>AJ3*'Assumptions &amp; WACC'!$F$6</f>
        <v>1902.1239925243765</v>
      </c>
      <c r="AK7" s="35">
        <f>AK3*'Assumptions &amp; WACC'!$F$6</f>
        <v>1943.895506109106</v>
      </c>
      <c r="AL7" s="35">
        <f>AL3*'Assumptions &amp; WACC'!$F$6</f>
        <v>1986.5843412533218</v>
      </c>
      <c r="AM7" s="35">
        <f>AM3*'Assumptions &amp; WACC'!$F$6</f>
        <v>2030.2106427583803</v>
      </c>
      <c r="AN7" s="18"/>
      <c r="AO7" s="36" t="s">
        <v>37</v>
      </c>
      <c r="AP7" s="37">
        <f>AP3*'Assumptions &amp; WACC'!$G$6</f>
        <v>3472.4530880159064</v>
      </c>
      <c r="AQ7" s="37">
        <f>AQ3*'Assumptions &amp; WACC'!$G$6</f>
        <v>3826.5214707523428</v>
      </c>
      <c r="AR7" s="37">
        <f>AR3*'Assumptions &amp; WACC'!$G$6</f>
        <v>4216.6924059138219</v>
      </c>
      <c r="AS7" s="37">
        <f>AS3*'Assumptions &amp; WACC'!$G$6</f>
        <v>4646.6470871769143</v>
      </c>
      <c r="AT7" s="37">
        <f>AT3*'Assumptions &amp; WACC'!$G$6</f>
        <v>5120.4420608172222</v>
      </c>
      <c r="AU7" s="37">
        <f>AU3*'Assumptions &amp; WACC'!$G$6</f>
        <v>5642.5474985051032</v>
      </c>
    </row>
    <row r="8" spans="1:47" x14ac:dyDescent="0.3">
      <c r="A8" s="38" t="s">
        <v>79</v>
      </c>
      <c r="B8" s="35">
        <f>'Assumptions &amp; WACC'!J7-'Assumptions &amp; WACC'!N3</f>
        <v>1529.352989920535</v>
      </c>
      <c r="C8" s="35">
        <f>'Assumptions &amp; WACC'!K7-'Assumptions &amp; WACC'!J7</f>
        <v>796.31833854242723</v>
      </c>
      <c r="D8" s="35">
        <f>'Assumptions &amp; WACC'!L7-'Assumptions &amp; WACC'!K7</f>
        <v>866.56294922808229</v>
      </c>
      <c r="E8" s="35">
        <f>'Assumptions &amp; WACC'!M7-'Assumptions &amp; WACC'!L7</f>
        <v>943.00395787615525</v>
      </c>
      <c r="F8" s="35">
        <f>'Assumptions &amp; WACC'!N7-'Assumptions &amp; WACC'!M7</f>
        <v>1026.1879594116381</v>
      </c>
      <c r="G8" s="35">
        <f>'Assumptions &amp; WACC'!O7-'Assumptions &amp; WACC'!N7</f>
        <v>1116.7097648382496</v>
      </c>
      <c r="H8" s="18"/>
      <c r="I8" s="36" t="s">
        <v>79</v>
      </c>
      <c r="J8" s="37">
        <f>Table20[[#This Row],[2025]]-'Assumptions &amp; WACC'!N4</f>
        <v>2819.9639331700819</v>
      </c>
      <c r="K8" s="37">
        <f>Table20[[#This Row],[2026]]-Table20[[#This Row],[2025]]</f>
        <v>1315.3055077633053</v>
      </c>
      <c r="L8" s="37">
        <f>Table20[[#This Row],[2027]]-Table20[[#This Row],[2026]]</f>
        <v>1478.2089403586797</v>
      </c>
      <c r="M8" s="37">
        <f>Table20[[#This Row],[2028]]-Table20[[#This Row],[2027]]</f>
        <v>1661.2883154972296</v>
      </c>
      <c r="N8" s="37">
        <f>Table20[[#This Row],[2029]]-Table20[[#This Row],[2028]]</f>
        <v>1867.0424673104444</v>
      </c>
      <c r="O8" s="37">
        <f>Table20[[#This Row],[2030]]-Table20[[#This Row],[2029]]</f>
        <v>2098.2797159428301</v>
      </c>
      <c r="Q8" s="38" t="s">
        <v>79</v>
      </c>
      <c r="R8" s="35">
        <f>'Assumptions &amp; WACC'!J15-'Assumptions &amp; WACC'!N11</f>
        <v>411.6892572464867</v>
      </c>
      <c r="S8" s="35">
        <f>'Assumptions &amp; WACC'!K15-'Assumptions &amp; WACC'!J15</f>
        <v>98.018703945847165</v>
      </c>
      <c r="T8" s="35">
        <f>'Assumptions &amp; WACC'!L15-'Assumptions &amp; WACC'!K15</f>
        <v>102.99499222588133</v>
      </c>
      <c r="U8" s="35">
        <f>'Assumptions &amp; WACC'!M15-'Assumptions &amp; WACC'!L15</f>
        <v>108.22392050266217</v>
      </c>
      <c r="V8" s="35">
        <f>'Assumptions &amp; WACC'!N15-'Assumptions &amp; WACC'!M15</f>
        <v>113.7183149961279</v>
      </c>
      <c r="W8" s="35">
        <f>'Assumptions &amp; WACC'!O15-'Assumptions &amp; WACC'!N15</f>
        <v>119.4916530975288</v>
      </c>
      <c r="X8" s="18"/>
      <c r="Y8" s="36" t="s">
        <v>79</v>
      </c>
      <c r="Z8" s="37">
        <f>'Assumptions &amp; WACC'!J16-'Assumptions &amp; WACC'!N12</f>
        <v>-171.12269479671409</v>
      </c>
      <c r="AA8" s="37">
        <f>'Assumptions &amp; WACC'!K16-'Assumptions &amp; WACC'!J16</f>
        <v>115.67462338309656</v>
      </c>
      <c r="AB8" s="37">
        <f>'Assumptions &amp; WACC'!L16-'Assumptions &amp; WACC'!K16</f>
        <v>124.41511385175932</v>
      </c>
      <c r="AC8" s="37">
        <f>'Assumptions &amp; WACC'!M16-'Assumptions &amp; WACC'!L16</f>
        <v>133.81604453970658</v>
      </c>
      <c r="AD8" s="37">
        <f>'Assumptions &amp; WACC'!N16-'Assumptions &amp; WACC'!M16</f>
        <v>143.92731897178169</v>
      </c>
      <c r="AE8" s="37">
        <f>'Assumptions &amp; WACC'!O16-'Assumptions &amp; WACC'!N16</f>
        <v>154.80261143317784</v>
      </c>
      <c r="AG8" s="38" t="s">
        <v>79</v>
      </c>
      <c r="AH8" s="35">
        <f>'Assumptions &amp; WACC'!J23-'Assumptions &amp; WACC'!N19</f>
        <v>838.19582084526246</v>
      </c>
      <c r="AI8" s="35">
        <f>'Assumptions &amp; WACC'!K23-'Assumptions &amp; WACC'!J23</f>
        <v>156.80196869407973</v>
      </c>
      <c r="AJ8" s="35">
        <f>'Assumptions &amp; WACC'!L23-'Assumptions &amp; WACC'!K23</f>
        <v>160.24541170366319</v>
      </c>
      <c r="AK8" s="35">
        <f>'Assumptions &amp; WACC'!M23-'Assumptions &amp; WACC'!L23</f>
        <v>163.76447429799191</v>
      </c>
      <c r="AL8" s="35">
        <f>'Assumptions &amp; WACC'!N23-'Assumptions &amp; WACC'!M23</f>
        <v>167.3608171177666</v>
      </c>
      <c r="AM8" s="35">
        <f>'Assumptions &amp; WACC'!O23-'Assumptions &amp; WACC'!N23</f>
        <v>171.03613727211086</v>
      </c>
      <c r="AN8" s="18"/>
      <c r="AO8" s="36" t="s">
        <v>79</v>
      </c>
      <c r="AP8" s="37">
        <f>'Assumptions &amp; WACC'!J24-'Assumptions &amp; WACC'!N20</f>
        <v>1498.4288730914759</v>
      </c>
      <c r="AQ8" s="37">
        <f>'Assumptions &amp; WACC'!K24-'Assumptions &amp; WACC'!J24</f>
        <v>635.28514826109858</v>
      </c>
      <c r="AR8" s="37">
        <f>'Assumptions &amp; WACC'!L24-'Assumptions &amp; WACC'!K24</f>
        <v>700.06194418026553</v>
      </c>
      <c r="AS8" s="37">
        <f>'Assumptions &amp; WACC'!M24-'Assumptions &amp; WACC'!L24</f>
        <v>771.44370056645766</v>
      </c>
      <c r="AT8" s="37">
        <f>'Assumptions &amp; WACC'!N24-'Assumptions &amp; WACC'!M24</f>
        <v>850.10389164994376</v>
      </c>
      <c r="AU8" s="37">
        <f>'Assumptions &amp; WACC'!O24-'Assumptions &amp; WACC'!N24</f>
        <v>936.78466240340458</v>
      </c>
    </row>
    <row r="9" spans="1:47" x14ac:dyDescent="0.3">
      <c r="A9" s="17" t="s">
        <v>80</v>
      </c>
      <c r="B9" s="39">
        <f>B5+B6-B7-B8</f>
        <v>2098.2417996006725</v>
      </c>
      <c r="C9" s="39">
        <f t="shared" ref="C9:G9" si="0">C5+C6-C7-C8</f>
        <v>3151.2728285350904</v>
      </c>
      <c r="D9" s="39">
        <f t="shared" si="0"/>
        <v>3429.2520264145642</v>
      </c>
      <c r="E9" s="39">
        <f t="shared" si="0"/>
        <v>3731.7522475942096</v>
      </c>
      <c r="F9" s="39">
        <f t="shared" si="0"/>
        <v>4060.936533727051</v>
      </c>
      <c r="G9" s="39">
        <f t="shared" si="0"/>
        <v>4419.1587320917806</v>
      </c>
      <c r="H9" s="18"/>
      <c r="I9" s="40" t="s">
        <v>80</v>
      </c>
      <c r="J9" s="41">
        <f>J5+J6-J7-J8</f>
        <v>3550.6149048046482</v>
      </c>
      <c r="K9" s="41">
        <f t="shared" ref="K9:O9" si="1">K5+K6-K7-K8</f>
        <v>5844.2833010510612</v>
      </c>
      <c r="L9" s="41">
        <f t="shared" si="1"/>
        <v>6568.1104310841638</v>
      </c>
      <c r="M9" s="41">
        <f t="shared" si="1"/>
        <v>7381.5851170592869</v>
      </c>
      <c r="N9" s="41">
        <f t="shared" si="1"/>
        <v>8295.8104027183817</v>
      </c>
      <c r="O9" s="41">
        <f t="shared" si="1"/>
        <v>9323.2644677905682</v>
      </c>
      <c r="Q9" s="17" t="s">
        <v>80</v>
      </c>
      <c r="R9" s="39">
        <f>R5+R6-R7-R8</f>
        <v>755.48583683579591</v>
      </c>
      <c r="S9" s="39">
        <f t="shared" ref="S9:W9" si="2">S5+S6-S7-S8</f>
        <v>1128.4124250319626</v>
      </c>
      <c r="T9" s="39">
        <f t="shared" si="2"/>
        <v>1185.7005271969722</v>
      </c>
      <c r="U9" s="39">
        <f t="shared" si="2"/>
        <v>1245.8970754025113</v>
      </c>
      <c r="V9" s="39">
        <f t="shared" si="2"/>
        <v>1309.1497278542288</v>
      </c>
      <c r="W9" s="39">
        <f t="shared" si="2"/>
        <v>1375.613639182113</v>
      </c>
      <c r="X9" s="18"/>
      <c r="Y9" s="40" t="s">
        <v>80</v>
      </c>
      <c r="Z9" s="41">
        <f>Z5+Z6-Z7-Z8</f>
        <v>3547.1950596183215</v>
      </c>
      <c r="AA9" s="41">
        <f t="shared" ref="AA9:AE9" si="3">AA5+AA6-AA7-AA8</f>
        <v>3515.497152728668</v>
      </c>
      <c r="AB9" s="41">
        <f t="shared" si="3"/>
        <v>3781.1316407206614</v>
      </c>
      <c r="AC9" s="41">
        <f t="shared" si="3"/>
        <v>4066.8377368367014</v>
      </c>
      <c r="AD9" s="41">
        <f t="shared" si="3"/>
        <v>4374.1320719018358</v>
      </c>
      <c r="AE9" s="41">
        <f t="shared" si="3"/>
        <v>4704.6458748861851</v>
      </c>
      <c r="AG9" s="17" t="s">
        <v>80</v>
      </c>
      <c r="AH9" s="39">
        <f>AH5+AH6-AH7-AH8</f>
        <v>354.25834679756713</v>
      </c>
      <c r="AI9" s="39">
        <f t="shared" ref="AI9:AM9" si="4">AI5+AI6-AI7-AI8</f>
        <v>1061.8390383233764</v>
      </c>
      <c r="AJ9" s="39">
        <f t="shared" si="4"/>
        <v>1085.1575096682725</v>
      </c>
      <c r="AK9" s="39">
        <f t="shared" si="4"/>
        <v>1108.9880653180776</v>
      </c>
      <c r="AL9" s="39">
        <f t="shared" si="4"/>
        <v>1133.3419508785328</v>
      </c>
      <c r="AM9" s="39">
        <f t="shared" si="4"/>
        <v>1158.2306589140367</v>
      </c>
      <c r="AN9" s="18"/>
      <c r="AO9" s="40" t="s">
        <v>80</v>
      </c>
      <c r="AP9" s="41">
        <f>AP5+AP6-AP7-AP8</f>
        <v>3061.9131958655435</v>
      </c>
      <c r="AQ9" s="41">
        <f t="shared" ref="AQ9:AU9" si="5">AQ5+AQ6-AQ7-AQ8</f>
        <v>4390.0518105198007</v>
      </c>
      <c r="AR9" s="41">
        <f t="shared" si="5"/>
        <v>4837.6830686768526</v>
      </c>
      <c r="AS9" s="41">
        <f t="shared" si="5"/>
        <v>5330.9570098653739</v>
      </c>
      <c r="AT9" s="41">
        <f t="shared" si="5"/>
        <v>5874.5275863649404</v>
      </c>
      <c r="AU9" s="41">
        <f t="shared" si="5"/>
        <v>6473.5232903020869</v>
      </c>
    </row>
    <row r="10" spans="1:47" x14ac:dyDescent="0.3">
      <c r="A10" s="19"/>
      <c r="B10" s="42"/>
      <c r="C10" s="42"/>
      <c r="D10" s="42"/>
      <c r="E10" s="42"/>
      <c r="F10" s="42"/>
      <c r="G10" s="42"/>
      <c r="H10" s="17"/>
      <c r="I10" s="17"/>
      <c r="J10" s="43"/>
      <c r="K10" s="43"/>
      <c r="L10" s="43"/>
      <c r="M10" s="43"/>
      <c r="N10" s="43"/>
      <c r="O10" s="43"/>
      <c r="Q10" s="19"/>
      <c r="R10" s="42"/>
      <c r="S10" s="42"/>
      <c r="T10" s="42"/>
      <c r="U10" s="42"/>
      <c r="V10" s="42"/>
      <c r="W10" s="42"/>
      <c r="X10" s="17"/>
      <c r="Y10" s="17"/>
      <c r="Z10" s="43"/>
      <c r="AA10" s="43"/>
      <c r="AB10" s="43"/>
      <c r="AC10" s="43"/>
      <c r="AD10" s="43"/>
      <c r="AE10" s="43"/>
      <c r="AG10" s="19"/>
      <c r="AH10" s="42"/>
      <c r="AI10" s="42"/>
      <c r="AJ10" s="42"/>
      <c r="AK10" s="42"/>
      <c r="AL10" s="42"/>
      <c r="AM10" s="42"/>
      <c r="AN10" s="17"/>
      <c r="AO10" s="17"/>
      <c r="AP10" s="43"/>
      <c r="AQ10" s="43"/>
      <c r="AR10" s="43"/>
      <c r="AS10" s="43"/>
      <c r="AT10" s="43"/>
      <c r="AU10" s="43"/>
    </row>
    <row r="11" spans="1:47" x14ac:dyDescent="0.3">
      <c r="A11" s="18"/>
      <c r="B11" s="18"/>
      <c r="C11" s="18"/>
      <c r="D11" s="18"/>
      <c r="E11" s="18"/>
      <c r="F11" s="18"/>
      <c r="G11" s="18"/>
      <c r="H11" s="18"/>
      <c r="I11" s="18"/>
      <c r="J11" s="20"/>
      <c r="K11" s="20"/>
      <c r="L11" s="20"/>
      <c r="M11" s="20"/>
      <c r="N11" s="20"/>
      <c r="O11" s="20"/>
      <c r="Q11" s="18"/>
      <c r="R11" s="18"/>
      <c r="S11" s="18"/>
      <c r="T11" s="18"/>
      <c r="U11" s="18"/>
      <c r="V11" s="18"/>
      <c r="W11" s="18"/>
      <c r="X11" s="18"/>
      <c r="Y11" s="18"/>
      <c r="Z11" s="20"/>
      <c r="AA11" s="20"/>
      <c r="AB11" s="20"/>
      <c r="AC11" s="20"/>
      <c r="AD11" s="20"/>
      <c r="AE11" s="20"/>
      <c r="AG11" s="18"/>
      <c r="AH11" s="18"/>
      <c r="AI11" s="18"/>
      <c r="AJ11" s="18"/>
      <c r="AK11" s="18"/>
      <c r="AL11" s="18"/>
      <c r="AM11" s="18"/>
      <c r="AN11" s="18"/>
      <c r="AO11" s="18"/>
      <c r="AP11" s="20"/>
      <c r="AQ11" s="20"/>
      <c r="AR11" s="20"/>
      <c r="AS11" s="20"/>
      <c r="AT11" s="20"/>
      <c r="AU11" s="20"/>
    </row>
    <row r="12" spans="1:47" x14ac:dyDescent="0.3">
      <c r="A12" s="18" t="s">
        <v>81</v>
      </c>
      <c r="B12" s="20" t="s">
        <v>82</v>
      </c>
      <c r="C12" s="18"/>
      <c r="D12" s="18"/>
      <c r="E12" s="18"/>
      <c r="F12" s="18"/>
      <c r="G12" s="18"/>
      <c r="H12" s="18"/>
      <c r="I12" s="18" t="s">
        <v>81</v>
      </c>
      <c r="J12" s="20" t="s">
        <v>82</v>
      </c>
      <c r="K12" s="20"/>
      <c r="L12" s="20"/>
      <c r="M12" s="20"/>
      <c r="N12" s="20"/>
      <c r="O12" s="20"/>
      <c r="Q12" s="18" t="s">
        <v>81</v>
      </c>
      <c r="R12" s="20" t="s">
        <v>82</v>
      </c>
      <c r="S12" s="18"/>
      <c r="T12" s="18"/>
      <c r="U12" s="18"/>
      <c r="V12" s="18"/>
      <c r="W12" s="18"/>
      <c r="X12" s="18"/>
      <c r="Y12" s="18" t="s">
        <v>81</v>
      </c>
      <c r="Z12" s="20" t="s">
        <v>82</v>
      </c>
      <c r="AA12" s="20"/>
      <c r="AB12" s="20"/>
      <c r="AC12" s="20"/>
      <c r="AD12" s="20"/>
      <c r="AE12" s="20"/>
      <c r="AG12" s="18" t="s">
        <v>81</v>
      </c>
      <c r="AH12" s="20" t="s">
        <v>82</v>
      </c>
      <c r="AI12" s="18"/>
      <c r="AJ12" s="18"/>
      <c r="AK12" s="18"/>
      <c r="AL12" s="18"/>
      <c r="AM12" s="18"/>
      <c r="AN12" s="18"/>
      <c r="AO12" s="18" t="s">
        <v>81</v>
      </c>
      <c r="AP12" s="20" t="s">
        <v>82</v>
      </c>
      <c r="AQ12" s="20"/>
      <c r="AR12" s="20"/>
      <c r="AS12" s="20"/>
      <c r="AT12" s="20"/>
      <c r="AU12" s="20"/>
    </row>
    <row r="13" spans="1:47" x14ac:dyDescent="0.3">
      <c r="A13" s="18" t="s">
        <v>83</v>
      </c>
      <c r="B13" s="21">
        <f ca="1">G9*(1+'Assumptions &amp; WACC'!B25)/('Assumptions &amp; WACC'!B21-'Assumptions &amp; WACC'!B25)</f>
        <v>48329.189676720103</v>
      </c>
      <c r="C13" s="18"/>
      <c r="D13" s="18"/>
      <c r="E13" s="18"/>
      <c r="F13" s="18"/>
      <c r="G13" s="18"/>
      <c r="H13" s="18"/>
      <c r="I13" s="36" t="s">
        <v>83</v>
      </c>
      <c r="J13" s="37">
        <f ca="1">O9*(1+'Assumptions &amp; WACC'!C25)/('Assumptions &amp; WACC'!C21-'Assumptions &amp; WACC'!C25)</f>
        <v>113978.60678032492</v>
      </c>
      <c r="K13" s="20"/>
      <c r="L13" s="20"/>
      <c r="M13" s="20"/>
      <c r="N13" s="20"/>
      <c r="O13" s="20"/>
      <c r="Q13" s="18" t="s">
        <v>83</v>
      </c>
      <c r="R13" s="21">
        <f ca="1">W9*(1+'Assumptions &amp; WACC'!D25)/('Assumptions &amp; WACC'!D21-'Assumptions &amp; WACC'!D25)</f>
        <v>14535.863153162758</v>
      </c>
      <c r="S13" s="18"/>
      <c r="T13" s="18"/>
      <c r="U13" s="18"/>
      <c r="V13" s="18"/>
      <c r="W13" s="18"/>
      <c r="X13" s="18"/>
      <c r="Y13" s="36" t="s">
        <v>83</v>
      </c>
      <c r="Z13" s="37">
        <f ca="1">AE9*(1+'Assumptions &amp; WACC'!E25)/('Assumptions &amp; WACC'!E21-'Assumptions &amp; WACC'!E25)</f>
        <v>104682.78553349852</v>
      </c>
      <c r="AA13" s="20"/>
      <c r="AB13" s="20"/>
      <c r="AC13" s="20"/>
      <c r="AD13" s="20"/>
      <c r="AE13" s="20"/>
      <c r="AG13" s="18" t="s">
        <v>83</v>
      </c>
      <c r="AH13" s="21">
        <f ca="1">AM9*(1+'Assumptions &amp; WACC'!F25)/('Assumptions &amp; WACC'!F21-'Assumptions &amp; WACC'!F25)</f>
        <v>31191.741632143807</v>
      </c>
      <c r="AI13" s="18"/>
      <c r="AJ13" s="18"/>
      <c r="AK13" s="18"/>
      <c r="AL13" s="18"/>
      <c r="AM13" s="18"/>
      <c r="AN13" s="18"/>
      <c r="AO13" s="36" t="s">
        <v>83</v>
      </c>
      <c r="AP13" s="37">
        <f ca="1">AU9*(1+'Assumptions &amp; WACC'!G25)/('Assumptions &amp; WACC'!G21-'Assumptions &amp; WACC'!G25)</f>
        <v>229884.08644192811</v>
      </c>
      <c r="AQ13" s="20"/>
      <c r="AR13" s="20"/>
      <c r="AS13" s="20"/>
      <c r="AT13" s="20"/>
      <c r="AU13" s="20"/>
    </row>
    <row r="14" spans="1:47" x14ac:dyDescent="0.3">
      <c r="A14" s="18" t="s">
        <v>84</v>
      </c>
      <c r="B14" s="21">
        <f ca="1">B13*'Assumptions &amp; WACC'!B23</f>
        <v>25387.057540093778</v>
      </c>
      <c r="C14" s="18"/>
      <c r="D14" s="18"/>
      <c r="E14" s="18"/>
      <c r="F14" s="18"/>
      <c r="G14" s="18"/>
      <c r="H14" s="18"/>
      <c r="I14" s="36" t="s">
        <v>84</v>
      </c>
      <c r="J14" s="37">
        <f ca="1">J13*'Assumptions &amp; WACC'!C23</f>
        <v>63145.785858865005</v>
      </c>
      <c r="K14" s="20"/>
      <c r="L14" s="20"/>
      <c r="M14" s="20"/>
      <c r="N14" s="20"/>
      <c r="O14" s="20"/>
      <c r="Q14" s="18" t="s">
        <v>84</v>
      </c>
      <c r="R14" s="21">
        <f ca="1">R13*'Assumptions &amp; WACC'!D23</f>
        <v>7393.3785214966692</v>
      </c>
      <c r="S14" s="18"/>
      <c r="T14" s="18"/>
      <c r="U14" s="18"/>
      <c r="V14" s="18"/>
      <c r="W14" s="18"/>
      <c r="X14" s="18"/>
      <c r="Y14" s="36" t="s">
        <v>84</v>
      </c>
      <c r="Z14" s="37">
        <f ca="1">Z13*'Assumptions &amp; WACC'!E23</f>
        <v>79454.045796247723</v>
      </c>
      <c r="AA14" s="20"/>
      <c r="AB14" s="20"/>
      <c r="AC14" s="20"/>
      <c r="AD14" s="20"/>
      <c r="AE14" s="20"/>
      <c r="AG14" s="18" t="s">
        <v>84</v>
      </c>
      <c r="AH14" s="21">
        <f ca="1">AH13*'Assumptions &amp; WACC'!F23</f>
        <v>22255.269883567085</v>
      </c>
      <c r="AI14" s="18"/>
      <c r="AJ14" s="18"/>
      <c r="AK14" s="18"/>
      <c r="AL14" s="18"/>
      <c r="AM14" s="18"/>
      <c r="AN14" s="18"/>
      <c r="AO14" s="36" t="s">
        <v>84</v>
      </c>
      <c r="AP14" s="37">
        <f ca="1">AP13*'Assumptions &amp; WACC'!G23</f>
        <v>162975.1824357294</v>
      </c>
      <c r="AQ14" s="20"/>
      <c r="AR14" s="20"/>
      <c r="AS14" s="20"/>
      <c r="AT14" s="20"/>
      <c r="AU14" s="20"/>
    </row>
    <row r="15" spans="1:47" x14ac:dyDescent="0.3">
      <c r="A15" s="18" t="s">
        <v>85</v>
      </c>
      <c r="B15" s="21">
        <f ca="1">NPV('Assumptions &amp; WACC'!B21,DCF!B9:G9)</f>
        <v>14038.493853635351</v>
      </c>
      <c r="C15" s="18"/>
      <c r="D15" s="18"/>
      <c r="E15" s="18"/>
      <c r="F15" s="18"/>
      <c r="G15" s="18"/>
      <c r="H15" s="18"/>
      <c r="I15" s="36" t="s">
        <v>85</v>
      </c>
      <c r="J15" s="37">
        <f ca="1">NPV('Assumptions &amp; WACC'!C21,DCF!J9:O9)</f>
        <v>28122.389294292749</v>
      </c>
      <c r="K15" s="20"/>
      <c r="L15" s="20"/>
      <c r="M15" s="20"/>
      <c r="N15" s="20"/>
      <c r="O15" s="20"/>
      <c r="Q15" s="18" t="s">
        <v>85</v>
      </c>
      <c r="R15" s="21">
        <f ca="1">NPV('Assumptions &amp; WACC'!D21,DCF!R9:W9)</f>
        <v>4660.1891297778457</v>
      </c>
      <c r="S15" s="18"/>
      <c r="T15" s="18"/>
      <c r="U15" s="18"/>
      <c r="V15" s="18"/>
      <c r="W15" s="18"/>
      <c r="X15" s="18"/>
      <c r="Y15" s="36" t="s">
        <v>85</v>
      </c>
      <c r="Z15" s="37">
        <f ca="1">NPV('Assumptions &amp; WACC'!E21,DCF!Z9:AE9)</f>
        <v>20319.581242827251</v>
      </c>
      <c r="AA15" s="20"/>
      <c r="AB15" s="20"/>
      <c r="AC15" s="20"/>
      <c r="AD15" s="20"/>
      <c r="AE15" s="20"/>
      <c r="AG15" s="18" t="s">
        <v>85</v>
      </c>
      <c r="AH15" s="21">
        <f ca="1">NPV('Assumptions &amp; WACC'!F21,DCF!AH9:AM9)</f>
        <v>4767.6657371205438</v>
      </c>
      <c r="AI15" s="18"/>
      <c r="AJ15" s="18"/>
      <c r="AK15" s="18"/>
      <c r="AL15" s="18"/>
      <c r="AM15" s="18"/>
      <c r="AN15" s="18"/>
      <c r="AO15" s="36" t="s">
        <v>85</v>
      </c>
      <c r="AP15" s="37">
        <f ca="1">NPV('Assumptions &amp; WACC'!G21,DCF!AP9:AU9)</f>
        <v>24117.405393088091</v>
      </c>
      <c r="AQ15" s="20"/>
      <c r="AR15" s="20"/>
      <c r="AS15" s="20"/>
      <c r="AT15" s="20"/>
      <c r="AU15" s="20"/>
    </row>
    <row r="16" spans="1:47" x14ac:dyDescent="0.3">
      <c r="A16" s="18" t="s">
        <v>86</v>
      </c>
      <c r="B16" s="21">
        <f ca="1">B14+B15</f>
        <v>39425.551393729125</v>
      </c>
      <c r="C16" s="18"/>
      <c r="D16" s="18"/>
      <c r="E16" s="18"/>
      <c r="F16" s="18"/>
      <c r="G16" s="18"/>
      <c r="H16" s="18"/>
      <c r="I16" s="36" t="s">
        <v>86</v>
      </c>
      <c r="J16" s="37">
        <f ca="1">J14+J15</f>
        <v>91268.175153157761</v>
      </c>
      <c r="K16" s="20"/>
      <c r="L16" s="20"/>
      <c r="M16" s="20"/>
      <c r="N16" s="20"/>
      <c r="O16" s="20"/>
      <c r="Q16" s="18" t="s">
        <v>86</v>
      </c>
      <c r="R16" s="21">
        <f ca="1">R14+R15</f>
        <v>12053.567651274516</v>
      </c>
      <c r="S16" s="18"/>
      <c r="T16" s="18"/>
      <c r="U16" s="18"/>
      <c r="V16" s="18"/>
      <c r="W16" s="18"/>
      <c r="X16" s="18"/>
      <c r="Y16" s="36" t="s">
        <v>86</v>
      </c>
      <c r="Z16" s="37">
        <f ca="1">Z14+Z15</f>
        <v>99773.627039074971</v>
      </c>
      <c r="AA16" s="20"/>
      <c r="AB16" s="20"/>
      <c r="AC16" s="20"/>
      <c r="AD16" s="20"/>
      <c r="AE16" s="20"/>
      <c r="AG16" s="18" t="s">
        <v>86</v>
      </c>
      <c r="AH16" s="21">
        <f ca="1">AH14+AH15</f>
        <v>27022.935620687629</v>
      </c>
      <c r="AI16" s="18"/>
      <c r="AJ16" s="18"/>
      <c r="AK16" s="18"/>
      <c r="AL16" s="18"/>
      <c r="AM16" s="18"/>
      <c r="AN16" s="18"/>
      <c r="AO16" s="36" t="s">
        <v>86</v>
      </c>
      <c r="AP16" s="37">
        <f ca="1">AP14+AP15</f>
        <v>187092.58782881749</v>
      </c>
      <c r="AQ16" s="20"/>
      <c r="AR16" s="20"/>
      <c r="AS16" s="20"/>
      <c r="AT16" s="20"/>
      <c r="AU16" s="20"/>
    </row>
    <row r="17" spans="1:47" x14ac:dyDescent="0.3">
      <c r="A17" s="18" t="s">
        <v>87</v>
      </c>
      <c r="B17" s="21">
        <f>'Assumptions &amp; WACC'!B16-'Assumptions &amp; WACC'!B24</f>
        <v>2350</v>
      </c>
      <c r="C17" s="18"/>
      <c r="D17" s="18"/>
      <c r="E17" s="18"/>
      <c r="F17" s="18"/>
      <c r="G17" s="18"/>
      <c r="H17" s="18"/>
      <c r="I17" s="36" t="s">
        <v>87</v>
      </c>
      <c r="J17" s="37">
        <f>'Assumptions &amp; WACC'!C16-'Assumptions &amp; WACC'!C24</f>
        <v>5025</v>
      </c>
      <c r="K17" s="20"/>
      <c r="L17" s="20"/>
      <c r="M17" s="20"/>
      <c r="N17" s="20"/>
      <c r="O17" s="20"/>
      <c r="Q17" s="18" t="s">
        <v>87</v>
      </c>
      <c r="R17" s="21">
        <f>'Assumptions &amp; WACC'!D16-'Assumptions &amp; WACC'!D24</f>
        <v>1407</v>
      </c>
      <c r="S17" s="18"/>
      <c r="T17" s="18"/>
      <c r="U17" s="18"/>
      <c r="V17" s="18"/>
      <c r="W17" s="18"/>
      <c r="X17" s="18"/>
      <c r="Y17" s="36" t="s">
        <v>87</v>
      </c>
      <c r="Z17" s="37">
        <f>'Assumptions &amp; WACC'!E16-'Assumptions &amp; WACC'!E24</f>
        <v>1357</v>
      </c>
      <c r="AA17" s="20"/>
      <c r="AB17" s="20"/>
      <c r="AC17" s="20"/>
      <c r="AD17" s="20"/>
      <c r="AE17" s="20"/>
      <c r="AG17" s="18" t="s">
        <v>87</v>
      </c>
      <c r="AH17" s="21">
        <f>'Assumptions &amp; WACC'!F16-'Assumptions &amp; WACC'!F24</f>
        <v>14019</v>
      </c>
      <c r="AI17" s="18"/>
      <c r="AJ17" s="18"/>
      <c r="AK17" s="18"/>
      <c r="AL17" s="18"/>
      <c r="AM17" s="18"/>
      <c r="AN17" s="18"/>
      <c r="AO17" s="36" t="s">
        <v>87</v>
      </c>
      <c r="AP17" s="37">
        <f>'Assumptions &amp; WACC'!G16-'Assumptions &amp; WACC'!G24</f>
        <v>4857</v>
      </c>
      <c r="AQ17" s="20"/>
      <c r="AR17" s="20"/>
      <c r="AS17" s="20"/>
      <c r="AT17" s="20"/>
      <c r="AU17" s="20"/>
    </row>
    <row r="18" spans="1:47" x14ac:dyDescent="0.3">
      <c r="A18" s="18" t="s">
        <v>88</v>
      </c>
      <c r="B18" s="21">
        <f ca="1">B16-B17</f>
        <v>37075.551393729125</v>
      </c>
      <c r="C18" s="18"/>
      <c r="D18" s="18"/>
      <c r="E18" s="18"/>
      <c r="F18" s="18"/>
      <c r="G18" s="18"/>
      <c r="H18" s="18"/>
      <c r="I18" s="36" t="s">
        <v>88</v>
      </c>
      <c r="J18" s="37">
        <f ca="1">J16-J17</f>
        <v>86243.175153157761</v>
      </c>
      <c r="K18" s="20"/>
      <c r="L18" s="20"/>
      <c r="M18" s="20"/>
      <c r="N18" s="20"/>
      <c r="O18" s="20"/>
      <c r="Q18" s="18" t="s">
        <v>88</v>
      </c>
      <c r="R18" s="21">
        <f ca="1">R16-R17</f>
        <v>10646.567651274516</v>
      </c>
      <c r="S18" s="18"/>
      <c r="T18" s="18"/>
      <c r="U18" s="18"/>
      <c r="V18" s="18"/>
      <c r="W18" s="18"/>
      <c r="X18" s="18"/>
      <c r="Y18" s="36" t="s">
        <v>88</v>
      </c>
      <c r="Z18" s="37">
        <f ca="1">Z16-Z17</f>
        <v>98416.627039074971</v>
      </c>
      <c r="AA18" s="20"/>
      <c r="AB18" s="20"/>
      <c r="AC18" s="20"/>
      <c r="AD18" s="20"/>
      <c r="AE18" s="20"/>
      <c r="AG18" s="18" t="s">
        <v>88</v>
      </c>
      <c r="AH18" s="21">
        <f ca="1">AH16-AH17</f>
        <v>13003.935620687629</v>
      </c>
      <c r="AI18" s="18"/>
      <c r="AJ18" s="18"/>
      <c r="AK18" s="18"/>
      <c r="AL18" s="18"/>
      <c r="AM18" s="18"/>
      <c r="AN18" s="18"/>
      <c r="AO18" s="36" t="s">
        <v>88</v>
      </c>
      <c r="AP18" s="37">
        <f ca="1">AP16-AP17</f>
        <v>182235.58782881749</v>
      </c>
      <c r="AQ18" s="20"/>
      <c r="AR18" s="20"/>
      <c r="AS18" s="20"/>
      <c r="AT18" s="20"/>
      <c r="AU18" s="20"/>
    </row>
    <row r="19" spans="1:47" x14ac:dyDescent="0.3">
      <c r="A19" s="18" t="s">
        <v>4</v>
      </c>
      <c r="B19" s="21">
        <f>'Assumptions &amp; WACC'!B26</f>
        <v>238</v>
      </c>
      <c r="C19" s="18"/>
      <c r="D19" s="18"/>
      <c r="E19" s="18"/>
      <c r="F19" s="18"/>
      <c r="G19" s="18"/>
      <c r="H19" s="18"/>
      <c r="I19" s="36" t="s">
        <v>4</v>
      </c>
      <c r="J19" s="37">
        <f>'Assumptions &amp; WACC'!C26</f>
        <v>1445</v>
      </c>
      <c r="K19" s="20"/>
      <c r="L19" s="20"/>
      <c r="M19" s="20"/>
      <c r="N19" s="20"/>
      <c r="O19" s="20"/>
      <c r="Q19" s="18" t="s">
        <v>4</v>
      </c>
      <c r="R19" s="21">
        <f ca="1">'Assumptions &amp; WACC'!D26</f>
        <v>258.964</v>
      </c>
      <c r="S19" s="18"/>
      <c r="T19" s="18"/>
      <c r="U19" s="18"/>
      <c r="V19" s="18"/>
      <c r="W19" s="18"/>
      <c r="X19" s="18"/>
      <c r="Y19" s="36" t="s">
        <v>4</v>
      </c>
      <c r="Z19" s="37">
        <f ca="1">'Assumptions &amp; WACC'!E26</f>
        <v>10.667450000000001</v>
      </c>
      <c r="AA19" s="20"/>
      <c r="AB19" s="20"/>
      <c r="AC19" s="20"/>
      <c r="AD19" s="20"/>
      <c r="AE19" s="20"/>
      <c r="AG19" s="18" t="s">
        <v>4</v>
      </c>
      <c r="AH19" s="21">
        <f ca="1">'Assumptions &amp; WACC'!F26</f>
        <v>710.76739999999995</v>
      </c>
      <c r="AI19" s="18"/>
      <c r="AJ19" s="18"/>
      <c r="AK19" s="18"/>
      <c r="AL19" s="18"/>
      <c r="AM19" s="18"/>
      <c r="AN19" s="18"/>
      <c r="AO19" s="36" t="s">
        <v>4</v>
      </c>
      <c r="AP19" s="37">
        <f ca="1">'Assumptions &amp; WACC'!G26</f>
        <v>1091.2629999999999</v>
      </c>
      <c r="AQ19" s="20"/>
      <c r="AR19" s="20"/>
      <c r="AS19" s="20"/>
      <c r="AT19" s="20"/>
      <c r="AU19" s="20"/>
    </row>
    <row r="20" spans="1:47" x14ac:dyDescent="0.3">
      <c r="A20" s="18" t="s">
        <v>89</v>
      </c>
      <c r="B20" s="21">
        <f ca="1">B18/B19</f>
        <v>155.77962770474423</v>
      </c>
      <c r="C20" s="18"/>
      <c r="D20" s="18"/>
      <c r="E20" s="18"/>
      <c r="F20" s="18"/>
      <c r="G20" s="18"/>
      <c r="H20" s="18"/>
      <c r="I20" s="36" t="s">
        <v>89</v>
      </c>
      <c r="J20" s="37">
        <f ca="1">J18/J19</f>
        <v>59.68385823747942</v>
      </c>
      <c r="K20" s="20"/>
      <c r="L20" s="20"/>
      <c r="M20" s="20"/>
      <c r="N20" s="20"/>
      <c r="O20" s="20"/>
      <c r="Q20" s="18" t="s">
        <v>89</v>
      </c>
      <c r="R20" s="21">
        <f ca="1">R18/R19</f>
        <v>41.112153238575694</v>
      </c>
      <c r="S20" s="18"/>
      <c r="T20" s="18"/>
      <c r="U20" s="18"/>
      <c r="V20" s="18"/>
      <c r="W20" s="18"/>
      <c r="X20" s="18"/>
      <c r="Y20" s="36" t="s">
        <v>89</v>
      </c>
      <c r="Z20" s="37">
        <f ca="1">Z18/Z19</f>
        <v>9225.8812592583017</v>
      </c>
      <c r="AA20" s="20"/>
      <c r="AB20" s="20"/>
      <c r="AC20" s="20"/>
      <c r="AD20" s="20"/>
      <c r="AE20" s="20"/>
      <c r="AG20" s="18" t="s">
        <v>89</v>
      </c>
      <c r="AH20" s="21">
        <f ca="1">AH18/AH19</f>
        <v>18.295627543817613</v>
      </c>
      <c r="AI20" s="18"/>
      <c r="AJ20" s="18"/>
      <c r="AK20" s="18"/>
      <c r="AL20" s="18"/>
      <c r="AM20" s="18"/>
      <c r="AN20" s="18"/>
      <c r="AO20" s="36" t="s">
        <v>89</v>
      </c>
      <c r="AP20" s="37">
        <f ca="1">AP18/AP19</f>
        <v>166.99511284522384</v>
      </c>
      <c r="AQ20" s="20"/>
      <c r="AR20" s="20"/>
      <c r="AS20" s="20"/>
      <c r="AT20" s="20"/>
      <c r="AU20" s="20"/>
    </row>
    <row r="21" spans="1:47" x14ac:dyDescent="0.3">
      <c r="A21" s="18" t="s">
        <v>90</v>
      </c>
      <c r="B21" s="21">
        <f ca="1">'Company Profile'!B3</f>
        <v>148.58000000000001</v>
      </c>
      <c r="C21" s="18"/>
      <c r="D21" s="18"/>
      <c r="E21" s="18"/>
      <c r="F21" s="18"/>
      <c r="G21" s="18"/>
      <c r="H21" s="18"/>
      <c r="I21" s="36" t="s">
        <v>90</v>
      </c>
      <c r="J21" s="37">
        <f ca="1">'Company Profile'!C3</f>
        <v>41.24</v>
      </c>
      <c r="K21" s="20"/>
      <c r="L21" s="20"/>
      <c r="M21" s="20"/>
      <c r="N21" s="20"/>
      <c r="O21" s="20"/>
      <c r="Q21" s="18" t="s">
        <v>90</v>
      </c>
      <c r="R21" s="21">
        <f ca="1">'Company Profile'!D3</f>
        <v>36.72</v>
      </c>
      <c r="S21" s="18"/>
      <c r="T21" s="18"/>
      <c r="U21" s="18"/>
      <c r="V21" s="18"/>
      <c r="W21" s="18"/>
      <c r="X21" s="18"/>
      <c r="Y21" s="36" t="s">
        <v>90</v>
      </c>
      <c r="Z21" s="37">
        <f ca="1">'Company Profile'!E3</f>
        <v>6.09</v>
      </c>
      <c r="AA21" s="20"/>
      <c r="AB21" s="20"/>
      <c r="AC21" s="20"/>
      <c r="AD21" s="20"/>
      <c r="AE21" s="20"/>
      <c r="AG21" s="18" t="s">
        <v>90</v>
      </c>
      <c r="AH21" s="21">
        <f ca="1">'Company Profile'!F3</f>
        <v>21.315000000000001</v>
      </c>
      <c r="AI21" s="18"/>
      <c r="AJ21" s="18"/>
      <c r="AK21" s="18"/>
      <c r="AL21" s="18"/>
      <c r="AM21" s="18"/>
      <c r="AN21" s="18"/>
      <c r="AO21" s="36" t="s">
        <v>90</v>
      </c>
      <c r="AP21" s="37">
        <f ca="1">'Company Profile'!G3</f>
        <v>87.42</v>
      </c>
      <c r="AQ21" s="20"/>
      <c r="AR21" s="20"/>
      <c r="AS21" s="20"/>
      <c r="AT21" s="20"/>
      <c r="AU21" s="20"/>
    </row>
    <row r="22" spans="1:47" x14ac:dyDescent="0.3">
      <c r="A22" s="18" t="s">
        <v>91</v>
      </c>
      <c r="B22" s="46">
        <f ca="1">(B20-B21)/B21</f>
        <v>4.8456237075947067E-2</v>
      </c>
      <c r="C22" s="18"/>
      <c r="D22" s="18"/>
      <c r="E22" s="18"/>
      <c r="F22" s="18"/>
      <c r="G22" s="18"/>
      <c r="H22" s="18"/>
      <c r="I22" s="36" t="s">
        <v>91</v>
      </c>
      <c r="J22" s="47">
        <f ca="1">(J20-J21)/J21</f>
        <v>0.44723225600095579</v>
      </c>
      <c r="K22" s="20"/>
      <c r="L22" s="20"/>
      <c r="M22" s="20"/>
      <c r="N22" s="20"/>
      <c r="O22" s="20"/>
      <c r="Q22" s="18" t="s">
        <v>91</v>
      </c>
      <c r="R22" s="46">
        <f ca="1">(R20-R21)/R21</f>
        <v>0.11961201630108101</v>
      </c>
      <c r="S22" s="18"/>
      <c r="T22" s="18"/>
      <c r="U22" s="18"/>
      <c r="V22" s="18"/>
      <c r="W22" s="18"/>
      <c r="X22" s="18"/>
      <c r="Y22" s="36" t="s">
        <v>91</v>
      </c>
      <c r="Z22" s="47">
        <f ca="1">(Z20-Z21)/Z21</f>
        <v>1513.9230310768969</v>
      </c>
      <c r="AA22" s="20"/>
      <c r="AB22" s="20"/>
      <c r="AC22" s="20"/>
      <c r="AD22" s="20"/>
      <c r="AE22" s="20"/>
      <c r="AG22" s="18" t="s">
        <v>91</v>
      </c>
      <c r="AH22" s="46">
        <f ca="1">(AH20-AH21)/AH21</f>
        <v>-0.14165481849319203</v>
      </c>
      <c r="AI22" s="18"/>
      <c r="AJ22" s="18"/>
      <c r="AK22" s="18"/>
      <c r="AL22" s="18"/>
      <c r="AM22" s="18"/>
      <c r="AN22" s="18"/>
      <c r="AO22" s="36" t="s">
        <v>91</v>
      </c>
      <c r="AP22" s="47">
        <f ca="1">(AP20-AP21)/AP21</f>
        <v>0.91026210072321945</v>
      </c>
      <c r="AQ22" s="20"/>
      <c r="AR22" s="20"/>
      <c r="AS22" s="20"/>
      <c r="AT22" s="20"/>
      <c r="AU22" s="20"/>
    </row>
  </sheetData>
  <conditionalFormatting sqref="B22">
    <cfRule type="cellIs" dxfId="13" priority="11" operator="lessThan">
      <formula>0</formula>
    </cfRule>
    <cfRule type="cellIs" dxfId="12" priority="12" operator="greaterThan">
      <formula>0</formula>
    </cfRule>
  </conditionalFormatting>
  <conditionalFormatting sqref="J22">
    <cfRule type="cellIs" dxfId="11" priority="9" operator="lessThan">
      <formula>0</formula>
    </cfRule>
    <cfRule type="cellIs" dxfId="10" priority="10" operator="greaterThan">
      <formula>0</formula>
    </cfRule>
  </conditionalFormatting>
  <conditionalFormatting sqref="R22">
    <cfRule type="cellIs" dxfId="9" priority="7" operator="lessThan">
      <formula>0</formula>
    </cfRule>
    <cfRule type="cellIs" dxfId="8" priority="8" operator="greaterThan">
      <formula>0</formula>
    </cfRule>
  </conditionalFormatting>
  <conditionalFormatting sqref="Z22">
    <cfRule type="cellIs" dxfId="7" priority="5" operator="lessThan">
      <formula>0</formula>
    </cfRule>
    <cfRule type="cellIs" dxfId="6" priority="6" operator="greaterThan">
      <formula>0</formula>
    </cfRule>
  </conditionalFormatting>
  <conditionalFormatting sqref="AH22">
    <cfRule type="cellIs" dxfId="5" priority="3" operator="lessThan">
      <formula>0</formula>
    </cfRule>
    <cfRule type="cellIs" dxfId="4" priority="4" operator="greaterThan">
      <formula>0</formula>
    </cfRule>
  </conditionalFormatting>
  <conditionalFormatting sqref="AP22">
    <cfRule type="cellIs" dxfId="3" priority="1" operator="lessThan">
      <formula>0</formula>
    </cfRule>
    <cfRule type="cellIs" dxfId="2" priority="2" operator="greaterThan">
      <formula>0</formula>
    </cfRule>
  </conditionalFormatting>
  <pageMargins left="0.7" right="0.7" top="0.75" bottom="0.75" header="0.3" footer="0.3"/>
  <tableParts count="12">
    <tablePart r:id="rId1"/>
    <tablePart r:id="rId2"/>
    <tablePart r:id="rId3"/>
    <tablePart r:id="rId4"/>
    <tablePart r:id="rId5"/>
    <tablePart r:id="rId6"/>
    <tablePart r:id="rId7"/>
    <tablePart r:id="rId8"/>
    <tablePart r:id="rId9"/>
    <tablePart r:id="rId10"/>
    <tablePart r:id="rId11"/>
    <tablePart r:id="rId1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0964A-4A75-443E-B6F4-52A531B8EC94}">
  <dimension ref="A1:M28"/>
  <sheetViews>
    <sheetView topLeftCell="C1" workbookViewId="0">
      <selection activeCell="M24" sqref="M24"/>
    </sheetView>
  </sheetViews>
  <sheetFormatPr defaultRowHeight="14.4" x14ac:dyDescent="0.3"/>
  <cols>
    <col min="1" max="1" width="58.44140625" bestFit="1" customWidth="1"/>
    <col min="2" max="2" width="10.21875" bestFit="1" customWidth="1"/>
    <col min="3" max="3" width="10.77734375" bestFit="1" customWidth="1"/>
    <col min="4" max="4" width="9.88671875" bestFit="1" customWidth="1"/>
    <col min="5" max="5" width="10.5546875" bestFit="1" customWidth="1"/>
    <col min="8" max="8" width="11" customWidth="1"/>
    <col min="9" max="11" width="10.88671875" bestFit="1" customWidth="1"/>
    <col min="12" max="12" width="12.33203125" bestFit="1" customWidth="1"/>
  </cols>
  <sheetData>
    <row r="1" spans="1:13" x14ac:dyDescent="0.3">
      <c r="A1" s="17" t="s">
        <v>92</v>
      </c>
      <c r="B1" s="23"/>
      <c r="C1" s="23"/>
      <c r="D1" s="23"/>
      <c r="E1" s="23"/>
      <c r="F1" s="18"/>
      <c r="G1" s="18"/>
      <c r="H1" s="48"/>
      <c r="I1" s="23"/>
      <c r="J1" s="23"/>
      <c r="K1" s="23"/>
      <c r="L1" s="23"/>
    </row>
    <row r="2" spans="1:13" x14ac:dyDescent="0.3">
      <c r="A2" s="60" t="s">
        <v>0</v>
      </c>
      <c r="B2" s="61" t="s">
        <v>93</v>
      </c>
      <c r="C2" s="61" t="s">
        <v>8</v>
      </c>
      <c r="D2" s="61" t="s">
        <v>94</v>
      </c>
      <c r="E2" s="61" t="s">
        <v>95</v>
      </c>
      <c r="F2" s="18"/>
      <c r="G2" s="18"/>
      <c r="H2" s="48"/>
      <c r="I2" s="23"/>
      <c r="J2" s="23"/>
      <c r="K2" s="23"/>
      <c r="L2" s="23"/>
    </row>
    <row r="3" spans="1:13" x14ac:dyDescent="0.3">
      <c r="A3" s="24" t="e" vm="8">
        <v>#VALUE!</v>
      </c>
      <c r="B3" s="32">
        <v>6.87</v>
      </c>
      <c r="C3" s="32" cm="1">
        <f t="array" aca="1" ref="C3" ca="1">_FV(A3,"P/E",TRUE)</f>
        <v>20.5136</v>
      </c>
      <c r="D3" s="32">
        <v>1.01</v>
      </c>
      <c r="E3" s="32">
        <v>1.9</v>
      </c>
      <c r="F3" s="18"/>
      <c r="G3" s="18"/>
      <c r="H3" s="62" t="s">
        <v>0</v>
      </c>
      <c r="I3" s="63" t="s">
        <v>93</v>
      </c>
      <c r="J3" s="63" t="s">
        <v>8</v>
      </c>
      <c r="K3" s="63" t="s">
        <v>94</v>
      </c>
      <c r="L3" s="63" t="s">
        <v>95</v>
      </c>
      <c r="M3" s="63" t="s">
        <v>134</v>
      </c>
    </row>
    <row r="4" spans="1:13" x14ac:dyDescent="0.3">
      <c r="A4" s="24" t="e" vm="9">
        <v>#VALUE!</v>
      </c>
      <c r="B4" s="32">
        <v>7.64</v>
      </c>
      <c r="C4" s="32" cm="1">
        <f t="array" aca="1" ref="C4" ca="1">_FV(A4,"P/E",TRUE)</f>
        <v>79.858699999999999</v>
      </c>
      <c r="D4" s="32">
        <v>0.91</v>
      </c>
      <c r="E4" s="32">
        <v>1.63</v>
      </c>
      <c r="F4" s="18"/>
      <c r="G4" s="18"/>
      <c r="H4" s="49" t="s">
        <v>71</v>
      </c>
      <c r="I4" s="37">
        <f>(B23*$B$20)/$M$4</f>
        <v>181.48867647058827</v>
      </c>
      <c r="J4" s="37">
        <f t="shared" ref="J4:L4" si="0">(C23*$B$20)/$M$4</f>
        <v>38.761654411764717</v>
      </c>
      <c r="K4" s="37">
        <f t="shared" si="0"/>
        <v>1319.2698634453786</v>
      </c>
      <c r="L4" s="37">
        <f t="shared" si="0"/>
        <v>919.33372373949601</v>
      </c>
      <c r="M4" s="91">
        <f>'Assumptions &amp; WACC'!B26</f>
        <v>238</v>
      </c>
    </row>
    <row r="5" spans="1:13" x14ac:dyDescent="0.3">
      <c r="A5" s="24" t="e" vm="10">
        <v>#VALUE!</v>
      </c>
      <c r="B5" s="32">
        <v>9.86</v>
      </c>
      <c r="C5" s="32" cm="1">
        <f t="array" aca="1" ref="C5" ca="1">_FV(A5,"P/E",TRUE)</f>
        <v>11.9589</v>
      </c>
      <c r="D5" s="32">
        <v>0.3</v>
      </c>
      <c r="E5" s="32">
        <v>0.33</v>
      </c>
      <c r="F5" s="18"/>
      <c r="G5" s="18"/>
      <c r="H5" s="49" t="s">
        <v>72</v>
      </c>
      <c r="I5" s="37">
        <f>(B24*$B$20)/$M$5</f>
        <v>80.21700519031144</v>
      </c>
      <c r="J5" s="37">
        <f t="shared" ref="J5:L5" si="1">(C24*$B$20)/$M$5</f>
        <v>28.435818339100351</v>
      </c>
      <c r="K5" s="37">
        <f t="shared" si="1"/>
        <v>179.96861159169552</v>
      </c>
      <c r="L5" s="37">
        <f t="shared" si="1"/>
        <v>203.46245155709346</v>
      </c>
      <c r="M5" s="92">
        <f>'Assumptions &amp; WACC'!C26</f>
        <v>1445</v>
      </c>
    </row>
    <row r="6" spans="1:13" x14ac:dyDescent="0.3">
      <c r="A6" s="24" t="e" vm="11">
        <v>#VALUE!</v>
      </c>
      <c r="B6" s="32">
        <v>4.24</v>
      </c>
      <c r="C6" s="32">
        <v>7.81</v>
      </c>
      <c r="D6" s="32">
        <v>0.57999999999999996</v>
      </c>
      <c r="E6" s="32">
        <v>0.66</v>
      </c>
      <c r="F6" s="18"/>
      <c r="G6" s="18"/>
      <c r="H6" s="49" t="s">
        <v>124</v>
      </c>
      <c r="I6" s="37">
        <f ca="1">(B25*$B$20)/$M$6</f>
        <v>68.209852527764497</v>
      </c>
      <c r="J6" s="37">
        <f t="shared" ref="J6:L6" ca="1" si="2">(C25*$B$20)/$M$6</f>
        <v>0.94681113977232378</v>
      </c>
      <c r="K6" s="37">
        <f t="shared" ca="1" si="2"/>
        <v>469.26327114965795</v>
      </c>
      <c r="L6" s="37">
        <f t="shared" ca="1" si="2"/>
        <v>203.44604365857808</v>
      </c>
      <c r="M6" s="92">
        <f ca="1">'Assumptions &amp; WACC'!D26</f>
        <v>258.964</v>
      </c>
    </row>
    <row r="7" spans="1:13" x14ac:dyDescent="0.3">
      <c r="A7" s="24" t="e" vm="12">
        <v>#VALUE!</v>
      </c>
      <c r="B7" s="32">
        <v>10.050000000000001</v>
      </c>
      <c r="C7" s="32" cm="1">
        <f t="array" aca="1" ref="C7" ca="1">_FV(A7,"P/E",TRUE)</f>
        <v>31.57</v>
      </c>
      <c r="D7" s="32">
        <v>0.77</v>
      </c>
      <c r="E7" s="32">
        <v>1.91</v>
      </c>
      <c r="F7" s="18"/>
      <c r="G7" s="18"/>
      <c r="H7" s="50" t="s">
        <v>133</v>
      </c>
      <c r="I7" s="37">
        <f ca="1">(B26*$B$20)/$M$7</f>
        <v>2554.1941841770999</v>
      </c>
      <c r="J7" s="37">
        <f t="shared" ref="J7:L7" ca="1" si="3">(C26*$B$20)/$M$7</f>
        <v>393.6159766392156</v>
      </c>
      <c r="K7" s="37">
        <f t="shared" ca="1" si="3"/>
        <v>5684.9256382734402</v>
      </c>
      <c r="L7" s="37">
        <f t="shared" ca="1" si="3"/>
        <v>7270.8819821044408</v>
      </c>
      <c r="M7" s="92">
        <f ca="1">'Assumptions &amp; WACC'!E26</f>
        <v>10.667450000000001</v>
      </c>
    </row>
    <row r="8" spans="1:13" x14ac:dyDescent="0.3">
      <c r="A8" s="24" t="e" vm="13">
        <v>#VALUE!</v>
      </c>
      <c r="B8" s="32">
        <v>3.69</v>
      </c>
      <c r="C8" s="32" cm="1">
        <f t="array" aca="1" ref="C8" ca="1">_FV(A8,"P/E",TRUE)</f>
        <v>7.58</v>
      </c>
      <c r="D8" s="32">
        <v>1.86</v>
      </c>
      <c r="E8" s="32">
        <v>2.46</v>
      </c>
      <c r="F8" s="18"/>
      <c r="G8" s="18"/>
      <c r="H8" s="50" t="s">
        <v>125</v>
      </c>
      <c r="I8" s="37">
        <f ca="1">(B27*$B$20)/$M$8</f>
        <v>37.989289815486764</v>
      </c>
      <c r="J8" s="37">
        <f t="shared" ref="J8:L8" ca="1" si="4">(C27*$B$20)/$M$8</f>
        <v>11.685695278089574</v>
      </c>
      <c r="K8" s="37">
        <f t="shared" ca="1" si="4"/>
        <v>617.54515612280488</v>
      </c>
      <c r="L8" s="37">
        <f t="shared" ca="1" si="4"/>
        <v>256.58222190550669</v>
      </c>
      <c r="M8" s="92">
        <f ca="1">'Assumptions &amp; WACC'!F26</f>
        <v>710.76739999999995</v>
      </c>
    </row>
    <row r="9" spans="1:13" x14ac:dyDescent="0.3">
      <c r="A9" s="24" t="e" vm="14">
        <v>#VALUE!</v>
      </c>
      <c r="B9" s="32">
        <v>12.53</v>
      </c>
      <c r="C9" s="32" cm="1">
        <f t="array" aca="1" ref="C9" ca="1">_FV(A9,"P/E",TRUE)</f>
        <v>26.950900000000001</v>
      </c>
      <c r="D9" s="32">
        <v>6.61</v>
      </c>
      <c r="E9" s="32">
        <v>8.07</v>
      </c>
      <c r="F9" s="18"/>
      <c r="G9" s="18"/>
      <c r="H9" s="50" t="s">
        <v>128</v>
      </c>
      <c r="I9" s="37">
        <f ca="1">(B28*$B$20)/$M$9</f>
        <v>90.61343026383193</v>
      </c>
      <c r="J9" s="37">
        <f t="shared" ref="J9:L9" ca="1" si="5">(C28*$B$20)/$M$9</f>
        <v>25.791920691895545</v>
      </c>
      <c r="K9" s="37">
        <f t="shared" ca="1" si="5"/>
        <v>174.89824405299186</v>
      </c>
      <c r="L9" s="37">
        <f t="shared" ca="1" si="5"/>
        <v>281.87620330754373</v>
      </c>
      <c r="M9" s="93">
        <f ca="1">'Assumptions &amp; WACC'!G26</f>
        <v>1091.2629999999999</v>
      </c>
    </row>
    <row r="10" spans="1:13" x14ac:dyDescent="0.3">
      <c r="A10" s="24" t="e" vm="15">
        <v>#VALUE!</v>
      </c>
      <c r="B10" s="32">
        <v>5.95</v>
      </c>
      <c r="C10" s="32" cm="1">
        <f t="array" aca="1" ref="C10" ca="1">_FV(A10,"P/E",TRUE)</f>
        <v>15.0661</v>
      </c>
      <c r="D10" s="32">
        <v>2.75</v>
      </c>
      <c r="E10" s="32">
        <v>3.05</v>
      </c>
      <c r="F10" s="18"/>
      <c r="G10" s="18"/>
      <c r="H10" s="48"/>
      <c r="I10" s="23"/>
      <c r="J10" s="23"/>
      <c r="K10" s="23"/>
      <c r="L10" s="23"/>
    </row>
    <row r="11" spans="1:13" x14ac:dyDescent="0.3">
      <c r="A11" s="24" t="e" vm="16">
        <v>#VALUE!</v>
      </c>
      <c r="B11" s="32">
        <v>10.78</v>
      </c>
      <c r="C11" s="32" cm="1">
        <f t="array" aca="1" ref="C11" ca="1">_FV(A11,"P/E",TRUE)</f>
        <v>22.121700000000001</v>
      </c>
      <c r="D11" s="32">
        <v>4.3</v>
      </c>
      <c r="E11" s="32">
        <v>4.74</v>
      </c>
      <c r="F11" s="18"/>
      <c r="G11" s="18"/>
      <c r="H11" s="48"/>
      <c r="I11" s="23"/>
      <c r="J11" s="23"/>
      <c r="K11" s="23"/>
      <c r="L11" s="23"/>
    </row>
    <row r="12" spans="1:13" x14ac:dyDescent="0.3">
      <c r="A12" s="24" t="e" vm="17">
        <v>#VALUE!</v>
      </c>
      <c r="B12" s="32">
        <v>3.27</v>
      </c>
      <c r="C12" s="32" cm="1">
        <f t="array" aca="1" ref="C12" ca="1">_FV(A12,"P/E",TRUE)</f>
        <v>9.1260999999999992</v>
      </c>
      <c r="D12" s="32">
        <v>0.93</v>
      </c>
      <c r="E12" s="32">
        <v>0.99</v>
      </c>
      <c r="F12" s="18"/>
      <c r="G12" s="18"/>
      <c r="H12" s="48"/>
      <c r="I12" s="23"/>
      <c r="J12" s="23"/>
      <c r="K12" s="23"/>
      <c r="L12" s="23"/>
    </row>
    <row r="13" spans="1:13" x14ac:dyDescent="0.3">
      <c r="A13" s="24" t="e" vm="18">
        <v>#VALUE!</v>
      </c>
      <c r="B13" s="32">
        <v>11.42</v>
      </c>
      <c r="C13" s="32">
        <v>25.84</v>
      </c>
      <c r="D13" s="32">
        <v>1.5</v>
      </c>
      <c r="E13" s="32">
        <v>2.09</v>
      </c>
      <c r="F13" s="18"/>
      <c r="G13" s="18"/>
      <c r="H13" s="48"/>
      <c r="L13" s="23"/>
    </row>
    <row r="14" spans="1:13" x14ac:dyDescent="0.3">
      <c r="A14" s="24" t="e" vm="19">
        <v>#VALUE!</v>
      </c>
      <c r="B14" s="32">
        <v>19.420000000000002</v>
      </c>
      <c r="C14" s="32" cm="1">
        <f t="array" aca="1" ref="C14" ca="1">_FV(A14,"P/E",TRUE)</f>
        <v>33.54</v>
      </c>
      <c r="D14" s="32">
        <v>2.1</v>
      </c>
      <c r="E14" s="32">
        <v>5.56</v>
      </c>
      <c r="F14" s="18"/>
      <c r="G14" s="18"/>
      <c r="H14" s="48"/>
      <c r="L14" s="23"/>
    </row>
    <row r="15" spans="1:13" x14ac:dyDescent="0.3">
      <c r="A15" s="24" t="e" vm="20">
        <v>#VALUE!</v>
      </c>
      <c r="B15" s="32">
        <v>13.71</v>
      </c>
      <c r="C15" s="32" cm="1">
        <f t="array" aca="1" ref="C15" ca="1">_FV(A15,"P/E",TRUE)</f>
        <v>18.770700000000001</v>
      </c>
      <c r="D15" s="32">
        <v>5.72</v>
      </c>
      <c r="E15" s="32">
        <v>8.31</v>
      </c>
      <c r="F15" s="18"/>
      <c r="G15" s="18"/>
      <c r="H15" s="48"/>
      <c r="L15" s="23"/>
    </row>
    <row r="16" spans="1:13" x14ac:dyDescent="0.3">
      <c r="A16" s="24" t="e" vm="21">
        <v>#VALUE!</v>
      </c>
      <c r="B16" s="32">
        <v>12.27</v>
      </c>
      <c r="C16" s="32" cm="1">
        <f t="array" aca="1" ref="C16" ca="1">_FV(A16,"P/E",TRUE)</f>
        <v>19.457899999999999</v>
      </c>
      <c r="D16" s="32">
        <v>2.78</v>
      </c>
      <c r="E16" s="32">
        <v>1.42</v>
      </c>
      <c r="F16" s="18"/>
      <c r="G16" s="18"/>
      <c r="H16" s="48"/>
      <c r="I16" s="23"/>
      <c r="J16" s="23"/>
      <c r="K16" s="23"/>
      <c r="L16" s="23"/>
    </row>
    <row r="17" spans="1:12" x14ac:dyDescent="0.3">
      <c r="A17" s="24" t="e" vm="22">
        <v>#VALUE!</v>
      </c>
      <c r="B17" s="32">
        <v>13.99</v>
      </c>
      <c r="C17" s="32" cm="1">
        <f t="array" aca="1" ref="C17" ca="1">_FV(A17,"P/E",TRUE)</f>
        <v>21.973600000000001</v>
      </c>
      <c r="D17" s="32">
        <v>4.0199999999999996</v>
      </c>
      <c r="E17" s="32">
        <v>2</v>
      </c>
      <c r="F17" s="18"/>
      <c r="G17" s="18"/>
      <c r="H17" s="48"/>
      <c r="I17" s="23"/>
      <c r="J17" s="23"/>
      <c r="K17" s="23"/>
      <c r="L17" s="23"/>
    </row>
    <row r="18" spans="1:12" x14ac:dyDescent="0.3">
      <c r="A18" s="24" t="e" vm="23">
        <v>#VALUE!</v>
      </c>
      <c r="B18" s="32">
        <v>17.77</v>
      </c>
      <c r="C18" s="32">
        <v>32.36</v>
      </c>
      <c r="D18" s="32">
        <v>5.98</v>
      </c>
      <c r="E18" s="32">
        <v>7.45</v>
      </c>
      <c r="F18" s="18"/>
      <c r="G18" s="18"/>
      <c r="H18" s="48"/>
      <c r="I18" s="23"/>
      <c r="J18" s="23"/>
      <c r="K18" s="23"/>
      <c r="L18" s="23"/>
    </row>
    <row r="19" spans="1:12" x14ac:dyDescent="0.3">
      <c r="A19" s="51"/>
      <c r="B19" s="52"/>
      <c r="C19" s="52"/>
      <c r="D19" s="52"/>
      <c r="E19" s="53"/>
      <c r="F19" s="18"/>
      <c r="G19" s="18"/>
      <c r="H19" s="48"/>
      <c r="I19" s="23"/>
      <c r="J19" s="23"/>
      <c r="K19" s="23"/>
      <c r="L19" s="23"/>
    </row>
    <row r="20" spans="1:12" x14ac:dyDescent="0.3">
      <c r="A20" s="54" t="s">
        <v>99</v>
      </c>
      <c r="B20" s="55">
        <f>AVERAGE(B3:B18)</f>
        <v>10.216250000000002</v>
      </c>
      <c r="C20" s="55">
        <f t="shared" ref="C20:E20" ca="1" si="6">AVERAGE(C3:C18)</f>
        <v>24.0311375</v>
      </c>
      <c r="D20" s="55">
        <f t="shared" si="6"/>
        <v>2.6325000000000003</v>
      </c>
      <c r="E20" s="55">
        <f t="shared" si="6"/>
        <v>3.2856250000000005</v>
      </c>
      <c r="F20" s="18"/>
      <c r="G20" s="18"/>
      <c r="H20" s="48"/>
      <c r="I20" s="23"/>
      <c r="J20" s="23"/>
      <c r="K20" s="23"/>
      <c r="L20" s="23"/>
    </row>
    <row r="21" spans="1:12" x14ac:dyDescent="0.3">
      <c r="A21" s="18"/>
      <c r="B21" s="23"/>
      <c r="C21" s="23"/>
      <c r="D21" s="23"/>
      <c r="E21" s="23"/>
      <c r="F21" s="18"/>
      <c r="G21" s="18"/>
      <c r="H21" s="48"/>
      <c r="I21" s="23"/>
      <c r="J21" s="23"/>
      <c r="K21" s="23"/>
      <c r="L21" s="23"/>
    </row>
    <row r="22" spans="1:12" x14ac:dyDescent="0.3">
      <c r="A22" s="3" t="s">
        <v>0</v>
      </c>
      <c r="B22" s="4" t="s">
        <v>100</v>
      </c>
      <c r="C22" s="4" t="s">
        <v>101</v>
      </c>
      <c r="D22" s="4" t="s">
        <v>17</v>
      </c>
      <c r="E22" s="4" t="s">
        <v>102</v>
      </c>
      <c r="F22" s="1"/>
      <c r="G22" s="1"/>
      <c r="H22" s="64" t="s">
        <v>0</v>
      </c>
      <c r="I22" s="65" t="s">
        <v>96</v>
      </c>
      <c r="J22" s="65" t="s">
        <v>97</v>
      </c>
      <c r="K22" s="65" t="s">
        <v>98</v>
      </c>
      <c r="L22" s="2"/>
    </row>
    <row r="23" spans="1:12" x14ac:dyDescent="0.3">
      <c r="A23" s="36" t="str">
        <f>H4</f>
        <v>Nucor</v>
      </c>
      <c r="B23" s="45">
        <f>Financials!F6+Financials!F7</f>
        <v>4228</v>
      </c>
      <c r="C23" s="45">
        <f>Financials!F10</f>
        <v>903</v>
      </c>
      <c r="D23" s="45">
        <f>Financials!F3</f>
        <v>30734</v>
      </c>
      <c r="E23" s="45">
        <f>Financials!F22</f>
        <v>21417</v>
      </c>
      <c r="F23" s="18"/>
      <c r="G23" s="18"/>
      <c r="H23" s="48" t="str">
        <f>H4</f>
        <v>Nucor</v>
      </c>
      <c r="I23" s="44">
        <f>AVERAGE(I4:L4)</f>
        <v>614.71347951680696</v>
      </c>
      <c r="J23" s="21">
        <f ca="1">'Company Profile'!B3</f>
        <v>148.58000000000001</v>
      </c>
      <c r="K23" s="46">
        <f ca="1">(Table24[[#This Row],[Target Price]]-J23)/J23</f>
        <v>3.1372558858312485</v>
      </c>
      <c r="L23" s="23"/>
    </row>
    <row r="24" spans="1:12" x14ac:dyDescent="0.3">
      <c r="A24" s="36" t="str">
        <f>H5</f>
        <v>Freeport</v>
      </c>
      <c r="B24" s="45">
        <f>Financials!M6+Financials!M7</f>
        <v>11346</v>
      </c>
      <c r="C24" s="45">
        <f>Financials!M10</f>
        <v>4022</v>
      </c>
      <c r="D24" s="45">
        <f>Financials!M3</f>
        <v>25455</v>
      </c>
      <c r="E24" s="45">
        <f>Financials!M22</f>
        <v>28778</v>
      </c>
      <c r="F24" s="18"/>
      <c r="G24" s="18"/>
      <c r="H24" s="48" t="str">
        <f>H5</f>
        <v>Freeport</v>
      </c>
      <c r="I24" s="44">
        <f t="shared" ref="I24:I28" si="7">AVERAGE(I5:L5)</f>
        <v>123.02097166955019</v>
      </c>
      <c r="J24" s="21">
        <f ca="1">'Company Profile'!C3</f>
        <v>41.24</v>
      </c>
      <c r="K24" s="46">
        <f ca="1">(Table24[[#This Row],[Target Price]]-J24)/J24</f>
        <v>1.9830497495041266</v>
      </c>
      <c r="L24" s="23"/>
    </row>
    <row r="25" spans="1:12" x14ac:dyDescent="0.3">
      <c r="A25" s="89" t="s">
        <v>124</v>
      </c>
      <c r="B25" s="90">
        <f>Financials!T6+Financials!T7</f>
        <v>1729</v>
      </c>
      <c r="C25" s="90">
        <f>Financials!T10</f>
        <v>24</v>
      </c>
      <c r="D25" s="90">
        <f>Financials!T3</f>
        <v>11895</v>
      </c>
      <c r="E25" s="90">
        <f>Financials!T22</f>
        <v>5157</v>
      </c>
      <c r="H25" s="48" t="str">
        <f t="shared" ref="H25:H28" si="8">H6</f>
        <v>Alcoa</v>
      </c>
      <c r="I25" s="44">
        <f t="shared" ca="1" si="7"/>
        <v>185.46649461894322</v>
      </c>
      <c r="J25" s="21">
        <f ca="1">'Company Profile'!D3</f>
        <v>36.72</v>
      </c>
      <c r="K25" s="46">
        <f ca="1">(Table24[[#This Row],[Target Price]]-J25)/J25</f>
        <v>4.0508304634788459</v>
      </c>
    </row>
    <row r="26" spans="1:12" x14ac:dyDescent="0.3">
      <c r="A26" s="89" t="s">
        <v>133</v>
      </c>
      <c r="B26" s="90">
        <f>Financials!AB6+Financials!AB7</f>
        <v>2667</v>
      </c>
      <c r="C26" s="90">
        <f>Financials!AB10</f>
        <v>411</v>
      </c>
      <c r="D26" s="90">
        <f>Financials!AB3</f>
        <v>5936</v>
      </c>
      <c r="E26" s="90">
        <f>Financials!AB22</f>
        <v>7592</v>
      </c>
      <c r="H26" s="48" t="str">
        <f t="shared" si="8"/>
        <v>RFIL</v>
      </c>
      <c r="I26" s="44">
        <f t="shared" ca="1" si="7"/>
        <v>3975.904445298549</v>
      </c>
      <c r="J26" s="21">
        <f ca="1">'Company Profile'!E3</f>
        <v>6.09</v>
      </c>
      <c r="K26" s="46">
        <f ca="1">(Table24[[#This Row],[Target Price]]-J26)/J26</f>
        <v>651.85787279122314</v>
      </c>
    </row>
    <row r="27" spans="1:12" x14ac:dyDescent="0.3">
      <c r="A27" s="89" t="s">
        <v>125</v>
      </c>
      <c r="B27" s="90">
        <f>Financials!AJ6+Financials!AJ7</f>
        <v>2643</v>
      </c>
      <c r="C27" s="90">
        <f>Financials!AJ10</f>
        <v>813</v>
      </c>
      <c r="D27" s="90">
        <f>Financials!AJ3</f>
        <v>42964</v>
      </c>
      <c r="E27" s="90">
        <f>Financials!AJ22</f>
        <v>17851</v>
      </c>
      <c r="H27" s="48" t="str">
        <f t="shared" si="8"/>
        <v>Dow</v>
      </c>
      <c r="I27" s="44">
        <f t="shared" ca="1" si="7"/>
        <v>230.95059078047197</v>
      </c>
      <c r="J27" s="21">
        <f ca="1">'Company Profile'!F3</f>
        <v>21.315000000000001</v>
      </c>
      <c r="K27" s="46">
        <f ca="1">(Table24[[#This Row],[Target Price]]-J27)/J27</f>
        <v>9.8351203744063778</v>
      </c>
    </row>
    <row r="28" spans="1:12" x14ac:dyDescent="0.3">
      <c r="A28" s="89" t="s">
        <v>128</v>
      </c>
      <c r="B28" s="90">
        <f>Financials!AR6+Financials!AR7</f>
        <v>9679</v>
      </c>
      <c r="C28" s="90">
        <f>Financials!AR10</f>
        <v>2755</v>
      </c>
      <c r="D28" s="90">
        <f>Financials!AR3</f>
        <v>18682</v>
      </c>
      <c r="E28" s="90">
        <f>Financials!AR22</f>
        <v>30109</v>
      </c>
      <c r="H28" s="48" t="str">
        <f t="shared" si="8"/>
        <v>Newmount</v>
      </c>
      <c r="I28" s="44">
        <f t="shared" ca="1" si="7"/>
        <v>143.29494957906576</v>
      </c>
      <c r="J28" s="21">
        <f ca="1">'Company Profile'!G3</f>
        <v>87.42</v>
      </c>
      <c r="K28" s="46">
        <f ca="1">(Table24[[#This Row],[Target Price]]-J28)/J28</f>
        <v>0.63915522282161696</v>
      </c>
    </row>
  </sheetData>
  <conditionalFormatting sqref="K23:K28">
    <cfRule type="cellIs" dxfId="1" priority="1" operator="greaterThan">
      <formula>0</formula>
    </cfRule>
    <cfRule type="cellIs" dxfId="0" priority="2" operator="lessThan">
      <formula>0</formula>
    </cfRule>
  </conditionalFormatting>
  <pageMargins left="0.7" right="0.7" top="0.75" bottom="0.75" header="0.3" footer="0.3"/>
  <tableParts count="3">
    <tablePart r:id="rId1"/>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FDFD8-9113-4B9E-A121-A4B4E376BBD6}">
  <dimension ref="A1:O85"/>
  <sheetViews>
    <sheetView topLeftCell="A20" workbookViewId="0">
      <selection activeCell="F79" sqref="F79"/>
    </sheetView>
  </sheetViews>
  <sheetFormatPr defaultRowHeight="14.4" x14ac:dyDescent="0.3"/>
  <cols>
    <col min="1" max="1" width="8.88671875" style="18"/>
    <col min="2" max="2" width="16.88671875" style="23" bestFit="1" customWidth="1"/>
    <col min="3" max="3" width="10.109375" style="23" bestFit="1" customWidth="1"/>
    <col min="4" max="4" width="11.21875" style="23" bestFit="1" customWidth="1"/>
    <col min="5" max="5" width="8.88671875" style="18"/>
    <col min="6" max="6" width="15.5546875" style="18" customWidth="1"/>
    <col min="7" max="15" width="15.5546875" style="23" customWidth="1"/>
  </cols>
  <sheetData>
    <row r="1" spans="1:15" s="100" customFormat="1" ht="28.8" x14ac:dyDescent="0.3">
      <c r="A1" s="98" t="s">
        <v>9</v>
      </c>
      <c r="B1" s="99" t="s">
        <v>11</v>
      </c>
      <c r="C1" s="99" t="s">
        <v>0</v>
      </c>
      <c r="D1" s="99" t="s">
        <v>82</v>
      </c>
      <c r="E1" s="98"/>
      <c r="F1" s="98" t="s">
        <v>0</v>
      </c>
      <c r="G1" s="99" t="s">
        <v>103</v>
      </c>
      <c r="H1" s="99" t="s">
        <v>104</v>
      </c>
      <c r="I1" s="99" t="s">
        <v>105</v>
      </c>
      <c r="J1" s="99" t="s">
        <v>106</v>
      </c>
      <c r="K1" s="99" t="s">
        <v>37</v>
      </c>
      <c r="L1" s="99" t="s">
        <v>78</v>
      </c>
      <c r="M1" s="99" t="s">
        <v>107</v>
      </c>
      <c r="N1" s="99" t="s">
        <v>108</v>
      </c>
      <c r="O1" s="99" t="s">
        <v>109</v>
      </c>
    </row>
    <row r="2" spans="1:15" x14ac:dyDescent="0.3">
      <c r="A2" s="18" t="s">
        <v>110</v>
      </c>
      <c r="B2" s="23" t="s">
        <v>111</v>
      </c>
      <c r="C2" s="23" t="str">
        <f>Relative!H23</f>
        <v>Nucor</v>
      </c>
      <c r="D2" s="44">
        <f>AVERAGE(Financials!B27:F27)</f>
        <v>2100.0209999999997</v>
      </c>
      <c r="F2" s="18" t="str">
        <f>C2</f>
        <v>Nucor</v>
      </c>
      <c r="G2" s="44">
        <f>Financials!F6-Financials!B6</f>
        <v>1883.2639999999992</v>
      </c>
      <c r="H2" s="21">
        <f>(33940-Financials!F20)-(33940-Financials!B20)</f>
        <v>-2349.1399999999994</v>
      </c>
      <c r="I2" s="46">
        <f>G2/H2</f>
        <v>-0.80168231778438048</v>
      </c>
      <c r="J2" s="21">
        <f>DCF!G4-DCF!B4</f>
        <v>3213.4555485403444</v>
      </c>
      <c r="K2" s="21">
        <f>D5</f>
        <v>458.6</v>
      </c>
      <c r="L2" s="21">
        <f>AVERAGE(DCF!B6:G6)</f>
        <v>1336.4285924991807</v>
      </c>
      <c r="M2" s="21">
        <f>IF(K2-L2&lt;=0,K2,MAX(K2-L2,0.1*K2))</f>
        <v>458.6</v>
      </c>
      <c r="N2" s="46">
        <f>J2/M2</f>
        <v>7.0070988847369042</v>
      </c>
      <c r="O2" s="46">
        <f>MIN(MAX(N2,0.04),0.2)</f>
        <v>0.2</v>
      </c>
    </row>
    <row r="3" spans="1:15" x14ac:dyDescent="0.3">
      <c r="A3" s="18" t="s">
        <v>110</v>
      </c>
      <c r="B3" s="23" t="s">
        <v>111</v>
      </c>
      <c r="C3" s="23" t="str">
        <f>Relative!H24</f>
        <v>Freeport</v>
      </c>
      <c r="D3" s="44">
        <f>AVERAGE(Financials!I27:M27)</f>
        <v>3435.4</v>
      </c>
      <c r="F3" s="18" t="str">
        <f t="shared" ref="F3" si="0">C3</f>
        <v>Freeport</v>
      </c>
      <c r="G3" s="44">
        <f>Financials!M6-Financials!I6</f>
        <v>5140</v>
      </c>
      <c r="H3" s="21">
        <f>(54848-Financials!M20)-(48022-Financials!I20)</f>
        <v>4747</v>
      </c>
      <c r="I3" s="46">
        <f>G3/H3</f>
        <v>1.0827891299768275</v>
      </c>
      <c r="J3" s="21">
        <f>DCF!O4-DCF!J4</f>
        <v>8554.5801332345382</v>
      </c>
      <c r="K3" s="21">
        <f>D6</f>
        <v>1974.4</v>
      </c>
      <c r="L3" s="21">
        <f>AVERAGE(DCF!J6:O6)</f>
        <v>3560.4772225051388</v>
      </c>
      <c r="M3" s="21">
        <f>IF(K3-L3&lt;=0,K3,MAX(K3-L3,0.1*K3))</f>
        <v>1974.4</v>
      </c>
      <c r="N3" s="46">
        <f>J3/M3</f>
        <v>4.3327492571082544</v>
      </c>
      <c r="O3" s="46">
        <f t="shared" ref="O3:O7" si="1">MIN(MAX(N3,0.04),0.2)</f>
        <v>0.2</v>
      </c>
    </row>
    <row r="4" spans="1:15" x14ac:dyDescent="0.3">
      <c r="A4" s="18" t="s">
        <v>110</v>
      </c>
      <c r="B4" s="23" t="s">
        <v>111</v>
      </c>
      <c r="C4" s="23" t="s">
        <v>124</v>
      </c>
      <c r="D4" s="44">
        <f>AVERAGE(Financials!P27:T27)</f>
        <v>466.8</v>
      </c>
      <c r="F4" s="18" t="str">
        <f>C4</f>
        <v>Alcoa</v>
      </c>
      <c r="G4" s="44">
        <f>Financials!T6-Financials!P6</f>
        <v>115</v>
      </c>
      <c r="H4" s="21">
        <f>(14064-3395)-(14860-2761)</f>
        <v>-1430</v>
      </c>
      <c r="I4" s="46">
        <f t="shared" ref="I4:I7" si="2">G4/H4</f>
        <v>-8.0419580419580416E-2</v>
      </c>
      <c r="J4" s="21">
        <f>Table952[[#This Row],[2030]]-Table952[[#This Row],[2025]]</f>
        <v>355.12800395582235</v>
      </c>
      <c r="K4" s="21">
        <f t="shared" ref="K4:K7" si="3">D7</f>
        <v>2230.8000000000002</v>
      </c>
      <c r="L4" s="21">
        <f>AVERAGE(DCF!R6:W6)</f>
        <v>808.43965981161273</v>
      </c>
      <c r="M4" s="21">
        <f t="shared" ref="M4:M7" si="4">IF(K4-L4&lt;=0,K4,MAX(K4-L4,0.1*K4))</f>
        <v>1422.3603401883875</v>
      </c>
      <c r="N4" s="46">
        <f t="shared" ref="N4:N7" si="5">J4/M4</f>
        <v>0.24967513078211018</v>
      </c>
      <c r="O4" s="46">
        <f t="shared" si="1"/>
        <v>0.2</v>
      </c>
    </row>
    <row r="5" spans="1:15" x14ac:dyDescent="0.3">
      <c r="A5" s="18" t="s">
        <v>110</v>
      </c>
      <c r="B5" s="23" t="s">
        <v>111</v>
      </c>
      <c r="C5" s="23" t="s">
        <v>133</v>
      </c>
      <c r="D5" s="44">
        <f>AVERAGE(Financials!X27:AB27)</f>
        <v>458.6</v>
      </c>
      <c r="F5" s="18" t="str">
        <f t="shared" ref="F5:F7" si="6">C5</f>
        <v>RFIL</v>
      </c>
      <c r="G5" s="44">
        <f>Financials!AB6-Financials!X6</f>
        <v>1130</v>
      </c>
      <c r="H5" s="21">
        <f>(71046-18090)-(49648-9370)</f>
        <v>12678</v>
      </c>
      <c r="I5" s="46">
        <f t="shared" si="2"/>
        <v>8.9130777725193247E-2</v>
      </c>
      <c r="J5" s="21">
        <f>DCF!AE4-DCF!Z4</f>
        <v>943.66258360425718</v>
      </c>
      <c r="K5" s="21">
        <f t="shared" si="3"/>
        <v>1777.6701666666668</v>
      </c>
      <c r="L5" s="21">
        <f>AVERAGE(DCF!Z6:AE6)</f>
        <v>2596.6886423443111</v>
      </c>
      <c r="M5" s="21">
        <f t="shared" si="4"/>
        <v>1777.6701666666668</v>
      </c>
      <c r="N5" s="46">
        <f t="shared" si="5"/>
        <v>0.53084233582753515</v>
      </c>
      <c r="O5" s="46">
        <f t="shared" si="1"/>
        <v>0.2</v>
      </c>
    </row>
    <row r="6" spans="1:15" x14ac:dyDescent="0.3">
      <c r="A6" s="18" t="s">
        <v>110</v>
      </c>
      <c r="B6" s="23" t="s">
        <v>111</v>
      </c>
      <c r="C6" s="23" t="s">
        <v>125</v>
      </c>
      <c r="D6" s="44">
        <f>AVERAGE(Financials!AF27:AJ27)</f>
        <v>1974.4</v>
      </c>
      <c r="F6" s="18" t="str">
        <f t="shared" si="6"/>
        <v>Dow</v>
      </c>
      <c r="G6" s="44">
        <f>Table11435[[#This Row],[2024]]-Table11435[[#This Row],[2020]]</f>
        <v>1612</v>
      </c>
      <c r="H6" s="21">
        <f>(78446-14531)-(57312-10288)</f>
        <v>16891</v>
      </c>
      <c r="I6" s="46">
        <f t="shared" si="2"/>
        <v>9.5435438991178734E-2</v>
      </c>
      <c r="J6" s="21">
        <f>DCF!AM4-DCF!AH4</f>
        <v>400.69715830021005</v>
      </c>
      <c r="K6" s="21">
        <f t="shared" si="3"/>
        <v>2679.6913504351164</v>
      </c>
      <c r="L6" s="21">
        <f>AVERAGE(Table960[[#This Row],[2025]:[2030]])</f>
        <v>342.85886441001452</v>
      </c>
      <c r="M6" s="21">
        <f t="shared" si="4"/>
        <v>2336.8324860251018</v>
      </c>
      <c r="N6" s="46">
        <f t="shared" si="5"/>
        <v>0.17147021050780867</v>
      </c>
      <c r="O6" s="46">
        <f t="shared" si="1"/>
        <v>0.17147021050780867</v>
      </c>
    </row>
    <row r="7" spans="1:15" x14ac:dyDescent="0.3">
      <c r="A7" s="18" t="s">
        <v>110</v>
      </c>
      <c r="B7" s="23" t="s">
        <v>111</v>
      </c>
      <c r="C7" s="23" t="s">
        <v>128</v>
      </c>
      <c r="D7" s="44">
        <f>AVERAGE(Financials!AN27:AR27)</f>
        <v>2230.8000000000002</v>
      </c>
      <c r="F7" s="18" t="str">
        <f t="shared" si="6"/>
        <v>Newmount</v>
      </c>
      <c r="G7" s="44">
        <f>Financials!AR6-Financials!AN6</f>
        <v>1997</v>
      </c>
      <c r="H7" s="21">
        <f>(56349-7543)-(41369-3369)</f>
        <v>10806</v>
      </c>
      <c r="I7" s="46">
        <f t="shared" si="2"/>
        <v>0.18480473810845827</v>
      </c>
      <c r="J7" s="21">
        <f>DCF!AU4-DCF!AP4</f>
        <v>3615.8512299571203</v>
      </c>
      <c r="K7" s="21">
        <f t="shared" si="3"/>
        <v>6206.4458342775288</v>
      </c>
      <c r="L7" s="21">
        <f>AVERAGE(DCF!AP6:AU6)</f>
        <v>4623.5369837382041</v>
      </c>
      <c r="M7" s="21">
        <f t="shared" si="4"/>
        <v>1582.9088505393247</v>
      </c>
      <c r="N7" s="46">
        <f t="shared" si="5"/>
        <v>2.2843079238107342</v>
      </c>
      <c r="O7" s="46">
        <f t="shared" si="1"/>
        <v>0.2</v>
      </c>
    </row>
    <row r="8" spans="1:15" x14ac:dyDescent="0.3">
      <c r="A8" s="17" t="s">
        <v>110</v>
      </c>
      <c r="B8" s="67" t="s">
        <v>111</v>
      </c>
      <c r="C8" s="67" t="s">
        <v>135</v>
      </c>
      <c r="D8" s="96">
        <f>AVERAGE(D2:D7)</f>
        <v>1777.6701666666668</v>
      </c>
      <c r="F8" s="17" t="s">
        <v>99</v>
      </c>
      <c r="G8" s="67"/>
      <c r="H8" s="67"/>
      <c r="I8" s="68">
        <f>AVERAGE(I2:I7)</f>
        <v>9.5009697766282805E-2</v>
      </c>
      <c r="J8" s="68"/>
      <c r="K8" s="68"/>
      <c r="L8" s="68"/>
      <c r="M8" s="68"/>
      <c r="N8" s="68">
        <f t="shared" ref="N8:O8" si="7">AVERAGE(N2:N7)</f>
        <v>2.4293572904622245</v>
      </c>
      <c r="O8" s="68">
        <f t="shared" si="7"/>
        <v>0.19524503508463478</v>
      </c>
    </row>
    <row r="9" spans="1:15" x14ac:dyDescent="0.3">
      <c r="A9" s="18" t="s">
        <v>112</v>
      </c>
      <c r="B9" s="23" t="str">
        <f>B2</f>
        <v>Avg Capex</v>
      </c>
      <c r="C9" s="23" t="str">
        <f>C2</f>
        <v>Nucor</v>
      </c>
      <c r="D9" s="97">
        <f>AVERAGE(DCF!B7:G7)</f>
        <v>2679.6913504351164</v>
      </c>
    </row>
    <row r="10" spans="1:15" x14ac:dyDescent="0.3">
      <c r="A10" s="18" t="s">
        <v>112</v>
      </c>
      <c r="B10" s="23" t="str">
        <f t="shared" ref="B10:C14" si="8">B3</f>
        <v>Avg Capex</v>
      </c>
      <c r="C10" s="23" t="str">
        <f t="shared" si="8"/>
        <v>Freeport</v>
      </c>
      <c r="D10" s="95">
        <f>AVERAGE(DCF!J7:O7)</f>
        <v>6206.4458342775288</v>
      </c>
      <c r="J10" s="46"/>
    </row>
    <row r="11" spans="1:15" x14ac:dyDescent="0.3">
      <c r="A11" s="18" t="s">
        <v>112</v>
      </c>
      <c r="B11" s="23" t="str">
        <f t="shared" si="8"/>
        <v>Avg Capex</v>
      </c>
      <c r="C11" s="23" t="str">
        <f t="shared" si="8"/>
        <v>Alcoa</v>
      </c>
      <c r="D11" s="97">
        <f>AVERAGE(DCF!R7:W7)</f>
        <v>588.18521384049382</v>
      </c>
      <c r="G11" s="67" t="s">
        <v>41</v>
      </c>
      <c r="H11" s="67" t="s">
        <v>110</v>
      </c>
      <c r="I11" s="67" t="s">
        <v>112</v>
      </c>
      <c r="J11" s="46"/>
    </row>
    <row r="12" spans="1:15" x14ac:dyDescent="0.3">
      <c r="A12" s="18" t="s">
        <v>112</v>
      </c>
      <c r="B12" s="23" t="str">
        <f t="shared" si="8"/>
        <v>Avg Capex</v>
      </c>
      <c r="C12" s="23" t="str">
        <f t="shared" si="8"/>
        <v>RFIL</v>
      </c>
      <c r="D12" s="97">
        <f>AVERAGE(DCF!Z7:AE7)</f>
        <v>514.31347127023457</v>
      </c>
      <c r="G12" s="23" t="s">
        <v>114</v>
      </c>
      <c r="H12" s="46">
        <f>AVERAGE(-0.035,0.058)</f>
        <v>1.15E-2</v>
      </c>
      <c r="I12" s="46">
        <v>2.1000000000000001E-2</v>
      </c>
    </row>
    <row r="13" spans="1:15" x14ac:dyDescent="0.3">
      <c r="A13" s="18" t="s">
        <v>112</v>
      </c>
      <c r="B13" s="23" t="str">
        <f t="shared" si="8"/>
        <v>Avg Capex</v>
      </c>
      <c r="C13" s="23" t="str">
        <f t="shared" si="8"/>
        <v>Dow</v>
      </c>
      <c r="D13" s="95">
        <f>AVERAGE(DCF!AH7:AM7)</f>
        <v>1924.2198461942371</v>
      </c>
      <c r="G13" s="23" t="s">
        <v>114</v>
      </c>
      <c r="H13" s="46">
        <v>2.8000000000000001E-2</v>
      </c>
      <c r="I13" s="46">
        <v>2.3E-2</v>
      </c>
    </row>
    <row r="14" spans="1:15" x14ac:dyDescent="0.3">
      <c r="A14" s="18" t="s">
        <v>112</v>
      </c>
      <c r="B14" s="23" t="str">
        <f t="shared" si="8"/>
        <v>Avg Capex</v>
      </c>
      <c r="C14" s="23" t="str">
        <f t="shared" si="8"/>
        <v>Newmount</v>
      </c>
      <c r="D14" s="97">
        <f>AVERAGE(DCF!AP7:AU7)</f>
        <v>4487.5506018635524</v>
      </c>
      <c r="G14" s="23" t="s">
        <v>116</v>
      </c>
      <c r="H14" s="66">
        <f>H13-H12</f>
        <v>1.6500000000000001E-2</v>
      </c>
      <c r="I14" s="66">
        <f>I13-I12</f>
        <v>1.9999999999999983E-3</v>
      </c>
    </row>
    <row r="15" spans="1:15" x14ac:dyDescent="0.3">
      <c r="A15" s="17" t="s">
        <v>112</v>
      </c>
      <c r="B15" s="67" t="str">
        <f>B8</f>
        <v>Avg Capex</v>
      </c>
      <c r="C15" s="67" t="str">
        <f t="shared" ref="C15:D64" si="9">C8</f>
        <v>Avg</v>
      </c>
      <c r="D15" s="96">
        <f>AVERAGE(D9:D14)</f>
        <v>2733.401052980194</v>
      </c>
      <c r="G15" s="67" t="s">
        <v>117</v>
      </c>
      <c r="H15" s="22">
        <f>D71/H14</f>
        <v>-21.22160339002275</v>
      </c>
      <c r="I15" s="22">
        <f>D78/I14</f>
        <v>231.57661548600566</v>
      </c>
    </row>
    <row r="16" spans="1:15" x14ac:dyDescent="0.3">
      <c r="A16" s="18" t="s">
        <v>112</v>
      </c>
      <c r="B16" s="23" t="s">
        <v>113</v>
      </c>
      <c r="C16" s="23" t="str">
        <f t="shared" si="9"/>
        <v>Nucor</v>
      </c>
      <c r="D16" s="66">
        <f>(DCF!G7/DCF!B7)^(1/6)-1</f>
        <v>7.2987096488541958E-2</v>
      </c>
    </row>
    <row r="17" spans="1:4" x14ac:dyDescent="0.3">
      <c r="A17" s="18" t="s">
        <v>112</v>
      </c>
      <c r="B17" s="23" t="s">
        <v>113</v>
      </c>
      <c r="C17" s="23" t="str">
        <f t="shared" si="9"/>
        <v>Freeport</v>
      </c>
      <c r="D17" s="94">
        <f>(DCF!O7/DCF!J7)^(1/6)-1</f>
        <v>0.10219301628730615</v>
      </c>
    </row>
    <row r="18" spans="1:4" x14ac:dyDescent="0.3">
      <c r="A18" s="18" t="s">
        <v>112</v>
      </c>
      <c r="B18" s="23" t="s">
        <v>113</v>
      </c>
      <c r="C18" s="23" t="str">
        <f t="shared" si="9"/>
        <v>Alcoa</v>
      </c>
      <c r="D18" s="94">
        <f>(DCF!W7/DCF!R7)^(1/6)-1</f>
        <v>4.2131750849490945E-2</v>
      </c>
    </row>
    <row r="19" spans="1:4" x14ac:dyDescent="0.3">
      <c r="A19" s="18" t="s">
        <v>112</v>
      </c>
      <c r="B19" s="23" t="s">
        <v>113</v>
      </c>
      <c r="C19" s="23" t="str">
        <f t="shared" si="9"/>
        <v>RFIL</v>
      </c>
      <c r="D19" s="94">
        <f>(DCF!AE7/DCF!Z7)^(1/6)-1</f>
        <v>6.2582206823801778E-2</v>
      </c>
    </row>
    <row r="20" spans="1:4" x14ac:dyDescent="0.3">
      <c r="A20" s="18" t="s">
        <v>112</v>
      </c>
      <c r="B20" s="23" t="s">
        <v>113</v>
      </c>
      <c r="C20" s="23" t="str">
        <f t="shared" si="9"/>
        <v>Dow</v>
      </c>
      <c r="D20" s="94">
        <f>(DCF!AM7/DCF!AH7)^(1/6)-1</f>
        <v>1.826717372560771E-2</v>
      </c>
    </row>
    <row r="21" spans="1:4" x14ac:dyDescent="0.3">
      <c r="A21" s="18" t="s">
        <v>112</v>
      </c>
      <c r="B21" s="23" t="s">
        <v>113</v>
      </c>
      <c r="C21" s="23" t="str">
        <f t="shared" si="9"/>
        <v>Newmount</v>
      </c>
      <c r="D21" s="94">
        <f>(DCF!AU7/DCF!AP7)^(1/6)-1</f>
        <v>8.4275902911620904E-2</v>
      </c>
    </row>
    <row r="22" spans="1:4" x14ac:dyDescent="0.3">
      <c r="A22" s="17" t="s">
        <v>112</v>
      </c>
      <c r="B22" s="67" t="s">
        <v>113</v>
      </c>
      <c r="C22" s="67" t="str">
        <f t="shared" si="9"/>
        <v>Avg</v>
      </c>
      <c r="D22" s="69">
        <f>AVERAGE(D16:D21)</f>
        <v>6.3739524514394907E-2</v>
      </c>
    </row>
    <row r="23" spans="1:4" x14ac:dyDescent="0.3">
      <c r="A23" s="18" t="str">
        <f>A16</f>
        <v>2025-30</v>
      </c>
      <c r="B23" s="23" t="s">
        <v>115</v>
      </c>
      <c r="C23" s="23" t="str">
        <f t="shared" si="9"/>
        <v>Nucor</v>
      </c>
      <c r="D23" s="46">
        <f>(DCF!G5/DCF!B5)^(1/6)-1</f>
        <v>7.2987096488541958E-2</v>
      </c>
    </row>
    <row r="24" spans="1:4" x14ac:dyDescent="0.3">
      <c r="A24" s="18" t="str">
        <f t="shared" ref="A24:A29" si="10">A17</f>
        <v>2025-30</v>
      </c>
      <c r="B24" s="23" t="s">
        <v>115</v>
      </c>
      <c r="C24" s="23" t="str">
        <f t="shared" si="9"/>
        <v>Freeport</v>
      </c>
      <c r="D24" s="46">
        <f>D17</f>
        <v>0.10219301628730615</v>
      </c>
    </row>
    <row r="25" spans="1:4" x14ac:dyDescent="0.3">
      <c r="A25" s="18" t="str">
        <f t="shared" si="10"/>
        <v>2025-30</v>
      </c>
      <c r="B25" s="23" t="s">
        <v>115</v>
      </c>
      <c r="C25" s="23" t="str">
        <f t="shared" si="9"/>
        <v>Alcoa</v>
      </c>
      <c r="D25" s="46">
        <f t="shared" si="9"/>
        <v>4.2131750849490945E-2</v>
      </c>
    </row>
    <row r="26" spans="1:4" x14ac:dyDescent="0.3">
      <c r="A26" s="18" t="str">
        <f t="shared" si="10"/>
        <v>2025-30</v>
      </c>
      <c r="B26" s="23" t="s">
        <v>115</v>
      </c>
      <c r="C26" s="23" t="str">
        <f t="shared" si="9"/>
        <v>RFIL</v>
      </c>
      <c r="D26" s="46">
        <f t="shared" si="9"/>
        <v>6.2582206823801778E-2</v>
      </c>
    </row>
    <row r="27" spans="1:4" x14ac:dyDescent="0.3">
      <c r="A27" s="18" t="str">
        <f t="shared" si="10"/>
        <v>2025-30</v>
      </c>
      <c r="B27" s="23" t="s">
        <v>115</v>
      </c>
      <c r="C27" s="23" t="str">
        <f t="shared" si="9"/>
        <v>Dow</v>
      </c>
      <c r="D27" s="46">
        <f t="shared" si="9"/>
        <v>1.826717372560771E-2</v>
      </c>
    </row>
    <row r="28" spans="1:4" x14ac:dyDescent="0.3">
      <c r="A28" s="18" t="str">
        <f t="shared" si="10"/>
        <v>2025-30</v>
      </c>
      <c r="B28" s="23" t="s">
        <v>115</v>
      </c>
      <c r="C28" s="23" t="str">
        <f t="shared" si="9"/>
        <v>Newmount</v>
      </c>
      <c r="D28" s="46">
        <f t="shared" si="9"/>
        <v>8.4275902911620904E-2</v>
      </c>
    </row>
    <row r="29" spans="1:4" x14ac:dyDescent="0.3">
      <c r="A29" s="17" t="str">
        <f t="shared" si="10"/>
        <v>2025-30</v>
      </c>
      <c r="B29" s="67" t="s">
        <v>115</v>
      </c>
      <c r="C29" s="67" t="str">
        <f t="shared" si="9"/>
        <v>Avg</v>
      </c>
      <c r="D29" s="69">
        <f>AVERAGE(D23:D28)</f>
        <v>6.3739524514394907E-2</v>
      </c>
    </row>
    <row r="30" spans="1:4" x14ac:dyDescent="0.3">
      <c r="A30" s="18" t="str">
        <f>A23</f>
        <v>2025-30</v>
      </c>
      <c r="B30" s="23" t="s">
        <v>43</v>
      </c>
      <c r="C30" s="23" t="str">
        <f t="shared" si="9"/>
        <v>Nucor</v>
      </c>
      <c r="D30" s="46">
        <f>D23</f>
        <v>7.2987096488541958E-2</v>
      </c>
    </row>
    <row r="31" spans="1:4" x14ac:dyDescent="0.3">
      <c r="A31" s="18" t="str">
        <f t="shared" ref="A31:A36" si="11">A24</f>
        <v>2025-30</v>
      </c>
      <c r="B31" s="23" t="s">
        <v>43</v>
      </c>
      <c r="C31" s="23" t="str">
        <f t="shared" si="9"/>
        <v>Freeport</v>
      </c>
      <c r="D31" s="46">
        <f t="shared" si="9"/>
        <v>0.10219301628730615</v>
      </c>
    </row>
    <row r="32" spans="1:4" x14ac:dyDescent="0.3">
      <c r="A32" s="18" t="str">
        <f t="shared" si="11"/>
        <v>2025-30</v>
      </c>
      <c r="B32" s="23" t="s">
        <v>43</v>
      </c>
      <c r="C32" s="23" t="str">
        <f t="shared" si="9"/>
        <v>Alcoa</v>
      </c>
      <c r="D32" s="46">
        <f t="shared" si="9"/>
        <v>4.2131750849490945E-2</v>
      </c>
    </row>
    <row r="33" spans="1:4" x14ac:dyDescent="0.3">
      <c r="A33" s="18" t="str">
        <f t="shared" si="11"/>
        <v>2025-30</v>
      </c>
      <c r="B33" s="23" t="s">
        <v>43</v>
      </c>
      <c r="C33" s="23" t="str">
        <f t="shared" si="9"/>
        <v>RFIL</v>
      </c>
      <c r="D33" s="46">
        <f t="shared" si="9"/>
        <v>6.2582206823801778E-2</v>
      </c>
    </row>
    <row r="34" spans="1:4" x14ac:dyDescent="0.3">
      <c r="A34" s="18" t="str">
        <f t="shared" si="11"/>
        <v>2025-30</v>
      </c>
      <c r="B34" s="23" t="s">
        <v>43</v>
      </c>
      <c r="C34" s="23" t="str">
        <f t="shared" si="9"/>
        <v>Dow</v>
      </c>
      <c r="D34" s="46">
        <f t="shared" si="9"/>
        <v>1.826717372560771E-2</v>
      </c>
    </row>
    <row r="35" spans="1:4" x14ac:dyDescent="0.3">
      <c r="A35" s="18" t="str">
        <f t="shared" si="11"/>
        <v>2025-30</v>
      </c>
      <c r="B35" s="23" t="s">
        <v>43</v>
      </c>
      <c r="C35" s="23" t="str">
        <f t="shared" si="9"/>
        <v>Newmount</v>
      </c>
      <c r="D35" s="46">
        <f t="shared" si="9"/>
        <v>8.4275902911620904E-2</v>
      </c>
    </row>
    <row r="36" spans="1:4" x14ac:dyDescent="0.3">
      <c r="A36" s="17" t="str">
        <f t="shared" si="11"/>
        <v>2025-30</v>
      </c>
      <c r="B36" s="67" t="s">
        <v>43</v>
      </c>
      <c r="C36" s="67" t="str">
        <f t="shared" si="9"/>
        <v>Avg</v>
      </c>
      <c r="D36" s="69">
        <f>AVERAGE(D30:D35)</f>
        <v>6.3739524514394907E-2</v>
      </c>
    </row>
    <row r="37" spans="1:4" x14ac:dyDescent="0.3">
      <c r="A37" s="18" t="str">
        <f>A2</f>
        <v>2020-24</v>
      </c>
      <c r="B37" s="23" t="s">
        <v>119</v>
      </c>
      <c r="C37" s="23" t="str">
        <f t="shared" si="9"/>
        <v>Nucor</v>
      </c>
      <c r="D37" s="46">
        <f>(AVERAGE(Financials!B6:F6)+AVERAGE(Financials!B7:F7))/AVERAGE(Financials!B3:F3)</f>
        <v>0.21466131933242591</v>
      </c>
    </row>
    <row r="38" spans="1:4" x14ac:dyDescent="0.3">
      <c r="A38" s="18" t="str">
        <f t="shared" ref="A38:A42" si="12">A3</f>
        <v>2020-24</v>
      </c>
      <c r="B38" s="23" t="s">
        <v>119</v>
      </c>
      <c r="C38" s="23" t="str">
        <f t="shared" si="9"/>
        <v>Freeport</v>
      </c>
      <c r="D38" s="46">
        <f>(AVERAGE(Financials!I6:M6)+AVERAGE(Financials!I7:M7))/AVERAGE(Financials!I3:M3)</f>
        <v>0.4682844275105657</v>
      </c>
    </row>
    <row r="39" spans="1:4" x14ac:dyDescent="0.3">
      <c r="A39" s="18" t="str">
        <f t="shared" si="12"/>
        <v>2020-24</v>
      </c>
      <c r="B39" s="23" t="s">
        <v>119</v>
      </c>
      <c r="C39" s="23" t="str">
        <f t="shared" si="9"/>
        <v>Alcoa</v>
      </c>
      <c r="D39" s="46">
        <f>(AVERAGE(Financials!P6:T6)+AVERAGE(Financials!P7:T7))/AVERAGE(Financials!P3:T3)</f>
        <v>0.1580722463832431</v>
      </c>
    </row>
    <row r="40" spans="1:4" x14ac:dyDescent="0.3">
      <c r="A40" s="18" t="str">
        <f t="shared" si="12"/>
        <v>2020-24</v>
      </c>
      <c r="B40" s="23" t="s">
        <v>119</v>
      </c>
      <c r="C40" s="23" t="str">
        <f t="shared" si="9"/>
        <v>RFIL</v>
      </c>
      <c r="D40" s="46">
        <f>(AVERAGE(Financials!X6:AB6)+AVERAGE(Financials!X7:AB7))/AVERAGE(Financials!X3:AB3)</f>
        <v>0.4649426122330379</v>
      </c>
    </row>
    <row r="41" spans="1:4" x14ac:dyDescent="0.3">
      <c r="A41" s="18" t="str">
        <f t="shared" si="12"/>
        <v>2020-24</v>
      </c>
      <c r="B41" s="23" t="s">
        <v>119</v>
      </c>
      <c r="C41" s="23" t="str">
        <f t="shared" si="9"/>
        <v>Dow</v>
      </c>
      <c r="D41" s="46">
        <f>(AVERAGE(Financials!AF6:AJ6)+AVERAGE(Financials!AF7:AJ7))/AVERAGE(Financials!AF3:AJ3)</f>
        <v>7.7080479667896371E-2</v>
      </c>
    </row>
    <row r="42" spans="1:4" x14ac:dyDescent="0.3">
      <c r="A42" s="18" t="str">
        <f t="shared" si="12"/>
        <v>2020-24</v>
      </c>
      <c r="B42" s="23" t="s">
        <v>119</v>
      </c>
      <c r="C42" s="23" t="str">
        <f t="shared" si="9"/>
        <v>Newmount</v>
      </c>
      <c r="D42" s="46">
        <f>(AVERAGE(Financials!AN6:AR6)+AVERAGE(Financials!AN7:AR7))/AVERAGE(Financials!AN3:AR3)</f>
        <v>0.45483002661504957</v>
      </c>
    </row>
    <row r="43" spans="1:4" x14ac:dyDescent="0.3">
      <c r="A43" s="17" t="str">
        <f>A8</f>
        <v>2020-24</v>
      </c>
      <c r="B43" s="67" t="s">
        <v>119</v>
      </c>
      <c r="C43" s="67" t="str">
        <f t="shared" si="9"/>
        <v>Avg</v>
      </c>
      <c r="D43" s="69">
        <f>AVERAGE(D37:D42)</f>
        <v>0.30631185195703642</v>
      </c>
    </row>
    <row r="44" spans="1:4" x14ac:dyDescent="0.3">
      <c r="A44" s="18" t="str">
        <f>A37</f>
        <v>2020-24</v>
      </c>
      <c r="B44" s="23" t="s">
        <v>121</v>
      </c>
      <c r="C44" s="23" t="str">
        <f t="shared" si="9"/>
        <v>Nucor</v>
      </c>
      <c r="D44" s="46">
        <f>AVERAGE(Financials!B10:F10)/AVERAGE(Financials!B3:F3)</f>
        <v>0.10950562397080435</v>
      </c>
    </row>
    <row r="45" spans="1:4" x14ac:dyDescent="0.3">
      <c r="A45" s="18" t="str">
        <f t="shared" ref="A45:A50" si="13">A38</f>
        <v>2020-24</v>
      </c>
      <c r="B45" s="23" t="s">
        <v>121</v>
      </c>
      <c r="C45" s="23" t="str">
        <f t="shared" si="9"/>
        <v>Freeport</v>
      </c>
      <c r="D45" s="46">
        <f>AVERAGE(Financials!I10:M10)/AVERAGE(Financials!I3:M3)</f>
        <v>0.16675760406166482</v>
      </c>
    </row>
    <row r="46" spans="1:4" x14ac:dyDescent="0.3">
      <c r="A46" s="18" t="str">
        <f t="shared" si="13"/>
        <v>2020-24</v>
      </c>
      <c r="B46" s="23" t="s">
        <v>121</v>
      </c>
      <c r="C46" s="23" t="str">
        <f t="shared" si="9"/>
        <v>Alcoa</v>
      </c>
      <c r="D46" s="46">
        <f>AVERAGE(Financials!P10:T10)/AVERAGE(Financials!P3:T3)</f>
        <v>-2.7513978876364605E-3</v>
      </c>
    </row>
    <row r="47" spans="1:4" x14ac:dyDescent="0.3">
      <c r="A47" s="18" t="str">
        <f t="shared" si="13"/>
        <v>2020-24</v>
      </c>
      <c r="B47" s="23" t="s">
        <v>121</v>
      </c>
      <c r="C47" s="23" t="str">
        <f t="shared" si="9"/>
        <v>RFIL</v>
      </c>
      <c r="D47" s="46">
        <f>AVERAGE(Financials!X10:AB10)/AVERAGE(Financials!X3:AB3)</f>
        <v>0.1164608455615284</v>
      </c>
    </row>
    <row r="48" spans="1:4" x14ac:dyDescent="0.3">
      <c r="A48" s="18" t="str">
        <f t="shared" si="13"/>
        <v>2020-24</v>
      </c>
      <c r="B48" s="23" t="s">
        <v>121</v>
      </c>
      <c r="C48" s="23" t="str">
        <f t="shared" si="9"/>
        <v>Dow</v>
      </c>
      <c r="D48" s="46">
        <f>AVERAGE(Financials!AF10:AJ10)/AVERAGE(Financials!AF3:AJ3)</f>
        <v>2.8101076479634283E-2</v>
      </c>
    </row>
    <row r="49" spans="1:4" x14ac:dyDescent="0.3">
      <c r="A49" s="18" t="str">
        <f t="shared" si="13"/>
        <v>2020-24</v>
      </c>
      <c r="B49" s="23" t="s">
        <v>121</v>
      </c>
      <c r="C49" s="23" t="str">
        <f t="shared" si="9"/>
        <v>Newmount</v>
      </c>
      <c r="D49" s="46">
        <f>AVERAGE(Financials!AN10:AR10)/AVERAGE(Financials!AN3:AR3)</f>
        <v>2.2471570287926443E-2</v>
      </c>
    </row>
    <row r="50" spans="1:4" x14ac:dyDescent="0.3">
      <c r="A50" s="17" t="str">
        <f t="shared" si="13"/>
        <v>2020-24</v>
      </c>
      <c r="B50" s="67" t="s">
        <v>121</v>
      </c>
      <c r="C50" s="67" t="str">
        <f t="shared" si="9"/>
        <v>Avg</v>
      </c>
      <c r="D50" s="69">
        <f>AVERAGE(D44:D49)</f>
        <v>7.3424220412320315E-2</v>
      </c>
    </row>
    <row r="51" spans="1:4" x14ac:dyDescent="0.3">
      <c r="A51" s="18" t="str">
        <f>A30</f>
        <v>2025-30</v>
      </c>
      <c r="B51" s="23" t="s">
        <v>120</v>
      </c>
      <c r="C51" s="23" t="str">
        <f t="shared" si="9"/>
        <v>Nucor</v>
      </c>
      <c r="D51" s="21">
        <f>AVERAGE(DCF!B3:G3)</f>
        <v>41747.658844347221</v>
      </c>
    </row>
    <row r="52" spans="1:4" x14ac:dyDescent="0.3">
      <c r="A52" s="18" t="str">
        <f t="shared" ref="A52:A57" si="14">A31</f>
        <v>2025-30</v>
      </c>
      <c r="B52" s="23" t="s">
        <v>120</v>
      </c>
      <c r="C52" s="23" t="str">
        <f t="shared" si="9"/>
        <v>Freeport</v>
      </c>
      <c r="D52" s="21">
        <f>AVERAGE(DCF!J3:O3)</f>
        <v>39070.944134478195</v>
      </c>
    </row>
    <row r="53" spans="1:4" x14ac:dyDescent="0.3">
      <c r="A53" s="18" t="str">
        <f t="shared" si="14"/>
        <v>2025-30</v>
      </c>
      <c r="B53" s="23" t="s">
        <v>120</v>
      </c>
      <c r="C53" s="23" t="str">
        <f t="shared" si="9"/>
        <v>Alcoa</v>
      </c>
      <c r="D53" s="21">
        <f>AVERAGE(DCF!R3:W3)</f>
        <v>14196.835484877556</v>
      </c>
    </row>
    <row r="54" spans="1:4" x14ac:dyDescent="0.3">
      <c r="A54" s="18" t="str">
        <f t="shared" si="14"/>
        <v>2025-30</v>
      </c>
      <c r="B54" s="23" t="s">
        <v>120</v>
      </c>
      <c r="C54" s="23" t="str">
        <f t="shared" si="9"/>
        <v>RFIL</v>
      </c>
      <c r="D54" s="21">
        <f>AVERAGE(DCF!Z3:AE3)</f>
        <v>7719.1880129808633</v>
      </c>
    </row>
    <row r="55" spans="1:4" x14ac:dyDescent="0.3">
      <c r="A55" s="18" t="str">
        <f t="shared" si="14"/>
        <v>2025-30</v>
      </c>
      <c r="B55" s="23" t="s">
        <v>120</v>
      </c>
      <c r="C55" s="23" t="str">
        <f t="shared" si="9"/>
        <v>Dow</v>
      </c>
      <c r="D55" s="21">
        <f>AVERAGE(DCF!AH3:AM3)</f>
        <v>46389.837414357382</v>
      </c>
    </row>
    <row r="56" spans="1:4" x14ac:dyDescent="0.3">
      <c r="A56" s="18" t="str">
        <f t="shared" si="14"/>
        <v>2025-30</v>
      </c>
      <c r="B56" s="23" t="s">
        <v>120</v>
      </c>
      <c r="C56" s="23" t="str">
        <f t="shared" si="9"/>
        <v>Newmount</v>
      </c>
      <c r="D56" s="21">
        <f>AVERAGE(DCF!AP3:AU3)</f>
        <v>26605.051658600762</v>
      </c>
    </row>
    <row r="57" spans="1:4" x14ac:dyDescent="0.3">
      <c r="A57" s="17" t="str">
        <f t="shared" si="14"/>
        <v>2025-30</v>
      </c>
      <c r="B57" s="67" t="s">
        <v>120</v>
      </c>
      <c r="C57" s="67" t="str">
        <f t="shared" si="9"/>
        <v>Avg</v>
      </c>
      <c r="D57" s="22">
        <f>AVERAGE(D51:D56)</f>
        <v>29288.252591606997</v>
      </c>
    </row>
    <row r="58" spans="1:4" x14ac:dyDescent="0.3">
      <c r="A58" s="18" t="str">
        <f>A51</f>
        <v>2025-30</v>
      </c>
      <c r="B58" s="23" t="s">
        <v>136</v>
      </c>
      <c r="C58" s="23" t="str">
        <f t="shared" si="9"/>
        <v>Nucor</v>
      </c>
      <c r="D58" s="46">
        <f>D9/D51</f>
        <v>6.4187823332228749E-2</v>
      </c>
    </row>
    <row r="59" spans="1:4" x14ac:dyDescent="0.3">
      <c r="A59" s="18" t="str">
        <f t="shared" ref="A59:A64" si="15">A52</f>
        <v>2025-30</v>
      </c>
      <c r="B59" s="23" t="s">
        <v>136</v>
      </c>
      <c r="C59" s="23" t="str">
        <f t="shared" si="9"/>
        <v>Freeport</v>
      </c>
      <c r="D59" s="46">
        <f t="shared" ref="D59:D63" si="16">D10/D52</f>
        <v>0.15885067463216596</v>
      </c>
    </row>
    <row r="60" spans="1:4" x14ac:dyDescent="0.3">
      <c r="A60" s="18" t="str">
        <f t="shared" si="15"/>
        <v>2025-30</v>
      </c>
      <c r="B60" s="23" t="s">
        <v>136</v>
      </c>
      <c r="C60" s="23" t="str">
        <f t="shared" si="9"/>
        <v>Alcoa</v>
      </c>
      <c r="D60" s="46">
        <f t="shared" si="16"/>
        <v>4.1430726901570965E-2</v>
      </c>
    </row>
    <row r="61" spans="1:4" x14ac:dyDescent="0.3">
      <c r="A61" s="18" t="str">
        <f t="shared" si="15"/>
        <v>2025-30</v>
      </c>
      <c r="B61" s="23" t="s">
        <v>136</v>
      </c>
      <c r="C61" s="23" t="str">
        <f t="shared" si="9"/>
        <v>RFIL</v>
      </c>
      <c r="D61" s="46">
        <f t="shared" si="16"/>
        <v>6.6627923870405364E-2</v>
      </c>
    </row>
    <row r="62" spans="1:4" x14ac:dyDescent="0.3">
      <c r="A62" s="18" t="str">
        <f t="shared" si="15"/>
        <v>2025-30</v>
      </c>
      <c r="B62" s="23" t="s">
        <v>136</v>
      </c>
      <c r="C62" s="23" t="str">
        <f t="shared" si="9"/>
        <v>Dow</v>
      </c>
      <c r="D62" s="46">
        <f t="shared" si="16"/>
        <v>4.1479340162522374E-2</v>
      </c>
    </row>
    <row r="63" spans="1:4" x14ac:dyDescent="0.3">
      <c r="A63" s="18" t="str">
        <f t="shared" si="15"/>
        <v>2025-30</v>
      </c>
      <c r="B63" s="23" t="s">
        <v>136</v>
      </c>
      <c r="C63" s="23" t="str">
        <f t="shared" si="9"/>
        <v>Newmount</v>
      </c>
      <c r="D63" s="46">
        <f t="shared" si="16"/>
        <v>0.16867287684490689</v>
      </c>
    </row>
    <row r="64" spans="1:4" x14ac:dyDescent="0.3">
      <c r="A64" s="17" t="str">
        <f t="shared" si="15"/>
        <v>2025-30</v>
      </c>
      <c r="B64" s="67" t="s">
        <v>136</v>
      </c>
      <c r="C64" s="67" t="str">
        <f t="shared" si="9"/>
        <v>Avg</v>
      </c>
      <c r="D64" s="69">
        <f>AVERAGE(D58:D63)</f>
        <v>9.0208227623966727E-2</v>
      </c>
    </row>
    <row r="65" spans="1:4" x14ac:dyDescent="0.3">
      <c r="A65" s="18" t="str">
        <f>A44</f>
        <v>2020-24</v>
      </c>
      <c r="B65" s="23" t="s">
        <v>118</v>
      </c>
      <c r="C65" s="23" t="str">
        <f>C58</f>
        <v>Nucor</v>
      </c>
      <c r="D65" s="46">
        <f>(Financials!F10-Financials!C10)/Financials!C10</f>
        <v>-0.8557002477065847</v>
      </c>
    </row>
    <row r="66" spans="1:4" x14ac:dyDescent="0.3">
      <c r="A66" s="18" t="str">
        <f t="shared" ref="A66:A71" si="17">A45</f>
        <v>2020-24</v>
      </c>
      <c r="B66" s="23" t="s">
        <v>118</v>
      </c>
      <c r="C66" s="23" t="str">
        <f t="shared" ref="C66:C70" si="18">C59</f>
        <v>Freeport</v>
      </c>
      <c r="D66" s="46">
        <f>(Financials!M10-Financials!J10)/Financials!J10</f>
        <v>-0.26404391582799636</v>
      </c>
    </row>
    <row r="67" spans="1:4" x14ac:dyDescent="0.3">
      <c r="A67" s="18" t="str">
        <f t="shared" si="17"/>
        <v>2020-24</v>
      </c>
      <c r="B67" s="23" t="s">
        <v>118</v>
      </c>
      <c r="C67" s="23" t="str">
        <f t="shared" si="18"/>
        <v>Alcoa</v>
      </c>
      <c r="D67" s="46">
        <f>(Financials!T10-Financials!Q10)/Financials!Q10</f>
        <v>-0.95789473684210524</v>
      </c>
    </row>
    <row r="68" spans="1:4" x14ac:dyDescent="0.3">
      <c r="A68" s="18" t="str">
        <f t="shared" si="17"/>
        <v>2020-24</v>
      </c>
      <c r="B68" s="23" t="s">
        <v>118</v>
      </c>
      <c r="C68" s="23" t="str">
        <f t="shared" si="18"/>
        <v>RFIL</v>
      </c>
      <c r="D68" s="46">
        <f>(Financials!AB10-Financials!Y10)/Financials!Y10</f>
        <v>0.25688073394495414</v>
      </c>
    </row>
    <row r="69" spans="1:4" x14ac:dyDescent="0.3">
      <c r="A69" s="18" t="str">
        <f t="shared" si="17"/>
        <v>2020-24</v>
      </c>
      <c r="B69" s="23" t="s">
        <v>118</v>
      </c>
      <c r="C69" s="23" t="str">
        <f t="shared" si="18"/>
        <v>Dow</v>
      </c>
      <c r="D69" s="46">
        <f>(Financials!AJ10-Financials!AG10)/Financials!AG10</f>
        <v>-0.81585503963759909</v>
      </c>
    </row>
    <row r="70" spans="1:4" x14ac:dyDescent="0.3">
      <c r="A70" s="18" t="str">
        <f t="shared" si="17"/>
        <v>2020-24</v>
      </c>
      <c r="B70" s="23" t="s">
        <v>118</v>
      </c>
      <c r="C70" s="23" t="str">
        <f t="shared" si="18"/>
        <v>Newmount</v>
      </c>
      <c r="D70" s="46">
        <f>(Financials!AR10-Financials!AN10)/Financials!AN10</f>
        <v>0.53567447045707917</v>
      </c>
    </row>
    <row r="71" spans="1:4" x14ac:dyDescent="0.3">
      <c r="A71" s="17" t="str">
        <f t="shared" si="17"/>
        <v>2020-24</v>
      </c>
      <c r="B71" s="67" t="s">
        <v>118</v>
      </c>
      <c r="C71" s="67" t="str">
        <f>C64</f>
        <v>Avg</v>
      </c>
      <c r="D71" s="69">
        <f>AVERAGE(D65:D70)</f>
        <v>-0.35015645593537537</v>
      </c>
    </row>
    <row r="72" spans="1:4" x14ac:dyDescent="0.3">
      <c r="A72" s="18" t="str">
        <f>A58</f>
        <v>2025-30</v>
      </c>
      <c r="B72" s="23" t="str">
        <f>B65</f>
        <v>Earnings Growth</v>
      </c>
      <c r="C72" s="23" t="str">
        <f>C65</f>
        <v>Nucor</v>
      </c>
      <c r="D72" s="46">
        <f>(DCF!G5-DCF!B5)/DCF!B5</f>
        <v>0.52604378882700065</v>
      </c>
    </row>
    <row r="73" spans="1:4" x14ac:dyDescent="0.3">
      <c r="A73" s="18" t="str">
        <f t="shared" ref="A73:A78" si="19">A59</f>
        <v>2025-30</v>
      </c>
      <c r="B73" s="23" t="str">
        <f t="shared" ref="B73:B78" si="20">B66</f>
        <v>Earnings Growth</v>
      </c>
      <c r="C73" s="23" t="str">
        <f t="shared" ref="C73:C77" si="21">C66</f>
        <v>Freeport</v>
      </c>
      <c r="D73" s="46">
        <f>(DCF!O5-DCF!J5)/DCF!J5</f>
        <v>0.79285814903507568</v>
      </c>
    </row>
    <row r="74" spans="1:4" x14ac:dyDescent="0.3">
      <c r="A74" s="18" t="str">
        <f t="shared" si="19"/>
        <v>2025-30</v>
      </c>
      <c r="B74" s="23" t="str">
        <f t="shared" si="20"/>
        <v>Earnings Growth</v>
      </c>
      <c r="C74" s="23" t="str">
        <f t="shared" si="21"/>
        <v>Alcoa</v>
      </c>
      <c r="D74" s="46">
        <f>(DCF!W5-DCF!R5)/DCF!R5</f>
        <v>0.28096058582812866</v>
      </c>
    </row>
    <row r="75" spans="1:4" x14ac:dyDescent="0.3">
      <c r="A75" s="18" t="str">
        <f t="shared" si="19"/>
        <v>2025-30</v>
      </c>
      <c r="B75" s="23" t="str">
        <f t="shared" si="20"/>
        <v>Earnings Growth</v>
      </c>
      <c r="C75" s="23" t="str">
        <f t="shared" si="21"/>
        <v>RFIL</v>
      </c>
      <c r="D75" s="46">
        <f>(DCF!AE5-DCF!Z5)/DCF!Z5</f>
        <v>0.43937924345295781</v>
      </c>
    </row>
    <row r="76" spans="1:4" x14ac:dyDescent="0.3">
      <c r="A76" s="18" t="str">
        <f t="shared" si="19"/>
        <v>2025-30</v>
      </c>
      <c r="B76" s="23" t="str">
        <f t="shared" si="20"/>
        <v>Earnings Growth</v>
      </c>
      <c r="C76" s="23" t="str">
        <f t="shared" si="21"/>
        <v>Dow</v>
      </c>
      <c r="D76" s="46">
        <f>(DCF!AM5-DCF!AH5)/DCF!AH5</f>
        <v>0.11473198069638287</v>
      </c>
    </row>
    <row r="77" spans="1:4" x14ac:dyDescent="0.3">
      <c r="A77" s="18" t="str">
        <f t="shared" si="19"/>
        <v>2025-30</v>
      </c>
      <c r="B77" s="23" t="str">
        <f t="shared" si="20"/>
        <v>Earnings Growth</v>
      </c>
      <c r="C77" s="23" t="str">
        <f t="shared" si="21"/>
        <v>Newmount</v>
      </c>
      <c r="D77" s="46">
        <f>(DCF!AU5-DCF!AP5)/DCF!AP5</f>
        <v>0.62494563799252001</v>
      </c>
    </row>
    <row r="78" spans="1:4" x14ac:dyDescent="0.3">
      <c r="A78" s="17" t="str">
        <f t="shared" si="19"/>
        <v>2025-30</v>
      </c>
      <c r="B78" s="67" t="str">
        <f t="shared" si="20"/>
        <v>Earnings Growth</v>
      </c>
      <c r="C78" s="67" t="str">
        <f>C71</f>
        <v>Avg</v>
      </c>
      <c r="D78" s="69">
        <f>AVERAGE(D72:D77)</f>
        <v>0.46315323097201094</v>
      </c>
    </row>
    <row r="79" spans="1:4" x14ac:dyDescent="0.3">
      <c r="A79" s="18" t="str">
        <f>A65</f>
        <v>2020-24</v>
      </c>
      <c r="B79" s="23" t="str">
        <f>B23</f>
        <v>Earnings CAGR</v>
      </c>
      <c r="C79" s="23" t="str">
        <f>C72</f>
        <v>Nucor</v>
      </c>
      <c r="D79" s="46">
        <f>(Financials!E10/Financials!C10)^(1/3)-1</f>
        <v>-0.16189360924581297</v>
      </c>
    </row>
    <row r="80" spans="1:4" x14ac:dyDescent="0.3">
      <c r="A80" s="18" t="str">
        <f t="shared" ref="A80:A85" si="22">A66</f>
        <v>2020-24</v>
      </c>
      <c r="B80" s="23" t="str">
        <f t="shared" ref="B80:B85" si="23">B24</f>
        <v>Earnings CAGR</v>
      </c>
      <c r="C80" s="23" t="str">
        <f t="shared" ref="C80:C85" si="24">C73</f>
        <v>Freeport</v>
      </c>
      <c r="D80" s="46">
        <f>(Financials!M10/Financials!J10)^(1/4)-1</f>
        <v>-7.3782515618604938E-2</v>
      </c>
    </row>
    <row r="81" spans="1:4" x14ac:dyDescent="0.3">
      <c r="A81" s="18" t="str">
        <f t="shared" si="22"/>
        <v>2020-24</v>
      </c>
      <c r="B81" s="23" t="str">
        <f t="shared" si="23"/>
        <v>Earnings CAGR</v>
      </c>
      <c r="C81" s="23" t="str">
        <f t="shared" si="24"/>
        <v>Alcoa</v>
      </c>
      <c r="D81" s="46">
        <f>(Financials!T10/Financials!Q10)^(1/4)-1</f>
        <v>-0.54701471280290925</v>
      </c>
    </row>
    <row r="82" spans="1:4" x14ac:dyDescent="0.3">
      <c r="A82" s="18" t="str">
        <f t="shared" si="22"/>
        <v>2020-24</v>
      </c>
      <c r="B82" s="23" t="str">
        <f t="shared" si="23"/>
        <v>Earnings CAGR</v>
      </c>
      <c r="C82" s="23" t="str">
        <f t="shared" si="24"/>
        <v>RFIL</v>
      </c>
      <c r="D82" s="46">
        <f>(Financials!AB10/Financials!Y10)^(1/4)-1</f>
        <v>5.8823367475091315E-2</v>
      </c>
    </row>
    <row r="83" spans="1:4" x14ac:dyDescent="0.3">
      <c r="A83" s="18" t="str">
        <f t="shared" si="22"/>
        <v>2020-24</v>
      </c>
      <c r="B83" s="23" t="str">
        <f t="shared" si="23"/>
        <v>Earnings CAGR</v>
      </c>
      <c r="C83" s="23" t="str">
        <f t="shared" si="24"/>
        <v>Dow</v>
      </c>
      <c r="D83" s="46">
        <f>(Financials!AJ10/Financials!AI10)^(1/2)-1</f>
        <v>0.35931132296000268</v>
      </c>
    </row>
    <row r="84" spans="1:4" x14ac:dyDescent="0.3">
      <c r="A84" s="18" t="str">
        <f t="shared" si="22"/>
        <v>2020-24</v>
      </c>
      <c r="B84" s="23" t="str">
        <f t="shared" si="23"/>
        <v>Earnings CAGR</v>
      </c>
      <c r="C84" s="23" t="str">
        <f t="shared" si="24"/>
        <v>Newmount</v>
      </c>
      <c r="D84" s="46">
        <f>(Financials!AR10/Financials!AN10)^(1/5)-1</f>
        <v>8.9581781365354329E-2</v>
      </c>
    </row>
    <row r="85" spans="1:4" x14ac:dyDescent="0.3">
      <c r="A85" s="17" t="str">
        <f t="shared" si="22"/>
        <v>2020-24</v>
      </c>
      <c r="B85" s="67" t="str">
        <f t="shared" si="23"/>
        <v>Earnings CAGR</v>
      </c>
      <c r="C85" s="67" t="str">
        <f t="shared" si="24"/>
        <v>Avg</v>
      </c>
      <c r="D85" s="69">
        <f>AVERAGE(D79:D84)</f>
        <v>-4.5829060977813141E-2</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Company Profile</vt:lpstr>
      <vt:lpstr>Financials</vt:lpstr>
      <vt:lpstr>Assumptions &amp; WACC</vt:lpstr>
      <vt:lpstr>DCF</vt:lpstr>
      <vt:lpstr>Relative</vt:lpstr>
      <vt:lpstr>Calc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Akshat Gupta</dc:creator>
  <cp:lastModifiedBy>Akshat Gupta</cp:lastModifiedBy>
  <dcterms:created xsi:type="dcterms:W3CDTF">2015-06-05T18:17:20Z</dcterms:created>
  <dcterms:modified xsi:type="dcterms:W3CDTF">2025-11-19T22:40:25Z</dcterms:modified>
</cp:coreProperties>
</file>