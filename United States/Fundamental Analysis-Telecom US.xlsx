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US\"/>
    </mc:Choice>
  </mc:AlternateContent>
  <xr:revisionPtr revIDLastSave="0" documentId="13_ncr:1_{C6325ACA-91D9-43D0-8DE4-04992268D0F0}" xr6:coauthVersionLast="47" xr6:coauthVersionMax="47" xr10:uidLastSave="{00000000-0000-0000-0000-000000000000}"/>
  <bookViews>
    <workbookView xWindow="13728" yWindow="0" windowWidth="9408" windowHeight="12336" firstSheet="1" activeTab="1" xr2:uid="{00000000-000D-0000-FFFF-FFFF00000000}"/>
  </bookViews>
  <sheets>
    <sheet name="Profile" sheetId="1" r:id="rId1"/>
    <sheet name="Financials" sheetId="2" r:id="rId2"/>
    <sheet name="Assumptions &amp; WACC" sheetId="3" r:id="rId3"/>
    <sheet name="DCF" sheetId="4" r:id="rId4"/>
    <sheet name="Relative" sheetId="5" r:id="rId5"/>
    <sheet name="Calc"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3" i="2" l="1"/>
  <c r="AH33" i="2"/>
  <c r="AI33" i="2"/>
  <c r="AJ33" i="2"/>
  <c r="AG34" i="2"/>
  <c r="AH34" i="2"/>
  <c r="AI34" i="2"/>
  <c r="AJ34" i="2"/>
  <c r="AG35" i="2"/>
  <c r="AH35" i="2"/>
  <c r="AI35" i="2"/>
  <c r="AJ35" i="2"/>
  <c r="AG38" i="2"/>
  <c r="AH38" i="2"/>
  <c r="AI38" i="2"/>
  <c r="AJ38" i="2"/>
  <c r="AK38" i="2"/>
  <c r="AG39" i="2"/>
  <c r="AH39" i="2"/>
  <c r="AI39" i="2"/>
  <c r="AJ39" i="2"/>
  <c r="AK39" i="2"/>
  <c r="AG40" i="2"/>
  <c r="AH40" i="2"/>
  <c r="AI40" i="2"/>
  <c r="AJ40" i="2"/>
  <c r="AK40" i="2"/>
  <c r="AF39" i="2"/>
  <c r="AF40" i="2"/>
  <c r="AF38" i="2"/>
  <c r="AF35" i="2"/>
  <c r="AF34" i="2"/>
  <c r="AF33" i="2"/>
  <c r="Y33" i="2"/>
  <c r="Z33" i="2"/>
  <c r="AA33" i="2"/>
  <c r="AB33" i="2"/>
  <c r="Y34" i="2"/>
  <c r="Z34" i="2"/>
  <c r="AA34" i="2"/>
  <c r="AB34" i="2"/>
  <c r="Y35" i="2"/>
  <c r="Z35" i="2"/>
  <c r="AA35" i="2"/>
  <c r="AB35" i="2"/>
  <c r="Y38" i="2"/>
  <c r="Z38" i="2"/>
  <c r="AA38" i="2"/>
  <c r="AB38" i="2"/>
  <c r="AC38" i="2"/>
  <c r="Y39" i="2"/>
  <c r="Z39" i="2"/>
  <c r="AA39" i="2"/>
  <c r="AB39" i="2"/>
  <c r="AC39" i="2"/>
  <c r="Y40" i="2"/>
  <c r="Z40" i="2"/>
  <c r="AA40" i="2"/>
  <c r="AB40" i="2"/>
  <c r="AC40" i="2"/>
  <c r="X39" i="2"/>
  <c r="X40" i="2"/>
  <c r="X38" i="2"/>
  <c r="X35" i="2"/>
  <c r="X34" i="2"/>
  <c r="X33" i="2"/>
  <c r="Q38" i="2"/>
  <c r="R38" i="2"/>
  <c r="S38" i="2"/>
  <c r="T38" i="2"/>
  <c r="U38" i="2"/>
  <c r="Q39" i="2"/>
  <c r="R39" i="2"/>
  <c r="S39" i="2"/>
  <c r="T39" i="2"/>
  <c r="U39" i="2"/>
  <c r="Q40" i="2"/>
  <c r="R40" i="2"/>
  <c r="S40" i="2"/>
  <c r="T40" i="2"/>
  <c r="U40" i="2"/>
  <c r="Q33" i="2"/>
  <c r="R33" i="2"/>
  <c r="S33" i="2"/>
  <c r="T33" i="2"/>
  <c r="Q34" i="2"/>
  <c r="R34" i="2"/>
  <c r="S34" i="2"/>
  <c r="T34" i="2"/>
  <c r="Q35" i="2"/>
  <c r="R35" i="2"/>
  <c r="S35" i="2"/>
  <c r="T35" i="2"/>
  <c r="P39" i="2"/>
  <c r="P40" i="2"/>
  <c r="P38" i="2"/>
  <c r="P35" i="2"/>
  <c r="P34" i="2"/>
  <c r="P33" i="2"/>
  <c r="H20" i="3" a="1"/>
  <c r="H20" i="3" s="1"/>
  <c r="C73" i="6"/>
  <c r="B73" i="6"/>
  <c r="A73" i="6"/>
  <c r="C72" i="6"/>
  <c r="B72" i="6"/>
  <c r="A72" i="6"/>
  <c r="C71" i="6"/>
  <c r="B71" i="6"/>
  <c r="A71" i="6"/>
  <c r="C70" i="6"/>
  <c r="B70" i="6"/>
  <c r="A70" i="6"/>
  <c r="C69" i="6"/>
  <c r="B69" i="6"/>
  <c r="A69" i="6"/>
  <c r="C68" i="6"/>
  <c r="B68" i="6"/>
  <c r="A68" i="6"/>
  <c r="AJ5" i="2"/>
  <c r="AI5" i="2"/>
  <c r="AI6" i="2" s="1"/>
  <c r="AI10" i="2" s="1"/>
  <c r="AJ4" i="2"/>
  <c r="AJ6" i="2" s="1"/>
  <c r="AJ10" i="2" s="1"/>
  <c r="D42" i="6" s="1"/>
  <c r="AI4" i="2"/>
  <c r="AJ21" i="2"/>
  <c r="AI21" i="2"/>
  <c r="AH29" i="2"/>
  <c r="AG29" i="2"/>
  <c r="AH5" i="2"/>
  <c r="AG5" i="2"/>
  <c r="AG6" i="2" s="1"/>
  <c r="AG10" i="2" s="1"/>
  <c r="AH4" i="2"/>
  <c r="AG4" i="2"/>
  <c r="AH21" i="2"/>
  <c r="AG21" i="2"/>
  <c r="AF29" i="2"/>
  <c r="AF8" i="2"/>
  <c r="AF5" i="2"/>
  <c r="AF4" i="2"/>
  <c r="AF21" i="2"/>
  <c r="F13" i="3" s="1"/>
  <c r="F15" i="3" s="1"/>
  <c r="AA29" i="2"/>
  <c r="AB21" i="2"/>
  <c r="E16" i="3" s="1"/>
  <c r="AA21" i="2"/>
  <c r="AB7" i="2"/>
  <c r="AA7" i="2"/>
  <c r="AB5" i="2"/>
  <c r="AA5" i="2"/>
  <c r="AA6" i="2" s="1"/>
  <c r="Z21" i="2"/>
  <c r="E13" i="3" s="1"/>
  <c r="E15" i="3" s="1"/>
  <c r="Y21" i="2"/>
  <c r="Z7" i="2"/>
  <c r="Y7" i="2"/>
  <c r="Z5" i="2"/>
  <c r="Y5" i="2"/>
  <c r="X21" i="2"/>
  <c r="X5" i="2"/>
  <c r="X6" i="2" s="1"/>
  <c r="X10" i="2" s="1"/>
  <c r="X7" i="2"/>
  <c r="T5" i="2"/>
  <c r="S5" i="2"/>
  <c r="S6" i="2" s="1"/>
  <c r="S10" i="2" s="1"/>
  <c r="T21" i="2"/>
  <c r="S21" i="2"/>
  <c r="R5" i="2"/>
  <c r="R6" i="2" s="1"/>
  <c r="R10" i="2" s="1"/>
  <c r="Q5" i="2"/>
  <c r="Q6" i="2" s="1"/>
  <c r="Q10" i="2" s="1"/>
  <c r="R21" i="2"/>
  <c r="Q21" i="2"/>
  <c r="P29" i="2"/>
  <c r="P21" i="2"/>
  <c r="D13" i="3" s="1"/>
  <c r="D15" i="3" s="1"/>
  <c r="P5" i="2"/>
  <c r="H6" i="6"/>
  <c r="H5" i="6"/>
  <c r="H4" i="6"/>
  <c r="F4" i="6"/>
  <c r="F5" i="6"/>
  <c r="F6" i="6"/>
  <c r="D6" i="6"/>
  <c r="D5" i="6"/>
  <c r="D4" i="6"/>
  <c r="C17" i="5" a="1"/>
  <c r="C17" i="5" s="1"/>
  <c r="E26" i="5"/>
  <c r="E25" i="5"/>
  <c r="E24" i="5"/>
  <c r="D26" i="5"/>
  <c r="D25" i="5"/>
  <c r="D24" i="5"/>
  <c r="D2" i="1" a="1"/>
  <c r="D2" i="1" s="1"/>
  <c r="E2" i="1" a="1"/>
  <c r="E2" i="1" s="1"/>
  <c r="F2" i="1" a="1"/>
  <c r="F2" i="1" s="1"/>
  <c r="D3" i="1" a="1"/>
  <c r="D3" i="1" s="1"/>
  <c r="E3" i="1" a="1"/>
  <c r="E3" i="1" s="1"/>
  <c r="F3" i="1" a="1"/>
  <c r="F3" i="1" s="1"/>
  <c r="J17" i="5" s="1"/>
  <c r="D4" i="1" a="1"/>
  <c r="D4" i="1" s="1"/>
  <c r="E4" i="1" a="1"/>
  <c r="E4" i="1" s="1"/>
  <c r="F4" i="1" a="1"/>
  <c r="F4" i="1" s="1"/>
  <c r="D5" i="1" a="1"/>
  <c r="D5" i="1" s="1"/>
  <c r="D6" i="1" s="1"/>
  <c r="E5" i="1" a="1"/>
  <c r="E5" i="1" s="1"/>
  <c r="E6" i="1" s="1"/>
  <c r="F5" i="1" a="1"/>
  <c r="F5" i="1" s="1"/>
  <c r="F6" i="1" s="1"/>
  <c r="D7" i="1" a="1"/>
  <c r="D7" i="1" s="1"/>
  <c r="D8" i="1" s="1"/>
  <c r="D17" i="3" s="1"/>
  <c r="E7" i="1" a="1"/>
  <c r="E7" i="1" s="1"/>
  <c r="E8" i="1" s="1"/>
  <c r="E17" i="3" s="1"/>
  <c r="F7" i="1" a="1"/>
  <c r="F7" i="1" s="1"/>
  <c r="F8" i="1" s="1"/>
  <c r="F17" i="3" s="1"/>
  <c r="D9" i="1" a="1"/>
  <c r="D9" i="1" s="1"/>
  <c r="D11" i="3" s="1"/>
  <c r="E9" i="1" a="1"/>
  <c r="E9" i="1" s="1"/>
  <c r="E11" i="3" s="1"/>
  <c r="F9" i="1" a="1"/>
  <c r="F9" i="1" s="1"/>
  <c r="F11" i="3" s="1"/>
  <c r="D10" i="1" a="1"/>
  <c r="D10" i="1" s="1"/>
  <c r="E10" i="1" a="1"/>
  <c r="E10" i="1" s="1"/>
  <c r="F10" i="1" a="1"/>
  <c r="F10" i="1" s="1"/>
  <c r="D11" i="1" a="1"/>
  <c r="D11" i="1" s="1"/>
  <c r="E11" i="1" a="1"/>
  <c r="E11" i="1" s="1"/>
  <c r="F11" i="1" a="1"/>
  <c r="F11" i="1" s="1"/>
  <c r="F3" i="3"/>
  <c r="AH3" i="4" s="1"/>
  <c r="E3" i="3"/>
  <c r="Z3" i="4" s="1"/>
  <c r="D3" i="3"/>
  <c r="R3" i="4" s="1"/>
  <c r="F5" i="3"/>
  <c r="D5" i="3"/>
  <c r="F6" i="3"/>
  <c r="E6" i="3"/>
  <c r="D6" i="3"/>
  <c r="AJ1" i="2"/>
  <c r="AB1" i="2"/>
  <c r="T1" i="2"/>
  <c r="F24" i="3"/>
  <c r="E24" i="3"/>
  <c r="D24" i="3"/>
  <c r="F16" i="3"/>
  <c r="D16" i="3"/>
  <c r="R17" i="4" s="1"/>
  <c r="J5" i="3"/>
  <c r="K5" i="3"/>
  <c r="L5" i="3"/>
  <c r="M5" i="3"/>
  <c r="J6" i="3"/>
  <c r="K6" i="3"/>
  <c r="L6" i="3"/>
  <c r="M6" i="3"/>
  <c r="J7" i="3"/>
  <c r="K7" i="3"/>
  <c r="L7" i="3"/>
  <c r="M7" i="3"/>
  <c r="I7" i="3"/>
  <c r="I6" i="3"/>
  <c r="I5" i="3"/>
  <c r="H5" i="3"/>
  <c r="H13" i="3" s="1"/>
  <c r="H6" i="3"/>
  <c r="H14" i="3" s="1"/>
  <c r="H7" i="3"/>
  <c r="H15" i="3" s="1"/>
  <c r="T6" i="2"/>
  <c r="T10" i="2" s="1"/>
  <c r="C24" i="5" s="1"/>
  <c r="P6" i="2"/>
  <c r="P10" i="2" s="1"/>
  <c r="AB6" i="2"/>
  <c r="AB10" i="2" s="1"/>
  <c r="D41" i="6" s="1"/>
  <c r="Z6" i="2"/>
  <c r="Y6" i="2"/>
  <c r="R2" i="6" a="1"/>
  <c r="R2" i="6" s="1"/>
  <c r="AB9" i="6"/>
  <c r="R9" i="6" a="1"/>
  <c r="R9" i="6" s="1"/>
  <c r="AB8" i="6"/>
  <c r="R7" i="6" a="1"/>
  <c r="R7" i="6" s="1"/>
  <c r="H6" i="5"/>
  <c r="H16" i="5" s="1"/>
  <c r="H7" i="5"/>
  <c r="H17" i="5" s="1"/>
  <c r="H5" i="5"/>
  <c r="H15" i="5" s="1"/>
  <c r="H14" i="5"/>
  <c r="H13" i="5"/>
  <c r="I13" i="6"/>
  <c r="H11" i="6"/>
  <c r="H13" i="6" s="1"/>
  <c r="B67" i="6"/>
  <c r="B66" i="6"/>
  <c r="B65" i="6"/>
  <c r="B64" i="6"/>
  <c r="B63" i="6"/>
  <c r="B62" i="6"/>
  <c r="A36" i="6"/>
  <c r="A39" i="6" s="1"/>
  <c r="A57" i="6" s="1"/>
  <c r="A35" i="6"/>
  <c r="A34" i="6"/>
  <c r="A42" i="6" s="1"/>
  <c r="A33" i="6"/>
  <c r="A41" i="6" s="1"/>
  <c r="A59" i="6" s="1"/>
  <c r="A32" i="6"/>
  <c r="A40" i="6" s="1"/>
  <c r="A58" i="6" s="1"/>
  <c r="A25" i="6"/>
  <c r="A31" i="6" s="1"/>
  <c r="A49" i="6" s="1"/>
  <c r="A55" i="6" s="1"/>
  <c r="A67" i="6" s="1"/>
  <c r="A24" i="6"/>
  <c r="A30" i="6" s="1"/>
  <c r="A48" i="6" s="1"/>
  <c r="A54" i="6" s="1"/>
  <c r="A66" i="6" s="1"/>
  <c r="A23" i="6"/>
  <c r="A29" i="6" s="1"/>
  <c r="A47" i="6" s="1"/>
  <c r="A53" i="6" s="1"/>
  <c r="A65" i="6" s="1"/>
  <c r="A22" i="6"/>
  <c r="A28" i="6" s="1"/>
  <c r="A46" i="6" s="1"/>
  <c r="A52" i="6" s="1"/>
  <c r="A64" i="6" s="1"/>
  <c r="A21" i="6"/>
  <c r="A27" i="6" s="1"/>
  <c r="A45" i="6" s="1"/>
  <c r="A51" i="6" s="1"/>
  <c r="A63" i="6" s="1"/>
  <c r="A20" i="6"/>
  <c r="A26" i="6" s="1"/>
  <c r="A44" i="6" s="1"/>
  <c r="A50" i="6" s="1"/>
  <c r="A62" i="6" s="1"/>
  <c r="C15" i="6"/>
  <c r="C21" i="6" s="1"/>
  <c r="C27" i="6" s="1"/>
  <c r="C33" i="6" s="1"/>
  <c r="C39" i="6" s="1"/>
  <c r="C45" i="6" s="1"/>
  <c r="C51" i="6" s="1"/>
  <c r="C57" i="6" s="1"/>
  <c r="C63" i="6" s="1"/>
  <c r="C13" i="6"/>
  <c r="C19" i="6" s="1"/>
  <c r="C25" i="6" s="1"/>
  <c r="C31" i="6" s="1"/>
  <c r="C37" i="6" s="1"/>
  <c r="C43" i="6" s="1"/>
  <c r="C49" i="6" s="1"/>
  <c r="C55" i="6" s="1"/>
  <c r="C61" i="6" s="1"/>
  <c r="C67" i="6" s="1"/>
  <c r="C12" i="6"/>
  <c r="C18" i="6" s="1"/>
  <c r="C24" i="6" s="1"/>
  <c r="C30" i="6" s="1"/>
  <c r="C36" i="6" s="1"/>
  <c r="C42" i="6" s="1"/>
  <c r="C48" i="6" s="1"/>
  <c r="C54" i="6" s="1"/>
  <c r="C60" i="6" s="1"/>
  <c r="C66" i="6" s="1"/>
  <c r="C11" i="6"/>
  <c r="C17" i="6" s="1"/>
  <c r="C23" i="6" s="1"/>
  <c r="C29" i="6" s="1"/>
  <c r="C35" i="6" s="1"/>
  <c r="C41" i="6" s="1"/>
  <c r="C47" i="6" s="1"/>
  <c r="C53" i="6" s="1"/>
  <c r="C59" i="6" s="1"/>
  <c r="C65" i="6" s="1"/>
  <c r="C10" i="6"/>
  <c r="C16" i="6" s="1"/>
  <c r="C22" i="6" s="1"/>
  <c r="C28" i="6" s="1"/>
  <c r="C34" i="6" s="1"/>
  <c r="C40" i="6" s="1"/>
  <c r="C46" i="6" s="1"/>
  <c r="C52" i="6" s="1"/>
  <c r="C58" i="6" s="1"/>
  <c r="C64" i="6" s="1"/>
  <c r="C9" i="6"/>
  <c r="C8" i="6"/>
  <c r="C14" i="6" s="1"/>
  <c r="C20" i="6" s="1"/>
  <c r="C26" i="6" s="1"/>
  <c r="C32" i="6" s="1"/>
  <c r="C38" i="6" s="1"/>
  <c r="C44" i="6" s="1"/>
  <c r="C50" i="6" s="1"/>
  <c r="C56" i="6" s="1"/>
  <c r="C62" i="6" s="1"/>
  <c r="Z10" i="2" l="1"/>
  <c r="AH17" i="4"/>
  <c r="AH6" i="2"/>
  <c r="AH10" i="2" s="1"/>
  <c r="E5" i="3"/>
  <c r="F7" i="3"/>
  <c r="D70" i="6"/>
  <c r="D71" i="6"/>
  <c r="D72" i="6"/>
  <c r="C9" i="3"/>
  <c r="D9" i="3"/>
  <c r="D12" i="3" s="1"/>
  <c r="E9" i="3"/>
  <c r="E12" i="3" s="1"/>
  <c r="F9" i="3"/>
  <c r="F12" i="3" s="1"/>
  <c r="B9" i="3"/>
  <c r="B26" i="5"/>
  <c r="C26" i="5"/>
  <c r="D36" i="6"/>
  <c r="AF6" i="2"/>
  <c r="AF10" i="2" s="1"/>
  <c r="D60" i="6" s="1"/>
  <c r="AI3" i="4"/>
  <c r="J15" i="3" s="1"/>
  <c r="AH7" i="4"/>
  <c r="AH6" i="4"/>
  <c r="G6" i="6"/>
  <c r="I6" i="6" s="1"/>
  <c r="F4" i="3"/>
  <c r="AH4" i="4" s="1"/>
  <c r="AH5" i="4" s="1"/>
  <c r="Z17" i="4"/>
  <c r="AA10" i="2"/>
  <c r="C25" i="5"/>
  <c r="D59" i="6"/>
  <c r="Z6" i="4"/>
  <c r="D35" i="6"/>
  <c r="B25" i="5"/>
  <c r="E7" i="3"/>
  <c r="I14" i="3" s="1"/>
  <c r="Z8" i="4" s="1"/>
  <c r="Y10" i="2"/>
  <c r="G5" i="6"/>
  <c r="I5" i="6" s="1"/>
  <c r="E4" i="3"/>
  <c r="Z4" i="4" s="1"/>
  <c r="Z5" i="4" s="1"/>
  <c r="Z7" i="4"/>
  <c r="AA3" i="4"/>
  <c r="AA6" i="4" s="1"/>
  <c r="D40" i="6"/>
  <c r="D58" i="6"/>
  <c r="B24" i="5"/>
  <c r="D34" i="6"/>
  <c r="D7" i="3"/>
  <c r="I13" i="3" s="1"/>
  <c r="R8" i="4" s="1"/>
  <c r="D4" i="3"/>
  <c r="R4" i="4" s="1"/>
  <c r="R5" i="4" s="1"/>
  <c r="G4" i="6"/>
  <c r="I4" i="6" s="1"/>
  <c r="R6" i="4"/>
  <c r="S3" i="4"/>
  <c r="R7" i="4"/>
  <c r="AH21" i="4"/>
  <c r="Z21" i="4"/>
  <c r="J16" i="5"/>
  <c r="N7" i="5"/>
  <c r="F26" i="3"/>
  <c r="AH19" i="4" s="1"/>
  <c r="E18" i="3"/>
  <c r="E19" i="3" s="1"/>
  <c r="D26" i="3"/>
  <c r="R19" i="4" s="1"/>
  <c r="N5" i="5"/>
  <c r="J15" i="5"/>
  <c r="R21" i="4"/>
  <c r="N6" i="5"/>
  <c r="E26" i="3"/>
  <c r="Z19" i="4" s="1"/>
  <c r="F18" i="3"/>
  <c r="F19" i="3" s="1"/>
  <c r="D18" i="3"/>
  <c r="D19" i="3" s="1"/>
  <c r="AA7" i="4"/>
  <c r="I15" i="3"/>
  <c r="AH8" i="4" s="1"/>
  <c r="A38" i="6"/>
  <c r="A56" i="6" s="1"/>
  <c r="A60" i="6"/>
  <c r="A61" i="6" s="1"/>
  <c r="A43" i="6"/>
  <c r="A37" i="6"/>
  <c r="AH9" i="4" l="1"/>
  <c r="AI4" i="4"/>
  <c r="AI5" i="4" s="1"/>
  <c r="AI7" i="4"/>
  <c r="AJ3" i="4"/>
  <c r="AI6" i="4"/>
  <c r="AI8" i="4"/>
  <c r="J14" i="3"/>
  <c r="AA8" i="4" s="1"/>
  <c r="Z9" i="4"/>
  <c r="AA4" i="4"/>
  <c r="AA5" i="4" s="1"/>
  <c r="AB3" i="4"/>
  <c r="J13" i="3"/>
  <c r="S8" i="4" s="1"/>
  <c r="S4" i="4"/>
  <c r="S5" i="4" s="1"/>
  <c r="S7" i="4"/>
  <c r="S6" i="4"/>
  <c r="T3" i="4"/>
  <c r="D20" i="3"/>
  <c r="D21" i="3" s="1"/>
  <c r="E20" i="3"/>
  <c r="E21" i="3" s="1"/>
  <c r="F20" i="3"/>
  <c r="F21" i="3" s="1"/>
  <c r="R9" i="4"/>
  <c r="AI9" i="4" l="1"/>
  <c r="AK3" i="4"/>
  <c r="AJ4" i="4"/>
  <c r="AJ5" i="4" s="1"/>
  <c r="AJ7" i="4"/>
  <c r="AJ6" i="4"/>
  <c r="K15" i="3"/>
  <c r="AJ8" i="4" s="1"/>
  <c r="AC3" i="4"/>
  <c r="AB7" i="4"/>
  <c r="K14" i="3"/>
  <c r="AB8" i="4" s="1"/>
  <c r="AB6" i="4"/>
  <c r="AB4" i="4"/>
  <c r="AB5" i="4" s="1"/>
  <c r="AA9" i="4"/>
  <c r="U3" i="4"/>
  <c r="T6" i="4"/>
  <c r="T4" i="4"/>
  <c r="T5" i="4" s="1"/>
  <c r="T7" i="4"/>
  <c r="K13" i="3"/>
  <c r="T8" i="4" s="1"/>
  <c r="D23" i="3"/>
  <c r="F23" i="3"/>
  <c r="E23" i="3"/>
  <c r="S9" i="4"/>
  <c r="H3" i="6"/>
  <c r="H2" i="6"/>
  <c r="AL3" i="4" l="1"/>
  <c r="AK4" i="4"/>
  <c r="AK5" i="4" s="1"/>
  <c r="AK7" i="4"/>
  <c r="AK6" i="4"/>
  <c r="L15" i="3"/>
  <c r="AK8" i="4" s="1"/>
  <c r="AB9" i="4"/>
  <c r="AC6" i="4"/>
  <c r="L14" i="3"/>
  <c r="AC8" i="4" s="1"/>
  <c r="AC4" i="4"/>
  <c r="AC5" i="4" s="1"/>
  <c r="AC7" i="4"/>
  <c r="AD3" i="4"/>
  <c r="V3" i="4"/>
  <c r="U6" i="4"/>
  <c r="U4" i="4"/>
  <c r="U5" i="4" s="1"/>
  <c r="U7" i="4"/>
  <c r="L13" i="3"/>
  <c r="U8" i="4" s="1"/>
  <c r="T9" i="4"/>
  <c r="AJ9" i="4"/>
  <c r="F3" i="6"/>
  <c r="F2" i="6"/>
  <c r="D3" i="6"/>
  <c r="D2" i="6"/>
  <c r="AK9" i="4" l="1"/>
  <c r="AM3" i="4"/>
  <c r="AL6" i="4"/>
  <c r="AL4" i="4"/>
  <c r="AL5" i="4" s="1"/>
  <c r="AL7" i="4"/>
  <c r="M15" i="3"/>
  <c r="AL8" i="4" s="1"/>
  <c r="D48" i="6"/>
  <c r="AD7" i="4"/>
  <c r="M14" i="3"/>
  <c r="AD8" i="4" s="1"/>
  <c r="AD4" i="4"/>
  <c r="AD5" i="4" s="1"/>
  <c r="AE3" i="4"/>
  <c r="AD6" i="4"/>
  <c r="D47" i="6"/>
  <c r="AC9" i="4"/>
  <c r="W3" i="4"/>
  <c r="D46" i="6" s="1"/>
  <c r="V6" i="4"/>
  <c r="V7" i="4"/>
  <c r="V4" i="4"/>
  <c r="V5" i="4" s="1"/>
  <c r="M13" i="3"/>
  <c r="V8" i="4" s="1"/>
  <c r="D7" i="6"/>
  <c r="U9" i="4"/>
  <c r="AM6" i="4" l="1"/>
  <c r="L6" i="6" s="1"/>
  <c r="AM4" i="4"/>
  <c r="J6" i="6" s="1"/>
  <c r="AM7" i="4"/>
  <c r="N15" i="3"/>
  <c r="AM8" i="4" s="1"/>
  <c r="AD9" i="4"/>
  <c r="AE4" i="4"/>
  <c r="AE7" i="4"/>
  <c r="AE6" i="4"/>
  <c r="L5" i="6" s="1"/>
  <c r="N14" i="3"/>
  <c r="AE8" i="4" s="1"/>
  <c r="W7" i="4"/>
  <c r="W6" i="4"/>
  <c r="L4" i="6" s="1"/>
  <c r="W4" i="4"/>
  <c r="J4" i="6" s="1"/>
  <c r="N13" i="3"/>
  <c r="W8" i="4" s="1"/>
  <c r="AL9" i="4"/>
  <c r="V9" i="4"/>
  <c r="M29" i="2"/>
  <c r="L29" i="2"/>
  <c r="M21" i="2"/>
  <c r="C16" i="3" s="1"/>
  <c r="L21" i="2"/>
  <c r="L5" i="2"/>
  <c r="M4" i="2"/>
  <c r="M6" i="2" s="1"/>
  <c r="D33" i="6" s="1"/>
  <c r="L4" i="2"/>
  <c r="L6" i="2" s="1"/>
  <c r="L10" i="2" s="1"/>
  <c r="K29" i="2"/>
  <c r="J29" i="2"/>
  <c r="K21" i="2"/>
  <c r="J21" i="2"/>
  <c r="K4" i="2"/>
  <c r="J4" i="2"/>
  <c r="I29" i="2"/>
  <c r="I21" i="2"/>
  <c r="I5" i="2"/>
  <c r="I4" i="2"/>
  <c r="F29" i="2"/>
  <c r="E29" i="2"/>
  <c r="F21" i="2"/>
  <c r="B16" i="3" s="1"/>
  <c r="E21" i="2"/>
  <c r="D29" i="2"/>
  <c r="C29" i="2"/>
  <c r="D21" i="2"/>
  <c r="C21" i="2"/>
  <c r="B13" i="3" s="1"/>
  <c r="B15" i="3" s="1"/>
  <c r="F5" i="2"/>
  <c r="E5" i="2"/>
  <c r="F4" i="2"/>
  <c r="E4" i="2"/>
  <c r="D5" i="2"/>
  <c r="C5" i="2"/>
  <c r="D4" i="2"/>
  <c r="C4" i="2"/>
  <c r="B29" i="2"/>
  <c r="B21" i="2"/>
  <c r="B5" i="2"/>
  <c r="B4" i="2"/>
  <c r="C9" i="5" a="1"/>
  <c r="C9" i="5" s="1"/>
  <c r="C4" i="5" a="1"/>
  <c r="C4" i="5" s="1"/>
  <c r="C3" i="5" a="1"/>
  <c r="C3" i="5" s="1"/>
  <c r="C6" i="5" a="1"/>
  <c r="C6" i="5" s="1"/>
  <c r="C7" i="5" a="1"/>
  <c r="C7" i="5" s="1"/>
  <c r="C8" i="5" a="1"/>
  <c r="C8" i="5" s="1"/>
  <c r="C11" i="5" a="1"/>
  <c r="C11" i="5" s="1"/>
  <c r="C13" i="5" a="1"/>
  <c r="C13" i="5" s="1"/>
  <c r="C14" i="5" a="1"/>
  <c r="C14" i="5" s="1"/>
  <c r="C16" i="5" a="1"/>
  <c r="C16" i="5" s="1"/>
  <c r="C2" i="5" a="1"/>
  <c r="C2" i="5" s="1"/>
  <c r="E23" i="5"/>
  <c r="E22" i="5"/>
  <c r="D23" i="5"/>
  <c r="D22" i="5"/>
  <c r="A23" i="5"/>
  <c r="A22" i="5"/>
  <c r="E19" i="5"/>
  <c r="D19" i="5"/>
  <c r="B19" i="5"/>
  <c r="B2" i="3"/>
  <c r="C2" i="3"/>
  <c r="J3" i="3"/>
  <c r="K3" i="3"/>
  <c r="L3" i="3"/>
  <c r="M3" i="3"/>
  <c r="J4" i="3"/>
  <c r="K4" i="3"/>
  <c r="L4" i="3"/>
  <c r="M4" i="3"/>
  <c r="I4" i="3"/>
  <c r="I3" i="3"/>
  <c r="C24" i="3"/>
  <c r="B24" i="3"/>
  <c r="C13" i="3"/>
  <c r="C15" i="3" s="1"/>
  <c r="C6" i="3"/>
  <c r="B6" i="3"/>
  <c r="C5" i="3"/>
  <c r="B5" i="3"/>
  <c r="C3" i="3"/>
  <c r="J3" i="4" s="1"/>
  <c r="B3" i="3"/>
  <c r="B3" i="4" s="1"/>
  <c r="K6" i="2"/>
  <c r="K10" i="2" s="1"/>
  <c r="J6" i="2"/>
  <c r="J10" i="2" s="1"/>
  <c r="E6" i="2"/>
  <c r="E10" i="2" s="1"/>
  <c r="C2" i="1" a="1"/>
  <c r="C2" i="1" s="1"/>
  <c r="C3" i="1" a="1"/>
  <c r="C3" i="1" s="1"/>
  <c r="J14" i="5" s="1"/>
  <c r="C4" i="1" a="1"/>
  <c r="C4" i="1" s="1"/>
  <c r="C5" i="1" a="1"/>
  <c r="C5" i="1" s="1"/>
  <c r="C6" i="1" s="1"/>
  <c r="C7" i="1" a="1"/>
  <c r="C7" i="1" s="1"/>
  <c r="C8" i="1" s="1"/>
  <c r="C17" i="3" s="1"/>
  <c r="C9" i="1" a="1"/>
  <c r="C9" i="1" s="1"/>
  <c r="C11" i="3" s="1"/>
  <c r="C12" i="3" s="1"/>
  <c r="AC9" i="6" s="1"/>
  <c r="C10" i="1" a="1"/>
  <c r="C10" i="1" s="1"/>
  <c r="C11" i="1" a="1"/>
  <c r="C11" i="1" s="1"/>
  <c r="B11" i="1" a="1"/>
  <c r="B11" i="1" s="1"/>
  <c r="B10" i="1" a="1"/>
  <c r="B10" i="1" s="1"/>
  <c r="B9" i="1" a="1"/>
  <c r="B9" i="1" s="1"/>
  <c r="B11" i="3" s="1"/>
  <c r="B7" i="1" a="1"/>
  <c r="B7" i="1" s="1"/>
  <c r="B8" i="1" s="1"/>
  <c r="B17" i="3" s="1"/>
  <c r="B5" i="1" a="1"/>
  <c r="B5" i="1" s="1"/>
  <c r="B6" i="1" s="1"/>
  <c r="B4" i="1" a="1"/>
  <c r="B4" i="1" s="1"/>
  <c r="B3" i="1" a="1"/>
  <c r="B3" i="1" s="1"/>
  <c r="J13" i="5" s="1"/>
  <c r="B2" i="1" a="1"/>
  <c r="B2" i="1" s="1"/>
  <c r="B7" i="3" l="1"/>
  <c r="B6" i="2"/>
  <c r="F6" i="2"/>
  <c r="D32" i="6" s="1"/>
  <c r="D37" i="6"/>
  <c r="J17" i="4"/>
  <c r="C6" i="2"/>
  <c r="C10" i="2" s="1"/>
  <c r="D6" i="2"/>
  <c r="D10" i="2" s="1"/>
  <c r="I6" i="2"/>
  <c r="R8" i="6" s="1" a="1"/>
  <c r="R8" i="6" s="1"/>
  <c r="B12" i="3"/>
  <c r="AC8" i="6" s="1"/>
  <c r="AM5" i="4"/>
  <c r="D66" i="6" s="1"/>
  <c r="D18" i="6"/>
  <c r="D24" i="6" s="1"/>
  <c r="D30" i="6" s="1"/>
  <c r="D12" i="6"/>
  <c r="D17" i="6"/>
  <c r="D23" i="6" s="1"/>
  <c r="D29" i="6" s="1"/>
  <c r="D11" i="6"/>
  <c r="J5" i="6"/>
  <c r="AE5" i="4"/>
  <c r="D16" i="6"/>
  <c r="D10" i="6"/>
  <c r="W5" i="4"/>
  <c r="D64" i="6" s="1"/>
  <c r="L5" i="5"/>
  <c r="L6" i="5"/>
  <c r="L7" i="5"/>
  <c r="K5" i="5"/>
  <c r="K6" i="5"/>
  <c r="K7" i="5"/>
  <c r="I7" i="5"/>
  <c r="I5" i="5"/>
  <c r="I6" i="5"/>
  <c r="B26" i="3"/>
  <c r="B19" i="4" s="1"/>
  <c r="N3" i="5"/>
  <c r="L3" i="5" s="1"/>
  <c r="C26" i="3"/>
  <c r="J19" i="4" s="1"/>
  <c r="N4" i="5"/>
  <c r="L4" i="5" s="1"/>
  <c r="R3" i="6" a="1"/>
  <c r="R3" i="6" s="1"/>
  <c r="B18" i="3"/>
  <c r="B20" i="3" s="1"/>
  <c r="F10" i="2"/>
  <c r="G2" i="6"/>
  <c r="I2" i="6" s="1"/>
  <c r="M10" i="2"/>
  <c r="B10" i="2"/>
  <c r="C7" i="3"/>
  <c r="C3" i="4"/>
  <c r="D3" i="4" s="1"/>
  <c r="H4" i="3"/>
  <c r="H12" i="3" s="1"/>
  <c r="M1" i="2"/>
  <c r="H3" i="3"/>
  <c r="H11" i="3" s="1"/>
  <c r="F1" i="2"/>
  <c r="AM9" i="4"/>
  <c r="AH13" i="4" s="1"/>
  <c r="AH14" i="4" s="1"/>
  <c r="C18" i="3"/>
  <c r="C20" i="3" s="1"/>
  <c r="B23" i="5"/>
  <c r="K3" i="4"/>
  <c r="J7" i="4"/>
  <c r="J6" i="4"/>
  <c r="B17" i="4"/>
  <c r="B7" i="4"/>
  <c r="B22" i="5"/>
  <c r="B6" i="4"/>
  <c r="B4" i="3"/>
  <c r="B4" i="4" s="1"/>
  <c r="J21" i="4"/>
  <c r="AE9" i="6" s="1"/>
  <c r="B21" i="4"/>
  <c r="AE8" i="6" s="1"/>
  <c r="C19" i="5"/>
  <c r="I11" i="3"/>
  <c r="B8" i="4" s="1"/>
  <c r="I12" i="3"/>
  <c r="J8" i="4" s="1"/>
  <c r="I10" i="2" l="1"/>
  <c r="G3" i="6"/>
  <c r="I3" i="6" s="1"/>
  <c r="C23" i="5"/>
  <c r="D57" i="6"/>
  <c r="D69" i="6"/>
  <c r="D39" i="6"/>
  <c r="C22" i="5"/>
  <c r="D56" i="6"/>
  <c r="D68" i="6"/>
  <c r="D38" i="6"/>
  <c r="C4" i="3"/>
  <c r="J4" i="4" s="1"/>
  <c r="J5" i="4" s="1"/>
  <c r="AH15" i="4"/>
  <c r="K6" i="6"/>
  <c r="M6" i="6" s="1"/>
  <c r="N6" i="6" s="1"/>
  <c r="O6" i="6" s="1"/>
  <c r="D54" i="6"/>
  <c r="K5" i="6"/>
  <c r="M5" i="6" s="1"/>
  <c r="N5" i="6" s="1"/>
  <c r="O5" i="6" s="1"/>
  <c r="D53" i="6"/>
  <c r="D65" i="6"/>
  <c r="AE9" i="4"/>
  <c r="D22" i="6"/>
  <c r="D28" i="6" s="1"/>
  <c r="K4" i="6"/>
  <c r="M4" i="6" s="1"/>
  <c r="N4" i="6" s="1"/>
  <c r="O4" i="6" s="1"/>
  <c r="D52" i="6"/>
  <c r="I4" i="5"/>
  <c r="W9" i="4"/>
  <c r="K4" i="5"/>
  <c r="K3" i="5"/>
  <c r="J5" i="5"/>
  <c r="I15" i="5" s="1"/>
  <c r="K15" i="5" s="1"/>
  <c r="J4" i="5"/>
  <c r="J6" i="5"/>
  <c r="I16" i="5" s="1"/>
  <c r="K16" i="5" s="1"/>
  <c r="J3" i="5"/>
  <c r="J7" i="5"/>
  <c r="I17" i="5" s="1"/>
  <c r="K17" i="5" s="1"/>
  <c r="I3" i="5"/>
  <c r="B19" i="3"/>
  <c r="B21" i="3" s="1"/>
  <c r="C6" i="4"/>
  <c r="C7" i="4"/>
  <c r="R4" i="6" a="1"/>
  <c r="R4" i="6" s="1"/>
  <c r="I7" i="6"/>
  <c r="B5" i="4"/>
  <c r="C19" i="3"/>
  <c r="C21" i="3" s="1"/>
  <c r="AA9" i="6" s="1"/>
  <c r="L3" i="4"/>
  <c r="K7" i="4"/>
  <c r="K4" i="4"/>
  <c r="K5" i="4" s="1"/>
  <c r="J12" i="3"/>
  <c r="K8" i="4" s="1"/>
  <c r="K6" i="4"/>
  <c r="C4" i="4"/>
  <c r="C5" i="4" s="1"/>
  <c r="E3" i="4"/>
  <c r="D7" i="4"/>
  <c r="D4" i="4"/>
  <c r="D5" i="4" s="1"/>
  <c r="D6" i="4"/>
  <c r="K11" i="3"/>
  <c r="J11" i="3"/>
  <c r="C8" i="4" s="1"/>
  <c r="D43" i="6" l="1"/>
  <c r="D73" i="6"/>
  <c r="D61" i="6"/>
  <c r="H14" i="6" s="1"/>
  <c r="AA8" i="6"/>
  <c r="Z13" i="4"/>
  <c r="Z14" i="4" s="1"/>
  <c r="Z15" i="4"/>
  <c r="I14" i="5"/>
  <c r="K14" i="5" s="1"/>
  <c r="R13" i="4"/>
  <c r="R14" i="4" s="1"/>
  <c r="R15" i="4"/>
  <c r="I13" i="5"/>
  <c r="K13" i="5" s="1"/>
  <c r="B23" i="3"/>
  <c r="C9" i="4"/>
  <c r="J9" i="4"/>
  <c r="B9" i="4"/>
  <c r="AH16" i="4"/>
  <c r="AH18" i="4" s="1"/>
  <c r="AH20" i="4" s="1"/>
  <c r="AH22" i="4" s="1"/>
  <c r="C23" i="3"/>
  <c r="M3" i="4"/>
  <c r="K12" i="3"/>
  <c r="L8" i="4" s="1"/>
  <c r="L6" i="4"/>
  <c r="L7" i="4"/>
  <c r="L4" i="4"/>
  <c r="L5" i="4" s="1"/>
  <c r="K9" i="4"/>
  <c r="D8" i="4"/>
  <c r="D9" i="4" s="1"/>
  <c r="F3" i="4"/>
  <c r="E7" i="4"/>
  <c r="E6" i="4"/>
  <c r="L11" i="3"/>
  <c r="E8" i="4" s="1"/>
  <c r="E4" i="4"/>
  <c r="Z16" i="4" l="1"/>
  <c r="Z18" i="4" s="1"/>
  <c r="Z20" i="4" s="1"/>
  <c r="Z22" i="4" s="1"/>
  <c r="R16" i="4"/>
  <c r="R18" i="4" s="1"/>
  <c r="R20" i="4" s="1"/>
  <c r="R22" i="4" s="1"/>
  <c r="E5" i="4"/>
  <c r="L9" i="4"/>
  <c r="N3" i="4"/>
  <c r="M4" i="4"/>
  <c r="L12" i="3"/>
  <c r="M8" i="4" s="1"/>
  <c r="M6" i="4"/>
  <c r="M7" i="4"/>
  <c r="G3" i="4"/>
  <c r="F7" i="4"/>
  <c r="F6" i="4"/>
  <c r="M11" i="3"/>
  <c r="F8" i="4" s="1"/>
  <c r="F4" i="4"/>
  <c r="F5" i="4" s="1"/>
  <c r="R13" i="6" l="1" a="1"/>
  <c r="R13" i="6" s="1"/>
  <c r="D44" i="6"/>
  <c r="M5" i="4"/>
  <c r="E9" i="4"/>
  <c r="M9" i="4"/>
  <c r="O3" i="4"/>
  <c r="N4" i="4"/>
  <c r="M12" i="3"/>
  <c r="N8" i="4" s="1"/>
  <c r="N6" i="4"/>
  <c r="N7" i="4"/>
  <c r="G7" i="4"/>
  <c r="G4" i="4"/>
  <c r="R14" i="6" s="1" a="1"/>
  <c r="R14" i="6" s="1"/>
  <c r="N11" i="3"/>
  <c r="G8" i="4" s="1"/>
  <c r="G6" i="4"/>
  <c r="L2" i="6" s="1"/>
  <c r="F9" i="4"/>
  <c r="R19" i="6" l="1" a="1"/>
  <c r="R19" i="6" s="1"/>
  <c r="D45" i="6"/>
  <c r="D14" i="6"/>
  <c r="D8" i="6"/>
  <c r="D49" i="6"/>
  <c r="N5" i="4"/>
  <c r="N9" i="4" s="1"/>
  <c r="G5" i="4"/>
  <c r="J2" i="6"/>
  <c r="O7" i="4"/>
  <c r="O4" i="4"/>
  <c r="N12" i="3"/>
  <c r="O8" i="4" s="1"/>
  <c r="O6" i="4"/>
  <c r="L3" i="6" s="1"/>
  <c r="R15" i="6" l="1" a="1"/>
  <c r="R15" i="6" s="1"/>
  <c r="D62" i="6"/>
  <c r="G9" i="4"/>
  <c r="R16" i="6" s="1" a="1"/>
  <c r="R16" i="6" s="1"/>
  <c r="K2" i="6"/>
  <c r="M2" i="6" s="1"/>
  <c r="N2" i="6" s="1"/>
  <c r="O2" i="6" s="1"/>
  <c r="D50" i="6"/>
  <c r="D13" i="6"/>
  <c r="D20" i="6"/>
  <c r="D19" i="6"/>
  <c r="D15" i="6"/>
  <c r="D21" i="6" s="1"/>
  <c r="D27" i="6" s="1"/>
  <c r="D9" i="6"/>
  <c r="R20" i="6" a="1"/>
  <c r="R20" i="6" s="1"/>
  <c r="O5" i="4"/>
  <c r="J3" i="6"/>
  <c r="B13" i="4"/>
  <c r="B14" i="4" s="1"/>
  <c r="B15" i="4"/>
  <c r="R21" i="6" l="1" a="1"/>
  <c r="R21" i="6" s="1"/>
  <c r="D63" i="6"/>
  <c r="D26" i="6"/>
  <c r="D31" i="6" s="1"/>
  <c r="D25" i="6"/>
  <c r="K3" i="6"/>
  <c r="M3" i="6" s="1"/>
  <c r="N3" i="6" s="1"/>
  <c r="D51" i="6"/>
  <c r="D55" i="6" s="1"/>
  <c r="D67" i="6"/>
  <c r="I14" i="6" s="1"/>
  <c r="O9" i="4"/>
  <c r="R22" i="6" s="1" a="1"/>
  <c r="R22" i="6" s="1"/>
  <c r="J15" i="4"/>
  <c r="B16" i="4"/>
  <c r="B18" i="4" s="1"/>
  <c r="B20" i="4" s="1"/>
  <c r="AD8" i="6" s="1"/>
  <c r="AF8" i="6" s="1"/>
  <c r="O3" i="6" l="1"/>
  <c r="O7" i="6" s="1"/>
  <c r="N7" i="6"/>
  <c r="J13" i="4"/>
  <c r="J14" i="4" s="1"/>
  <c r="J16" i="4" s="1"/>
  <c r="J18" i="4" s="1"/>
  <c r="J20" i="4" s="1"/>
  <c r="AD9" i="6" s="1"/>
  <c r="AF9" i="6" s="1"/>
  <c r="B22" i="4"/>
  <c r="J22" i="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7">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futureMetadata>
  <cellMetadata count="1">
    <bk>
      <rc t="1" v="0"/>
    </bk>
  </cellMetadata>
  <valueMetadata count="17">
    <bk>
      <rc t="2" v="0"/>
    </bk>
    <bk>
      <rc t="2" v="1"/>
    </bk>
    <bk>
      <rc t="2" v="2"/>
    </bk>
    <bk>
      <rc t="2" v="3"/>
    </bk>
    <bk>
      <rc t="2" v="4"/>
    </bk>
    <bk>
      <rc t="2" v="5"/>
    </bk>
    <bk>
      <rc t="2" v="6"/>
    </bk>
    <bk>
      <rc t="2" v="7"/>
    </bk>
    <bk>
      <rc t="2" v="8"/>
    </bk>
    <bk>
      <rc t="2" v="9"/>
    </bk>
    <bk>
      <rc t="2" v="10"/>
    </bk>
    <bk>
      <rc t="2" v="11"/>
    </bk>
    <bk>
      <rc t="2" v="12"/>
    </bk>
    <bk>
      <rc t="2" v="13"/>
    </bk>
    <bk>
      <rc t="2" v="14"/>
    </bk>
    <bk>
      <rc t="2" v="15"/>
    </bk>
    <bk>
      <rc t="2" v="16"/>
    </bk>
  </valueMetadata>
</metadata>
</file>

<file path=xl/sharedStrings.xml><?xml version="1.0" encoding="utf-8"?>
<sst xmlns="http://schemas.openxmlformats.org/spreadsheetml/2006/main" count="620" uniqueCount="130">
  <si>
    <t>Company</t>
  </si>
  <si>
    <t>Name</t>
  </si>
  <si>
    <t>Share price</t>
  </si>
  <si>
    <t>Change (%)</t>
  </si>
  <si>
    <t>Shares Outstanding</t>
  </si>
  <si>
    <t>in mn</t>
  </si>
  <si>
    <t>Market cap</t>
  </si>
  <si>
    <t>Beta</t>
  </si>
  <si>
    <t>P/E</t>
  </si>
  <si>
    <t>Year</t>
  </si>
  <si>
    <t>INCOME STATEMENT</t>
  </si>
  <si>
    <t>Particulars</t>
  </si>
  <si>
    <t>2020</t>
  </si>
  <si>
    <t>2021</t>
  </si>
  <si>
    <t>2022</t>
  </si>
  <si>
    <t>2023</t>
  </si>
  <si>
    <t>2024</t>
  </si>
  <si>
    <t>Revenue</t>
  </si>
  <si>
    <t>Cost of sales</t>
  </si>
  <si>
    <t>Opex</t>
  </si>
  <si>
    <t>Operating income (EBIT)</t>
  </si>
  <si>
    <t>Depreciation &amp; Amortization</t>
  </si>
  <si>
    <t>Interest expense</t>
  </si>
  <si>
    <t>Income tax</t>
  </si>
  <si>
    <t>Net income</t>
  </si>
  <si>
    <t>BALANCE SHEET</t>
  </si>
  <si>
    <t>Cash &amp; Cash equivalents</t>
  </si>
  <si>
    <t>Accounts receivables</t>
  </si>
  <si>
    <t>Inventories</t>
  </si>
  <si>
    <t>Total current assets</t>
  </si>
  <si>
    <t>PPE</t>
  </si>
  <si>
    <t>Accounts payables</t>
  </si>
  <si>
    <t>Total current liabilities</t>
  </si>
  <si>
    <t>Total debt</t>
  </si>
  <si>
    <t>Shareholder's equity</t>
  </si>
  <si>
    <t>CASH FLOW STATEMENT</t>
  </si>
  <si>
    <t>Cash flow from operating activities</t>
  </si>
  <si>
    <t>Capex</t>
  </si>
  <si>
    <t>Dividends paid</t>
  </si>
  <si>
    <t>Debt repaid</t>
  </si>
  <si>
    <t>Assumptions</t>
  </si>
  <si>
    <t>.</t>
  </si>
  <si>
    <t>Metric</t>
  </si>
  <si>
    <t>Revenue CAGR</t>
  </si>
  <si>
    <t>Operating margin (EBIT)</t>
  </si>
  <si>
    <t>Depreciation rate</t>
  </si>
  <si>
    <t>CapEx</t>
  </si>
  <si>
    <t>2025</t>
  </si>
  <si>
    <t>2026</t>
  </si>
  <si>
    <t>2027</t>
  </si>
  <si>
    <t>2028</t>
  </si>
  <si>
    <t>2029</t>
  </si>
  <si>
    <t>2030</t>
  </si>
  <si>
    <t>Working capital</t>
  </si>
  <si>
    <t>Forecast horizon (yrs)</t>
  </si>
  <si>
    <t>Risk-free rate</t>
  </si>
  <si>
    <t>Equity risk premium</t>
  </si>
  <si>
    <t>Cost of equity</t>
  </si>
  <si>
    <t>Kd (pre-tax)</t>
  </si>
  <si>
    <t>Tax rate</t>
  </si>
  <si>
    <t>Kd (after tax)</t>
  </si>
  <si>
    <t>Total capital</t>
  </si>
  <si>
    <t>Debt weight</t>
  </si>
  <si>
    <t>Equity weight</t>
  </si>
  <si>
    <t>WACC</t>
  </si>
  <si>
    <t>Terminal year</t>
  </si>
  <si>
    <t>PV discount rate (terminal year)</t>
  </si>
  <si>
    <t>Cash &amp; cash equivalents</t>
  </si>
  <si>
    <t>Terminal growth rate</t>
  </si>
  <si>
    <t>DCF</t>
  </si>
  <si>
    <t>EBIT</t>
  </si>
  <si>
    <t>NOPAT</t>
  </si>
  <si>
    <t>Depreciation</t>
  </si>
  <si>
    <t xml:space="preserve"> Change in Working capital</t>
  </si>
  <si>
    <t>FCFF</t>
  </si>
  <si>
    <t>Metrics</t>
  </si>
  <si>
    <t>Value</t>
  </si>
  <si>
    <t>Terminal Value</t>
  </si>
  <si>
    <t>PV of Terminal value</t>
  </si>
  <si>
    <t>PV of FCFF</t>
  </si>
  <si>
    <t>Total enterprise value</t>
  </si>
  <si>
    <t>Net debt</t>
  </si>
  <si>
    <t>Total equity value</t>
  </si>
  <si>
    <t>Outstanding shares</t>
  </si>
  <si>
    <t>Intrinsic value</t>
  </si>
  <si>
    <t>Current market price</t>
  </si>
  <si>
    <t>Upside/Downside</t>
  </si>
  <si>
    <t>EV/EBITDA</t>
  </si>
  <si>
    <t>P/S</t>
  </si>
  <si>
    <t>P/B</t>
  </si>
  <si>
    <t>Target Price</t>
  </si>
  <si>
    <t>CMP</t>
  </si>
  <si>
    <t>U/D</t>
  </si>
  <si>
    <t>Average</t>
  </si>
  <si>
    <t>EBITDA</t>
  </si>
  <si>
    <t>Net Income</t>
  </si>
  <si>
    <t>Book Value</t>
  </si>
  <si>
    <t>AT&amp;T</t>
  </si>
  <si>
    <t>Verizon</t>
  </si>
  <si>
    <t>Current WC</t>
  </si>
  <si>
    <t>Forecast WC</t>
  </si>
  <si>
    <t>2020-24</t>
  </si>
  <si>
    <t>Avg Capex</t>
  </si>
  <si>
    <t>2025-30</t>
  </si>
  <si>
    <t>Capex CAGR</t>
  </si>
  <si>
    <t>Earnings CAGR</t>
  </si>
  <si>
    <t>Change in EBIT (historical)</t>
  </si>
  <si>
    <t>Change in CE</t>
  </si>
  <si>
    <t>Incremental ROCE (Historical)</t>
  </si>
  <si>
    <t>Change in EBIT (Forecast)</t>
  </si>
  <si>
    <t>Effective capital</t>
  </si>
  <si>
    <t>Raw ROCE</t>
  </si>
  <si>
    <t>Adjusted ROCE (Forecast)</t>
  </si>
  <si>
    <t>Earnings Growth</t>
  </si>
  <si>
    <t>GDP</t>
  </si>
  <si>
    <t>Change</t>
  </si>
  <si>
    <t>Sensitivity</t>
  </si>
  <si>
    <t>Operating Income</t>
  </si>
  <si>
    <t>Operating income</t>
  </si>
  <si>
    <t>Terminal Growth</t>
  </si>
  <si>
    <t>Intrinsic Value</t>
  </si>
  <si>
    <t>Charter</t>
  </si>
  <si>
    <t>Comcast</t>
  </si>
  <si>
    <t>T-Mobile</t>
  </si>
  <si>
    <t>EBITDA Margin</t>
  </si>
  <si>
    <t>NPM</t>
  </si>
  <si>
    <t>Avg Revenue (Exp)</t>
  </si>
  <si>
    <t>Capex Intensity</t>
  </si>
  <si>
    <t>Shares</t>
  </si>
  <si>
    <t>Total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</si>
</sst>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409]* #,##0.00_);_([$$-409]* \(#,##0.00\);_([$$-409]* &quot;-&quot;??_);_(@_)"/>
    <numFmt numFmtId="165" formatCode="_([$$-409]* #,##0_);_([$$-409]* \(#,##0\);_([$$-409]* &quot;-&quot;_);_(@_)"/>
    <numFmt numFmtId="166" formatCode="_-[$$-409]* #,##0.00_ ;_-[$$-409]* \-#,##0.00\ ;_-[$$-409]* &quot;-&quot;??_ ;_-@_ "/>
    <numFmt numFmtId="167" formatCode="_ [$₹-4009]\ * #,##0_ ;_ [$₹-4009]\ * \-#,##0_ ;_ [$₹-4009]\ * &quot;-&quot;_ ;_ @_ "/>
  </numFmts>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92D050"/>
      <name val="Calibri"/>
      <family val="2"/>
      <scheme val="minor"/>
    </font>
  </fonts>
  <fills count="5">
    <fill>
      <patternFill patternType="none"/>
    </fill>
    <fill>
      <patternFill patternType="gray125"/>
    </fill>
    <fill>
      <patternFill patternType="solid">
        <fgColor theme="1"/>
        <bgColor indexed="64"/>
      </patternFill>
    </fill>
    <fill>
      <patternFill patternType="solid">
        <fgColor rgb="FF0070C0"/>
        <bgColor indexed="64"/>
      </patternFill>
    </fill>
    <fill>
      <patternFill patternType="solid">
        <fgColor theme="0" tint="-4.9989318521683403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1">
    <xf numFmtId="0" fontId="0" fillId="0" borderId="0" xfId="0"/>
    <xf numFmtId="0" fontId="0" fillId="0" borderId="0" xfId="0" applyAlignment="1">
      <alignment vertical="center"/>
    </xf>
    <xf numFmtId="0" fontId="0" fillId="0" borderId="0" xfId="0" applyAlignment="1">
      <alignment horizontal="right" vertical="center" wrapText="1"/>
    </xf>
    <xf numFmtId="0" fontId="0" fillId="0" borderId="0" xfId="0" applyAlignment="1">
      <alignment horizontal="right" vertical="center"/>
    </xf>
    <xf numFmtId="164" fontId="0" fillId="0" borderId="0" xfId="0" applyNumberFormat="1" applyAlignment="1">
      <alignment horizontal="right" vertical="center"/>
    </xf>
    <xf numFmtId="10" fontId="0" fillId="0" borderId="0" xfId="0" applyNumberFormat="1" applyAlignment="1">
      <alignment horizontal="right" vertical="center"/>
    </xf>
    <xf numFmtId="0" fontId="3" fillId="0" borderId="0" xfId="0" applyFont="1" applyAlignment="1">
      <alignment vertical="center"/>
    </xf>
    <xf numFmtId="0" fontId="4" fillId="2" borderId="0" xfId="0" applyFont="1" applyFill="1" applyAlignment="1">
      <alignment vertical="center"/>
    </xf>
    <xf numFmtId="0" fontId="4" fillId="2" borderId="0" xfId="0" applyFont="1" applyFill="1" applyAlignment="1">
      <alignment horizontal="right" vertical="center" wrapText="1"/>
    </xf>
    <xf numFmtId="43" fontId="0" fillId="0" borderId="0" xfId="1" applyFont="1" applyAlignment="1">
      <alignment horizontal="right" vertical="center"/>
    </xf>
    <xf numFmtId="0" fontId="0" fillId="0" borderId="1" xfId="0" applyBorder="1" applyAlignment="1">
      <alignment vertical="center"/>
    </xf>
    <xf numFmtId="0" fontId="0" fillId="0" borderId="1" xfId="0" applyBorder="1" applyAlignment="1">
      <alignment horizontal="right" vertical="center"/>
    </xf>
    <xf numFmtId="164" fontId="0" fillId="0" borderId="1" xfId="0" applyNumberFormat="1" applyBorder="1" applyAlignment="1">
      <alignment horizontal="right" vertical="center"/>
    </xf>
    <xf numFmtId="10" fontId="0" fillId="0" borderId="1" xfId="0" applyNumberFormat="1" applyBorder="1" applyAlignment="1">
      <alignment horizontal="right" vertical="center"/>
    </xf>
    <xf numFmtId="3" fontId="0" fillId="0" borderId="1" xfId="0" applyNumberFormat="1" applyBorder="1" applyAlignment="1">
      <alignment horizontal="right" vertical="center"/>
    </xf>
    <xf numFmtId="43" fontId="0" fillId="0" borderId="1" xfId="1" applyFont="1" applyBorder="1" applyAlignment="1">
      <alignment horizontal="right" vertical="center"/>
    </xf>
    <xf numFmtId="165" fontId="0" fillId="0" borderId="1" xfId="0" applyNumberFormat="1" applyBorder="1" applyAlignment="1">
      <alignment horizontal="right" vertical="center"/>
    </xf>
    <xf numFmtId="166" fontId="0" fillId="0" borderId="1" xfId="0" applyNumberFormat="1" applyBorder="1" applyAlignment="1">
      <alignment horizontal="right" vertical="center"/>
    </xf>
    <xf numFmtId="4" fontId="0" fillId="0" borderId="1" xfId="0" applyNumberFormat="1" applyBorder="1" applyAlignment="1">
      <alignment horizontal="right" vertical="center"/>
    </xf>
    <xf numFmtId="1" fontId="0" fillId="0" borderId="1" xfId="0" applyNumberFormat="1" applyBorder="1" applyAlignment="1">
      <alignment horizontal="right" vertical="center"/>
    </xf>
    <xf numFmtId="0" fontId="3" fillId="0" borderId="0" xfId="0" applyFont="1" applyAlignment="1">
      <alignment horizontal="center" vertical="center"/>
    </xf>
    <xf numFmtId="0" fontId="0" fillId="0" borderId="0" xfId="0" applyAlignment="1">
      <alignment horizontal="center" vertical="center"/>
    </xf>
    <xf numFmtId="43" fontId="3" fillId="0" borderId="0" xfId="1" applyFont="1" applyAlignment="1">
      <alignment horizontal="right" vertical="center"/>
    </xf>
    <xf numFmtId="0" fontId="0" fillId="3" borderId="3" xfId="0" applyFill="1" applyBorder="1" applyAlignment="1">
      <alignment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4" borderId="1" xfId="0" applyFill="1" applyBorder="1" applyAlignment="1">
      <alignment vertical="center"/>
    </xf>
    <xf numFmtId="10" fontId="0" fillId="4" borderId="1" xfId="2" applyNumberFormat="1" applyFont="1" applyFill="1" applyBorder="1" applyAlignment="1">
      <alignment horizontal="right" vertical="center"/>
    </xf>
    <xf numFmtId="0" fontId="0" fillId="0" borderId="6" xfId="0" applyBorder="1" applyAlignment="1">
      <alignment vertical="center"/>
    </xf>
    <xf numFmtId="43" fontId="0" fillId="0" borderId="7" xfId="0" applyNumberFormat="1" applyBorder="1" applyAlignment="1">
      <alignment vertical="center"/>
    </xf>
    <xf numFmtId="0" fontId="0" fillId="0" borderId="2" xfId="0" applyBorder="1" applyAlignment="1">
      <alignment vertical="center"/>
    </xf>
    <xf numFmtId="43" fontId="0" fillId="0" borderId="8" xfId="0" applyNumberFormat="1" applyBorder="1" applyAlignment="1">
      <alignment vertical="center"/>
    </xf>
    <xf numFmtId="43" fontId="0" fillId="0" borderId="7" xfId="1" applyFont="1" applyBorder="1" applyAlignment="1">
      <alignment vertical="center"/>
    </xf>
    <xf numFmtId="0" fontId="0" fillId="4" borderId="1" xfId="0" applyFill="1" applyBorder="1" applyAlignment="1">
      <alignment horizontal="right" vertical="center"/>
    </xf>
    <xf numFmtId="43" fontId="0" fillId="0" borderId="8" xfId="1" applyFont="1" applyBorder="1" applyAlignment="1">
      <alignment vertical="center"/>
    </xf>
    <xf numFmtId="4" fontId="0" fillId="4" borderId="1" xfId="0" applyNumberFormat="1" applyFill="1" applyBorder="1" applyAlignment="1">
      <alignment horizontal="right" vertical="center"/>
    </xf>
    <xf numFmtId="0" fontId="3" fillId="4" borderId="1" xfId="0" applyFont="1" applyFill="1" applyBorder="1" applyAlignment="1">
      <alignment vertical="center"/>
    </xf>
    <xf numFmtId="10" fontId="3" fillId="4" borderId="1" xfId="2" applyNumberFormat="1" applyFont="1" applyFill="1" applyBorder="1" applyAlignment="1">
      <alignment horizontal="right" vertical="center"/>
    </xf>
    <xf numFmtId="43" fontId="0" fillId="4" borderId="1" xfId="1" applyFont="1" applyFill="1" applyBorder="1" applyAlignment="1">
      <alignment horizontal="right" vertical="center"/>
    </xf>
    <xf numFmtId="0" fontId="0" fillId="0" borderId="0" xfId="2" applyNumberFormat="1" applyFont="1" applyAlignment="1">
      <alignment horizontal="center" vertical="center"/>
    </xf>
    <xf numFmtId="0" fontId="0" fillId="0" borderId="0" xfId="2" applyNumberFormat="1" applyFont="1" applyBorder="1" applyAlignment="1">
      <alignment horizontal="center" vertical="center"/>
    </xf>
    <xf numFmtId="43" fontId="0" fillId="0" borderId="0" xfId="1" applyFont="1" applyAlignment="1">
      <alignment vertical="center"/>
    </xf>
    <xf numFmtId="49" fontId="0" fillId="0" borderId="0" xfId="1" applyNumberFormat="1" applyFont="1" applyAlignment="1">
      <alignment horizontal="left" vertical="center"/>
    </xf>
    <xf numFmtId="43" fontId="3" fillId="0" borderId="0" xfId="1" applyFont="1" applyAlignment="1">
      <alignment vertical="center"/>
    </xf>
    <xf numFmtId="0" fontId="3" fillId="0" borderId="8" xfId="0" applyFont="1" applyBorder="1" applyAlignment="1">
      <alignment vertical="center"/>
    </xf>
    <xf numFmtId="43" fontId="3" fillId="0" borderId="8" xfId="1" applyFont="1" applyBorder="1" applyAlignment="1">
      <alignment horizontal="right" vertical="center"/>
    </xf>
    <xf numFmtId="43" fontId="3" fillId="0" borderId="0" xfId="0" applyNumberFormat="1" applyFont="1" applyAlignment="1">
      <alignment horizontal="center" vertical="center"/>
    </xf>
    <xf numFmtId="43" fontId="3" fillId="0" borderId="0" xfId="1" applyFont="1" applyBorder="1" applyAlignment="1">
      <alignment horizontal="right" vertical="center"/>
    </xf>
    <xf numFmtId="10" fontId="0" fillId="0" borderId="0" xfId="2" applyNumberFormat="1" applyFont="1" applyAlignment="1">
      <alignment horizontal="right" vertical="center"/>
    </xf>
    <xf numFmtId="10" fontId="0" fillId="0" borderId="1" xfId="2" applyNumberFormat="1" applyFont="1" applyBorder="1" applyAlignment="1">
      <alignment horizontal="right" vertical="center"/>
    </xf>
    <xf numFmtId="0" fontId="2" fillId="3" borderId="0" xfId="0" applyFont="1" applyFill="1" applyAlignment="1">
      <alignment vertical="center"/>
    </xf>
    <xf numFmtId="0" fontId="2" fillId="3" borderId="0" xfId="0" applyFont="1" applyFill="1" applyAlignment="1">
      <alignment horizontal="right" vertical="center"/>
    </xf>
    <xf numFmtId="0" fontId="0" fillId="0" borderId="0" xfId="0" applyAlignment="1">
      <alignment horizontal="left" vertical="center"/>
    </xf>
    <xf numFmtId="0" fontId="3" fillId="3" borderId="0" xfId="0" applyFont="1" applyFill="1" applyAlignment="1">
      <alignment horizontal="left" vertical="center"/>
    </xf>
    <xf numFmtId="0" fontId="3" fillId="3" borderId="0" xfId="0" applyFont="1" applyFill="1" applyAlignment="1">
      <alignment horizontal="right" vertical="center"/>
    </xf>
    <xf numFmtId="0" fontId="0" fillId="0" borderId="1" xfId="0" applyBorder="1" applyAlignment="1">
      <alignment horizontal="left" vertical="center"/>
    </xf>
    <xf numFmtId="10" fontId="0" fillId="0" borderId="0" xfId="2" applyNumberFormat="1" applyFont="1" applyBorder="1" applyAlignment="1">
      <alignment horizontal="right" vertical="center"/>
    </xf>
    <xf numFmtId="0" fontId="0" fillId="3" borderId="0" xfId="0" applyFill="1" applyAlignment="1">
      <alignment horizontal="left" vertical="center"/>
    </xf>
    <xf numFmtId="0" fontId="0" fillId="3" borderId="0" xfId="0" applyFill="1" applyAlignment="1">
      <alignment horizontal="right" vertical="center"/>
    </xf>
    <xf numFmtId="43" fontId="0" fillId="0" borderId="0" xfId="0" applyNumberFormat="1" applyAlignment="1">
      <alignment horizontal="right" vertical="center"/>
    </xf>
    <xf numFmtId="0" fontId="0" fillId="4" borderId="9" xfId="0" applyFill="1" applyBorder="1" applyAlignment="1">
      <alignment vertical="center"/>
    </xf>
    <xf numFmtId="43" fontId="0" fillId="4" borderId="0" xfId="1" applyFont="1" applyFill="1" applyBorder="1" applyAlignment="1">
      <alignment horizontal="right" vertical="center"/>
    </xf>
    <xf numFmtId="43" fontId="0" fillId="4" borderId="10" xfId="1" applyFont="1" applyFill="1" applyBorder="1" applyAlignment="1">
      <alignment horizontal="right" vertical="center"/>
    </xf>
    <xf numFmtId="43" fontId="3" fillId="4" borderId="1" xfId="1" applyFont="1" applyFill="1" applyBorder="1" applyAlignment="1">
      <alignment horizontal="right" vertical="center"/>
    </xf>
    <xf numFmtId="0" fontId="2" fillId="3" borderId="0" xfId="0" applyFont="1" applyFill="1" applyAlignment="1">
      <alignment vertical="center" wrapText="1"/>
    </xf>
    <xf numFmtId="0" fontId="2" fillId="3" borderId="0" xfId="0" applyFont="1" applyFill="1" applyAlignment="1">
      <alignment horizontal="right" vertical="center" wrapText="1"/>
    </xf>
    <xf numFmtId="0" fontId="0" fillId="0" borderId="0" xfId="0" applyAlignment="1">
      <alignment vertical="center" wrapText="1"/>
    </xf>
    <xf numFmtId="0" fontId="0" fillId="0" borderId="0" xfId="0" applyAlignment="1">
      <alignment horizontal="left" vertical="center" wrapText="1"/>
    </xf>
    <xf numFmtId="43" fontId="0" fillId="0" borderId="1" xfId="0" applyNumberFormat="1" applyBorder="1" applyAlignment="1">
      <alignment horizontal="right" vertical="center"/>
    </xf>
    <xf numFmtId="167" fontId="0" fillId="0" borderId="0" xfId="0" applyNumberFormat="1" applyAlignment="1">
      <alignment horizontal="right" vertical="center"/>
    </xf>
    <xf numFmtId="0" fontId="3" fillId="0" borderId="0" xfId="0" applyFont="1" applyAlignment="1">
      <alignment horizontal="right" vertical="center"/>
    </xf>
    <xf numFmtId="43" fontId="3" fillId="0" borderId="0" xfId="0" applyNumberFormat="1" applyFont="1" applyAlignment="1">
      <alignment horizontal="right" vertical="center"/>
    </xf>
    <xf numFmtId="10" fontId="3" fillId="0" borderId="0" xfId="2" applyNumberFormat="1" applyFont="1" applyAlignment="1">
      <alignment horizontal="right" vertical="center"/>
    </xf>
    <xf numFmtId="10" fontId="3" fillId="0" borderId="0" xfId="0" applyNumberFormat="1" applyFont="1" applyAlignment="1">
      <alignment horizontal="right" vertical="center"/>
    </xf>
    <xf numFmtId="43" fontId="0" fillId="0" borderId="1" xfId="1" applyFont="1" applyBorder="1" applyAlignment="1">
      <alignment vertical="center"/>
    </xf>
    <xf numFmtId="0" fontId="2" fillId="0" borderId="0" xfId="0" applyFont="1" applyAlignment="1">
      <alignment vertical="center"/>
    </xf>
    <xf numFmtId="10" fontId="0" fillId="0" borderId="1" xfId="0" applyNumberFormat="1" applyBorder="1" applyAlignment="1">
      <alignment vertical="center"/>
    </xf>
    <xf numFmtId="0" fontId="2" fillId="2" borderId="1" xfId="0" applyFont="1" applyFill="1" applyBorder="1" applyAlignment="1">
      <alignment vertical="center"/>
    </xf>
    <xf numFmtId="43" fontId="0" fillId="0" borderId="1" xfId="0" applyNumberFormat="1" applyBorder="1" applyAlignment="1">
      <alignment vertical="center"/>
    </xf>
    <xf numFmtId="10" fontId="0" fillId="0" borderId="1" xfId="2" applyNumberFormat="1" applyFont="1" applyBorder="1" applyAlignment="1">
      <alignment vertical="center"/>
    </xf>
    <xf numFmtId="0" fontId="2" fillId="2" borderId="1" xfId="0" applyFont="1" applyFill="1" applyBorder="1" applyAlignment="1">
      <alignment horizontal="right" vertical="center"/>
    </xf>
    <xf numFmtId="43" fontId="1" fillId="0" borderId="0" xfId="2" applyNumberFormat="1" applyFont="1" applyAlignment="1">
      <alignment horizontal="right" vertical="center"/>
    </xf>
    <xf numFmtId="10" fontId="1" fillId="0" borderId="0" xfId="2" applyNumberFormat="1" applyFont="1" applyAlignment="1">
      <alignment horizontal="right" vertical="center"/>
    </xf>
    <xf numFmtId="10" fontId="3" fillId="0" borderId="0" xfId="1" applyNumberFormat="1" applyFont="1" applyAlignment="1">
      <alignment horizontal="right" vertical="center"/>
    </xf>
    <xf numFmtId="10" fontId="1" fillId="0" borderId="0" xfId="1" applyNumberFormat="1" applyFont="1" applyAlignment="1">
      <alignment horizontal="right" vertical="center"/>
    </xf>
    <xf numFmtId="0" fontId="3" fillId="0" borderId="1" xfId="0" applyFont="1" applyBorder="1" applyAlignment="1">
      <alignment vertical="center"/>
    </xf>
    <xf numFmtId="43" fontId="3" fillId="0" borderId="1" xfId="1" applyFont="1" applyBorder="1" applyAlignment="1">
      <alignment horizontal="right" vertical="center"/>
    </xf>
    <xf numFmtId="0" fontId="3" fillId="0" borderId="0" xfId="0" applyFont="1"/>
    <xf numFmtId="0" fontId="0" fillId="0" borderId="8" xfId="0" applyBorder="1" applyAlignment="1">
      <alignment vertical="center"/>
    </xf>
    <xf numFmtId="0" fontId="0" fillId="0" borderId="0" xfId="0" applyAlignment="1">
      <alignment horizontal="right"/>
    </xf>
    <xf numFmtId="0" fontId="0" fillId="4" borderId="7" xfId="0" applyFill="1" applyBorder="1" applyAlignment="1">
      <alignment vertical="center"/>
    </xf>
    <xf numFmtId="10" fontId="0" fillId="4" borderId="7" xfId="2" applyNumberFormat="1" applyFont="1" applyFill="1" applyBorder="1" applyAlignment="1">
      <alignment horizontal="right" vertical="center"/>
    </xf>
    <xf numFmtId="0" fontId="2" fillId="3" borderId="3" xfId="0" applyFont="1" applyFill="1" applyBorder="1" applyAlignment="1">
      <alignment vertical="center"/>
    </xf>
    <xf numFmtId="0" fontId="2" fillId="3" borderId="4" xfId="0" applyFont="1" applyFill="1" applyBorder="1" applyAlignment="1">
      <alignment horizontal="right" vertical="center"/>
    </xf>
    <xf numFmtId="0" fontId="2" fillId="3" borderId="5" xfId="0" applyFont="1" applyFill="1" applyBorder="1" applyAlignment="1">
      <alignment horizontal="right" vertical="center"/>
    </xf>
    <xf numFmtId="0" fontId="0" fillId="0" borderId="5" xfId="0" applyBorder="1" applyAlignment="1">
      <alignment vertical="center"/>
    </xf>
    <xf numFmtId="43" fontId="0" fillId="4" borderId="1" xfId="0" applyNumberFormat="1" applyFill="1" applyBorder="1" applyAlignment="1">
      <alignment horizontal="right" vertical="center"/>
    </xf>
    <xf numFmtId="0" fontId="4" fillId="2" borderId="0" xfId="0" applyFont="1" applyFill="1" applyAlignment="1">
      <alignment vertical="center" wrapText="1"/>
    </xf>
    <xf numFmtId="0" fontId="0" fillId="0" borderId="0" xfId="2" applyNumberFormat="1" applyFont="1" applyAlignment="1">
      <alignment horizontal="right" vertical="center"/>
    </xf>
    <xf numFmtId="43" fontId="0" fillId="0" borderId="8" xfId="0" applyNumberFormat="1" applyBorder="1" applyAlignment="1">
      <alignment horizontal="right" vertical="center"/>
    </xf>
    <xf numFmtId="10" fontId="0" fillId="0" borderId="0" xfId="0" applyNumberFormat="1" applyAlignment="1">
      <alignment vertical="center"/>
    </xf>
  </cellXfs>
  <cellStyles count="3">
    <cellStyle name="Comma" xfId="1" builtinId="3"/>
    <cellStyle name="Normal" xfId="0" builtinId="0"/>
    <cellStyle name="Percent" xfId="2" builtinId="5"/>
  </cellStyles>
  <dxfs count="301">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14" formatCode="0.00%"/>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right" vertical="center" textRotation="0" wrapText="0" indent="0" justifyLastLine="0" shrinkToFit="0" readingOrder="0"/>
    </dxf>
    <dxf>
      <fill>
        <patternFill patternType="solid">
          <fgColor indexed="64"/>
          <bgColor rgb="FF0070C0"/>
        </patternFill>
      </fill>
      <alignment horizontal="right" vertical="center" textRotation="0" wrapText="0" indent="0" justifyLastLine="0" shrinkToFit="0" readingOrder="0"/>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indent="0" justifyLastLine="0" shrinkToFit="0" readingOrder="0"/>
    </dxf>
    <dxf>
      <font>
        <b/>
      </font>
      <fill>
        <patternFill patternType="solid">
          <fgColor indexed="64"/>
          <bgColor rgb="FF0070C0"/>
        </patternFill>
      </fill>
      <alignment horizontal="right"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right" vertical="center" textRotation="0" wrapText="1"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0070C0"/>
        </patternFill>
      </fill>
      <alignment horizontal="center" vertical="center" textRotation="0" wrapText="0" indent="0" justifyLastLine="0" shrinkToFit="0" readingOrder="0"/>
      <border diagonalUp="0" diagonalDown="0" outline="0">
        <left/>
        <right/>
        <top/>
        <bottom/>
      </border>
    </dxf>
    <dxf>
      <numFmt numFmtId="35" formatCode="_ * #,##0.00_ ;_ * \-#,##0.00_ ;_ * &quot;-&quot;??_ ;_ @_ "/>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0070C0"/>
        </patternFill>
      </fill>
      <alignment horizontal="center" vertical="center" textRotation="0" wrapText="0" indent="0" justifyLastLine="0" shrinkToFit="0" readingOrder="0"/>
      <border diagonalUp="0" diagonalDown="0" outline="0">
        <left/>
        <right/>
        <top/>
        <bottom/>
      </bord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1">
  <rv s="0">
    <v>https://www.bing.com/financeapi/forcetrigger?t=a23www&amp;q=XNYS%3aT&amp;form=skydnc</v>
    <v>Learn more on Bing</v>
  </rv>
  <rv s="1">
    <v>en-IN</v>
    <v>a23www</v>
    <v>268435456</v>
    <v>1</v>
    <v>Powered by Refinitiv</v>
    <v>0</v>
    <v>AT&amp;T INC. (XNYS:T)</v>
    <v>2</v>
    <v>3</v>
    <v>Finance</v>
    <v>4</v>
    <v>29.79</v>
    <v>21.38</v>
    <v>0.35470000000000002</v>
    <v>-0.40500000000000003</v>
    <v>-1.5820000000000001E-2</v>
    <v>USD</v>
    <v>AT&amp;T Inc. is a holding company. The Company is a provider of telecommunications and technology services globally. The Company’s segments include Communications and Latin America. The Communications segment provides wireless and wireline telecom and broadband services to consumers located in the United States and businesses globally. The business units of the Communication segment include Mobility, Business Wireline, and Consumer Wireline. Mobility provides nationwide wireless service and equipment. Business Wireline provides advanced Ethernet-based fiber services, Internet Protocol (IP) Voice and managed professional services, as well as legacy voice and data services and related equipment, to business customers. Consumer Wireline provides broadband services, including fiber connections. Consumer Wireline provides legacy telephony voice communication services. The Latin America segment provides wireless services and equipment in Mexico.</v>
    <v>135670</v>
    <v>New York Stock Exchange</v>
    <v>XNYS</v>
    <v>XNYS</v>
    <v>208 S. Akard St, DALLAS, TX, 75202 US</v>
    <v>25.67</v>
    <v>Telecommunications Services</v>
    <v>Stock</v>
    <v>45980.712856064063</v>
    <v>0</v>
    <v>25.09</v>
    <v>178618692750</v>
    <v>AT&amp;T INC.</v>
    <v>AT&amp;T INC.</v>
    <v>25.61</v>
    <v>8.1752000000000002</v>
    <v>25.6</v>
    <v>25.195</v>
    <v>7089450000</v>
    <v>T</v>
    <v>AT&amp;T INC. (XNYS:T)</v>
    <v>11089322</v>
    <v>67793689</v>
    <v>1983</v>
  </rv>
  <rv s="2">
    <v>1</v>
  </rv>
  <rv s="0">
    <v>https://www.bing.com/financeapi/forcetrigger?t=a25obh&amp;q=XNYS%3aVZ&amp;form=skydnc</v>
    <v>Learn more on Bing</v>
  </rv>
  <rv s="1">
    <v>en-IN</v>
    <v>a25obh</v>
    <v>268435456</v>
    <v>1</v>
    <v>Powered by Refinitiv</v>
    <v>0</v>
    <v>VERIZON COMMUNICATIONS INC. (XNYS:VZ)</v>
    <v>2</v>
    <v>3</v>
    <v>Finance</v>
    <v>4</v>
    <v>47.354999999999997</v>
    <v>37.585000000000001</v>
    <v>0.30480000000000002</v>
    <v>-0.37019999999999997</v>
    <v>-8.9249999999999989E-3</v>
    <v>USD</v>
    <v>Verizon Communications Inc. is a holding company. The Company, through its subsidiaries, provides communications, technology, information and streaming products and services to consumers, businesses and government entities. Its Consumer segment provides wireless and wireline communications services. It also provides fixed wireless access (FWA) broadband through its 5G or 4G Long-Term Evolution (LTE) networks portfolio. The Company's Business segment provides wireless and wireline communications services and products, including FWA broadband, data, video and advanced communication services, corporate networking solutions, security and managed network services, local and long-distance voice services and network access to deliver various Internet of Things (IoT) services and products. It provides these products and services to businesses, public sector customers and wireless and wireline carriers across the U.S. and a subset of these products and services to customers around the world.</v>
    <v>99600</v>
    <v>New York Stock Exchange</v>
    <v>XNYS</v>
    <v>XNYS</v>
    <v>1095 Avenue Of The Americas, NEW YORK, NY, 10036 US</v>
    <v>41.61</v>
    <v>Telecommunications Services</v>
    <v>Stock</v>
    <v>45980.712852024997</v>
    <v>3</v>
    <v>40.935000000000002</v>
    <v>173336388465</v>
    <v>VERIZON COMMUNICATIONS INC.</v>
    <v>VERIZON COMMUNICATIONS INC.</v>
    <v>41.49</v>
    <v>8.7640999999999991</v>
    <v>41.48</v>
    <v>41.1098</v>
    <v>4216425000</v>
    <v>VZ</v>
    <v>VERIZON COMMUNICATIONS INC. (XNYS:VZ)</v>
    <v>8205639</v>
    <v>30521627</v>
    <v>1983</v>
  </rv>
  <rv s="2">
    <v>4</v>
  </rv>
  <rv s="0">
    <v>https://www.bing.com/financeapi/forcetrigger?t=a1pokr&amp;q=XNAS%3aCHTR&amp;form=skydnc</v>
    <v>Learn more on Bing</v>
  </rv>
  <rv s="1">
    <v>en-IN</v>
    <v>a1pokr</v>
    <v>268435456</v>
    <v>1</v>
    <v>Powered by Refinitiv</v>
    <v>0</v>
    <v>CHARTER COMMUNICATIONS, INC. (XNAS:CHTR)</v>
    <v>2</v>
    <v>3</v>
    <v>Finance</v>
    <v>4</v>
    <v>437.06</v>
    <v>193.49</v>
    <v>1.0825</v>
    <v>-5.58</v>
    <v>-2.7804000000000002E-2</v>
    <v>USD</v>
    <v>Charter Communications, Inc. is a broadband connectivity company and cable operator serving more than 57 million homes and businesses in 41 states through its Spectrum brand. Over an advanced communications network, the Company offers a range of residential and business services, including Spectrum Internet, television (TV), Mobile and Voice. For small businesses, Spectrum Business delivers a range of broadband products and services coupled with special features and applications to enhance productivity. For mid-market and large businesses, Spectrum Business provides customized, fiber-based solutions. Spectrum Reach delivers advertising and production for the modern media landscape. The Company also distributes news coverage and sports programming to its customers through Spectrum Networks. The Company offers its customers subscription-based Internet, video, mobile and voice services, with prices and related charges based on the types of service selected.</v>
    <v>94500</v>
    <v>Nasdaq Stock Market</v>
    <v>XNAS</v>
    <v>XNAS</v>
    <v>400 Washington Blvd., STAMFORD, CT, 06902 US</v>
    <v>200.6199</v>
    <v>Telecommunications Services</v>
    <v>Stock</v>
    <v>45980.712807916403</v>
    <v>6</v>
    <v>193.49</v>
    <v>25249068034</v>
    <v>CHARTER COMMUNICATIONS, INC.</v>
    <v>CHARTER COMMUNICATIONS, INC.</v>
    <v>199.02</v>
    <v>5.2729999999999997</v>
    <v>200.69</v>
    <v>195.11</v>
    <v>129409400</v>
    <v>CHTR</v>
    <v>CHARTER COMMUNICATIONS, INC. (XNAS:CHTR)</v>
    <v>1202114</v>
    <v>2095704</v>
    <v>2003</v>
  </rv>
  <rv s="2">
    <v>7</v>
  </rv>
  <rv s="0">
    <v>https://www.bing.com/financeapi/forcetrigger?t=a1pwqh&amp;q=XNAS%3aCMCSA&amp;form=skydnc</v>
    <v>Learn more on Bing</v>
  </rv>
  <rv s="1">
    <v>en-IN</v>
    <v>a1pwqh</v>
    <v>268435456</v>
    <v>1</v>
    <v>Powered by Refinitiv</v>
    <v>0</v>
    <v>COMCAST CORPORATION (XNAS:CMCSA)</v>
    <v>2</v>
    <v>3</v>
    <v>Finance</v>
    <v>4</v>
    <v>44.03</v>
    <v>25.75</v>
    <v>0.81969999999999998</v>
    <v>-0.45500000000000002</v>
    <v>-1.6629999999999999E-2</v>
    <v>USD</v>
    <v>Comcast Corporation is a global media and technology company. The Company delivers broadband, wireless, and video through Xfinity, Comcast Business, and Sky; produces, distributes, and streams entertainment, sports, and news through brands, including NBC, Telemundo, Universal, Peacock, and Sky; and brings theme parks and attractions to life through Universal Destinations &amp; Experiences. It operates through two primary businesses: Connectivity &amp; Platforms and Content &amp; Experiences. Connectivity &amp; Platforms includes its broadband, wireless, video and wireline voice businesses in the United States, United Kingdom and Italy. It also includes the operations of its Sky-branded entertainment television networks in the United Kingdom and Italy. Content &amp; Experiences includes its media and entertainment businesses that produce and distribute entertainment, sports, news and other content for global audiences and that own and operate theme parks and attractions in the United States and Asia.</v>
    <v>182000</v>
    <v>Nasdaq Stock Market</v>
    <v>XNAS</v>
    <v>XNAS</v>
    <v>One Comcast Center, PHILADELPHIA, PA, 19103-2838 US</v>
    <v>27.35</v>
    <v>Telecommunications Services</v>
    <v>Stock</v>
    <v>45980.71287936328</v>
    <v>9</v>
    <v>26.770099999999999</v>
    <v>98038994975</v>
    <v>COMCAST CORPORATION</v>
    <v>COMCAST CORPORATION</v>
    <v>27.35</v>
    <v>4.4671000000000003</v>
    <v>27.36</v>
    <v>26.905000000000001</v>
    <v>3643895000</v>
    <v>CMCSA</v>
    <v>COMCAST CORPORATION (XNAS:CMCSA)</v>
    <v>9474025</v>
    <v>33488231</v>
    <v>2001</v>
  </rv>
  <rv s="2">
    <v>10</v>
  </rv>
  <rv s="0">
    <v>https://www.bing.com/financeapi/forcetrigger?t=a24c52&amp;q=XNAS%3aTMUS&amp;form=skydnc</v>
    <v>Learn more on Bing</v>
  </rv>
  <rv s="1">
    <v>en-IN</v>
    <v>a24c52</v>
    <v>268435456</v>
    <v>1</v>
    <v>Powered by Refinitiv</v>
    <v>0</v>
    <v>T-MOBILE US, INC. (XNAS:TMUS)</v>
    <v>2</v>
    <v>3</v>
    <v>Finance</v>
    <v>4</v>
    <v>276.49</v>
    <v>199.41</v>
    <v>0.42809999999999998</v>
    <v>-2.29</v>
    <v>-1.0747E-2</v>
    <v>USD</v>
    <v>T-Mobile US, Inc. is a provider of wireless communications services, including voice, messaging and data, under its flagship brands, T-Mobile and Metro by T-Mobile, and Mint Mobile, in the United States, Puerto Rico and the United States Virgin Islands. It provides wireless communications services primarily using its 4G Long Term Evolution network and its 5G technology network. It also offers a selection of wireless devices, including handsets, tablets and other mobile communication devices, and accessories for sale, as well as financing through equipment installment plans. Its primary service plan offering is Go5G Plus, which includes unlimited talk, text and data on its network, 5G access at no extra cost, scam protection features and more. In addition to its wireless communications services, the Company also offers high speed Internet, which includes a fixed wireless product that utilizes the excess capacity of its nationwide 5G network. It also provides advertising solutions.</v>
    <v>70000</v>
    <v>Nasdaq Stock Market</v>
    <v>XNAS</v>
    <v>XNAS</v>
    <v>12920 Se 38Th Street, BELLEVUE, WA, 98006 US</v>
    <v>213.24</v>
    <v>Telecommunications Services</v>
    <v>Stock</v>
    <v>45980.712826620314</v>
    <v>12</v>
    <v>210.245</v>
    <v>235770090530</v>
    <v>T-MOBILE US, INC.</v>
    <v>T-MOBILE US, INC.</v>
    <v>212.67</v>
    <v>20.272400000000001</v>
    <v>213.08</v>
    <v>210.79</v>
    <v>1118507000</v>
    <v>TMUS</v>
    <v>T-MOBILE US, INC. (XNAS:TMUS)</v>
    <v>1172087</v>
    <v>5446258</v>
    <v>2004</v>
  </rv>
  <rv s="2">
    <v>13</v>
  </rv>
  <rv s="0">
    <v>https://www.bing.com/financeapi/forcetrigger?t=r6dwra&amp;q=US10Y&amp;form=skydnc</v>
    <v>Learn more on Bing</v>
  </rv>
  <rv s="3">
    <v>en-IN</v>
    <v>r6dwra</v>
    <v>268435456</v>
    <v>1</v>
    <v>Powered by Refinitiv</v>
    <v>5</v>
    <v>US Treasury 10Y</v>
    <v>6</v>
    <v>7</v>
    <v>Finance</v>
    <v>8</v>
    <v>-1.5299999999999999E-2</v>
    <v>-3.7130000000000002E-3</v>
    <v>US</v>
    <v>USD</v>
    <v>Bond</v>
    <v>45980.707939814813</v>
    <v>15</v>
    <v>49628</v>
    <v>US Treasury 10Y</v>
    <v>4.1210000000000004</v>
    <v>4.1056999999999997</v>
    <v>US10Y</v>
    <v>US Treasury 10Y</v>
    <v>4.0106999999999997E-2</v>
    <v>4.1100000000000005E-2</v>
    <v>4.4158000000000003E-2</v>
    <v>4.1329999999999999E-2</v>
  </rv>
  <rv s="2">
    <v>16</v>
  </rv>
  <rv s="0">
    <v>https://www.bing.com/financeapi/forcetrigger?t=a2ve8m&amp;q=OTCM%3aSFTBY&amp;form=skydnc</v>
    <v>Learn more on Bing</v>
  </rv>
  <rv s="4">
    <v>en-IN</v>
    <v>a2ve8m</v>
    <v>268435456</v>
    <v>1</v>
    <v>Powered by Refinitiv</v>
    <v>9</v>
    <v>SoftBank Group Corp. (OTCM:SFTBY)</v>
    <v>2</v>
    <v>10</v>
    <v>Finance</v>
    <v>11</v>
    <v>90</v>
    <v>19.86</v>
    <v>1.7170000000000001</v>
    <v>1.17</v>
    <v>1.9536000000000001E-2</v>
    <v>USD</v>
    <v>SoftBank Group Corp is a Japan-based company principally engaged in the communication and Internet related business. The Company operates through four segments. The Holding Company Investment Business segment is engaged in investment activities in a wide range of domestic and international sectors, either directly or through subsidiaries, primarily as a strategic investment holding company. The SoftBank Vision Fund Business segment is engaged in investment activities mainly in the technology sector. The SoftBank Business segment is primarily engaged in the provision of services, sales of mobile handsets, broadband and solution services, media and advertising, commerce services, payments, and financial services. The ARM Business segment is engaged in designing instruction pointers (IP) and related technologies for microprocessors, selling software tools, and providing related services. The Company also operates Fortress and Fukuoka Softbank Hawks related businesses.</v>
    <v>OTC Markets</v>
    <v>OTCM</v>
    <v>OTCM</v>
    <v>TOKYO PORTCITY TAKESHIBA Office Tower, 1-7-1, Kaigan, MINATO-KU, TOKYO-TO, 105-7537 JP</v>
    <v>62.12</v>
    <v>Telecommunications Services</v>
    <v>Stock</v>
    <v>45980.702103981253</v>
    <v>18</v>
    <v>60.66</v>
    <v>SoftBank Group Corp.</v>
    <v>SoftBank Group Corp.</v>
    <v>60.66</v>
    <v>0</v>
    <v>59.89</v>
    <v>61.06</v>
    <v>SFTBY</v>
    <v>SoftBank Group Corp. (OTCM:SFTBY)</v>
    <v>389341</v>
    <v>1981</v>
  </rv>
  <rv s="2">
    <v>19</v>
  </rv>
  <rv s="0">
    <v>https://www.bing.com/financeapi/forcetrigger?t=af8esm&amp;q=XFRA%3aDTE&amp;form=skydnc</v>
    <v>Learn more on Bing</v>
  </rv>
  <rv s="1">
    <v>en-IN</v>
    <v>af8esm</v>
    <v>268435456</v>
    <v>1</v>
    <v>Powered by Refinitiv</v>
    <v>0</v>
    <v>Deutsche Telekom AG (XFRA:DTE)</v>
    <v>2</v>
    <v>12</v>
    <v>Finance</v>
    <v>11</v>
    <v>35.92</v>
    <v>10.45</v>
    <v>0.62549999999999994</v>
    <v>0.2</v>
    <v>7.4050000000000001E-3</v>
    <v>EUR</v>
    <v>Deutsche Telekom AG is a Germany-based company that provides information technology (IT) and telecommunications services. The Company's operating segments include Germany, consisting of fixed-network and mobile activities in Germany; United States, which consists of mobile activities in the United States market; Europe, consisting of fixed-network and mobile operations of the national companies in various European countries, such as Greece, Romania, Hungary, Poland, the Czech Republic, Croatia, Slovakia, Austria, Albania, Macedonia and Montenegro; Systems Solutions, which operates information and communication technology (ICT) systems for multinational corporations and public sector institutions; Group Development, comprising the entities T-Mobile Netherlands and Deutsche Funkturm (DFMG) and its equity investment in Stroeer SE &amp; Co. KGaA, and Group Headquarters &amp; Group Services, which consists of the operations of service headquarters and various other subsidiaries of the Company.</v>
    <v>201336</v>
    <v>Deutsche Boerse AG</v>
    <v>XFRA</v>
    <v>XFRA</v>
    <v>Friedrich-Ebert-Allee 140, BONN, NORDRHEIN-WESTFALEN, 53113 DE</v>
    <v>27.26</v>
    <v>Telecommunications Services</v>
    <v>Stock</v>
    <v>45980.70208333333</v>
    <v>21</v>
    <v>26.97</v>
    <v>131998700000</v>
    <v>Deutsche Telekom AG</v>
    <v>Deutsche Telekom AG</v>
    <v>26.97</v>
    <v>11.0162</v>
    <v>27.01</v>
    <v>27.21</v>
    <v>4905190000</v>
    <v>DTE</v>
    <v>Deutsche Telekom AG (XFRA:DTE)</v>
    <v>5817</v>
    <v>6455250</v>
    <v>1995</v>
  </rv>
  <rv s="2">
    <v>22</v>
  </rv>
  <rv s="0">
    <v>https://www.bing.com/financeapi/forcetrigger?t=ahdj4c&amp;q=XBOM%3a532454&amp;form=skydnc</v>
    <v>Learn more on Bing</v>
  </rv>
  <rv s="1">
    <v>en-IN</v>
    <v>ahdj4c</v>
    <v>268435456</v>
    <v>1</v>
    <v>Powered by Refinitiv</v>
    <v>0</v>
    <v>Bharti Airtel Limited (XBOM:532454)</v>
    <v>2</v>
    <v>13</v>
    <v>Finance</v>
    <v>11</v>
    <v>2165.9</v>
    <v>1510.8</v>
    <v>0.73719999999999997</v>
    <v>11.4</v>
    <v>5.3029999999999996E-3</v>
    <v>INR</v>
    <v>Bharti Airtel Limited is a telecommunication company. It operates through two business divisions: India &amp; South Asia and Africa. Its B2C Services consists of Mobile Services (India), Homes Services, and Digital TV Services. Its B2B Services consists of Airtel Business, Passive Infrastructure Services and South Asia. Its Mobile Services (India) segment offers postpaid, pre-paid, roaming, Internet and other value-added services. Its Homes Services segment provides fixed-line telephone and broadband services for homes in approximately 1,512 cities. Its Digital TV Services provides direct-to-home platform, which offers a total of 709 channels including 99 HD channels, 67 SVOD services, four international channels and five interactive services. Its Airtel Business segment offers fixed-line voice (PRIs), data and other connectivity solutions, such as Multi-Protocol Label Switching, Voice over Internet Protocol, SIP trucking. Its South Asia segment represents its operation in Bangladesh.</v>
    <v>28701</v>
    <v>Bombay Stock Exchange</v>
    <v>XBOM</v>
    <v>XBOM</v>
    <v>Bharti Crescent 1 Nelson Mandela Road, Vasant Kunj, Phase II, NEW DELHI, DELHI, 110070 IN</v>
    <v>2165.9</v>
    <v>Telecommunications Services</v>
    <v>Stock</v>
    <v>45980.43849537037</v>
    <v>24</v>
    <v>2146.5</v>
    <v>12883070000000</v>
    <v>Bharti Airtel Limited</v>
    <v>Bharti Airtel Limited</v>
    <v>2151.15</v>
    <v>32.31</v>
    <v>2149.9</v>
    <v>2161.3000000000002</v>
    <v>6091080000</v>
    <v>532454</v>
    <v>Bharti Airtel Limited (XBOM:532454)</v>
    <v>175355</v>
    <v>14394500</v>
    <v>1995</v>
  </rv>
  <rv s="2">
    <v>25</v>
  </rv>
  <rv s="0">
    <v>https://www.bing.com/financeapi/forcetrigger?t=a1ngur&amp;q=XNYS%3aAMT&amp;form=skydnc</v>
    <v>Learn more on Bing</v>
  </rv>
  <rv s="1">
    <v>en-IN</v>
    <v>a1ngur</v>
    <v>268435456</v>
    <v>1</v>
    <v>Powered by Refinitiv</v>
    <v>0</v>
    <v>AMERICAN TOWER CORPORATION (XNYS:AMT)</v>
    <v>2</v>
    <v>3</v>
    <v>Finance</v>
    <v>4</v>
    <v>234.33</v>
    <v>172.51</v>
    <v>0.90169999999999995</v>
    <v>-1.43</v>
    <v>-7.8770000000000003E-3</v>
    <v>USD</v>
    <v>American Tower Corporation is a global real estate investment trust (REIT) and an independent owner, operator and developer of multitenant communications real estate with a portfolio of nearly 150,000 communications sites and a highly interconnected footprint of United States data center facilities. The Company's segments include U.S. &amp; Canada property, Africa &amp; APAC property, Europe property, Latin America property, Data Centers and Services. The Company’s primary business is leasing space on multitenant communications sites to wireless service providers, radio and television broadcast companies, wireless data providers, government agencies and municipalities and tenants in a number of other industries. The Company’s Data Centers segment relates to data center facilities and related assets that it owns and operates in the United States. Its Services segment offers tower-related services in the United States, including AZP, structural and mount analyses, and construction management.</v>
    <v>4691</v>
    <v>New York Stock Exchange</v>
    <v>XNYS</v>
    <v>XNYS</v>
    <v>116 Huntington Ave, BOSTON, MA, 02116 US</v>
    <v>182.27500000000001</v>
    <v>Residential &amp; Commercial REIT</v>
    <v>Stock</v>
    <v>45980.712850751559</v>
    <v>27</v>
    <v>178.92</v>
    <v>84322565592</v>
    <v>AMERICAN TOWER CORPORATION</v>
    <v>AMERICAN TOWER CORPORATION</v>
    <v>181.64</v>
    <v>28.73</v>
    <v>181.55</v>
    <v>180.12</v>
    <v>468146600</v>
    <v>AMT</v>
    <v>AMERICAN TOWER CORPORATION (XNYS:AMT)</v>
    <v>695087</v>
    <v>2937549</v>
    <v>1996</v>
  </rv>
  <rv s="2">
    <v>28</v>
  </rv>
  <rv s="0">
    <v>https://www.bing.com/financeapi/forcetrigger?t=afnotc&amp;q=XFRA%3aVODI&amp;form=skydnc</v>
    <v>Learn more on Bing</v>
  </rv>
  <rv s="5">
    <v>en-IN</v>
    <v>afnotc</v>
    <v>268435456</v>
    <v>1</v>
    <v>Powered by Refinitiv</v>
    <v>14</v>
    <v>VODAFONE GROUP PUBLIC LIMITED COMPANY (XFRA:VODI)</v>
    <v>2</v>
    <v>15</v>
    <v>Finance</v>
    <v>11</v>
    <v>0.81530000000000002</v>
    <v>-1.2E-2</v>
    <v>-1.1417999999999999E-2</v>
    <v>EUR</v>
    <v>Vodafone Group Plc is a telecoms company. The Company provides mobile and fixed services to over 355 million customers in 15 countries, partners with mobile networks in over 40 more and has IoT platforms. In Africa, its financial technology businesses serve almost 92 million customers across seven countries. Its products include Unified Communications, Mobile Connectivity, Fixed Connectivity, Digital Applications, IoT Connectivity, Cloud &amp; Edge, E2E Solutions, and Security. Its unified communications solutions include Microsoft Teams Voice, voice services, and recording services. Its digital applications include Gemini for Google Workspace, Google Workspace, Microsoft 365 Business, and Copilot for Microsoft 365. Its Cloud &amp; Edge services include cloud services, mobile private networks, and multi-access edge computing (MEC). It provides solutions for large and multinational business, small and medium business, international public sector, and carriers and digital service providers.</v>
    <v>87205</v>
    <v>Deutsche Boerse AG</v>
    <v>XFRA</v>
    <v>XFRA</v>
    <v>Vodafone House, The Connection, NEWBURY, BERKSHIRE, RG14 2FN GB</v>
    <v>1.056</v>
    <v>Telecommunications Services</v>
    <v>Stock</v>
    <v>45980.70208333333</v>
    <v>30</v>
    <v>1.0389999999999999</v>
    <v>22178940000</v>
    <v>VODAFONE GROUP PUBLIC LIMITED COMPANY</v>
    <v>VODAFONE GROUP PUBLIC LIMITED COMPANY</v>
    <v>1.056</v>
    <v>1.0509999999999999</v>
    <v>1.0389999999999999</v>
    <v>23838060000</v>
    <v>VODI</v>
    <v>VODAFONE GROUP PUBLIC LIMITED COMPANY (XFRA:VODI)</v>
    <v>23150</v>
    <v>78461560</v>
    <v>1984</v>
  </rv>
  <rv s="2">
    <v>31</v>
  </rv>
  <rv s="0">
    <v>https://www.bing.com/financeapi/forcetrigger?t=ae9qlh&amp;q=XPAR%3aORA&amp;form=skydnc</v>
    <v>Learn more on Bing</v>
  </rv>
  <rv s="1">
    <v>en-IN</v>
    <v>ae9qlh</v>
    <v>268435456</v>
    <v>1</v>
    <v>Powered by Refinitiv</v>
    <v>0</v>
    <v>Orange SA (XPAR:ORA)</v>
    <v>2</v>
    <v>12</v>
    <v>Finance</v>
    <v>11</v>
    <v>14.56</v>
    <v>9.3699999999999992</v>
    <v>0.23849999999999999</v>
    <v>-0.18</v>
    <v>-1.2894000000000001E-2</v>
    <v>EUR</v>
    <v>Orange SA is a France-based multi-service telecommunications operator. The Company operates seven segments: France, Spain, Europe, Africa &amp; Middle East, Enterprise, International Carriers &amp; Shared Services, Orange Bank. France includes all fixed and mobile communication services to consumers and companies as well as services for carriers. Spain covers fixed line and mobile telephony and fiber. Europe (Poland, Belgium, Luxembourg, Romania, Slovakia, and Moldova) provides high-speed fixed and mobile broadband. Africa &amp; Middle East primarily operates in the mobile markets but also provides telephony and fixed Internet services. Enterprise provides digital transformation support. International Carriers &amp; Shared Services includes international carrier and the activities of OCS and Orange Studio in content, among others. Orange Bank provides mobile financial services. Orange SA is the parent company of the Orange group.</v>
    <v>119270</v>
    <v>Euronext Paris</v>
    <v>XPAR</v>
    <v>XPAR</v>
    <v>111, quai du President Roosevelt, Cs 70222, Issy-Les-Moulineaux Cedex, ISSY-LES-MOULINEAUX, ILE-DE-FRANCE, 92449 FR</v>
    <v>13.994999999999999</v>
    <v>Telecommunications Services</v>
    <v>Stock</v>
    <v>45980.694444444445</v>
    <v>33</v>
    <v>13.67</v>
    <v>37134390000</v>
    <v>Orange SA</v>
    <v>Orange SA</v>
    <v>13.994999999999999</v>
    <v>43.524999999999999</v>
    <v>13.96</v>
    <v>13.78</v>
    <v>2660057000</v>
    <v>ORA</v>
    <v>Orange SA (XPAR:ORA)</v>
    <v>4293347</v>
    <v>3328620</v>
    <v>1991</v>
  </rv>
  <rv s="2">
    <v>34</v>
  </rv>
  <rv s="0">
    <v>https://www.bing.com/financeapi/forcetrigger?t=ahe22w&amp;q=XBOM%3a532822&amp;form=skydnc</v>
    <v>Learn more on Bing</v>
  </rv>
  <rv s="6">
    <v>en-IN</v>
    <v>ahe22w</v>
    <v>268435456</v>
    <v>1</v>
    <v>Powered by Refinitiv</v>
    <v>16</v>
    <v>VODAFONE IDEA LIMITED (XBOM:532822)</v>
    <v>2</v>
    <v>17</v>
    <v>Finance</v>
    <v>11</v>
    <v>11.08</v>
    <v>6.12</v>
    <v>1.0023</v>
    <v>-0.05</v>
    <v>-4.6550000000000003E-3</v>
    <v>INR</v>
    <v>Vodafone Idea Limited is an India-based telecom service provider. The Company is engaged in the business of telecommunication services. It provides pan-India voice and data services across second-generation (2G), third generation (3G) and fourth generation (4G) platforms. Its Vodafone Idea business services provide communication solutions to global and Indian corporations, public sector and government bodies, small and medium enterprises, and start-ups. The Company’s services include Voice Services, Broadband Services, Content and Digital Offerings, and Other Value-Added Services (VAS) Offerings. It offers a variety of other VAS offerings, including Voice and SMS based services such as caller tunes, voice &amp; SMS chat and Utility services such as missed call alerts. Its subsidiaries include Vodafone Foundation, Vodafone Idea Business Services Limited, Vodafone Idea Communication Systems Limited, Vodafone Idea Manpower Services Limited, among others.</v>
    <v>9985</v>
    <v>Bombay Stock Exchange</v>
    <v>XBOM</v>
    <v>XBOM</v>
    <v>Birla Centurion, 10th Floor, Century Mills Compound, Pandurang Budhkar Marg Worli, MUMBAI, MAHARASHTRA, 400030 IN</v>
    <v>10.89</v>
    <v>Telecommunications Services</v>
    <v>Stock</v>
    <v>45980.438518518517</v>
    <v>36</v>
    <v>10.58</v>
    <v>1163604000000</v>
    <v>VODAFONE IDEA LIMITED</v>
    <v>VODAFONE IDEA LIMITED</v>
    <v>10.75</v>
    <v>10.74</v>
    <v>10.69</v>
    <v>108343000000</v>
    <v>532822</v>
    <v>VODAFONE IDEA LIMITED (XBOM:532822)</v>
    <v>58116660</v>
    <v>1260985190</v>
    <v>1995</v>
  </rv>
  <rv s="2">
    <v>37</v>
  </rv>
  <rv s="0">
    <v>https://www.bing.com/financeapi/forcetrigger?t=afgyvh&amp;q=XFRA%3aNTT&amp;form=skydnc</v>
    <v>Learn more on Bing</v>
  </rv>
  <rv s="1">
    <v>en-IN</v>
    <v>afgyvh</v>
    <v>268435456</v>
    <v>1</v>
    <v>Powered by Refinitiv</v>
    <v>0</v>
    <v>NTT, Inc. (XFRA:NTT)</v>
    <v>2</v>
    <v>18</v>
    <v>Finance</v>
    <v>11</v>
    <v>47.56</v>
    <v>0.82099999999999995</v>
    <v>0.38490000000000002</v>
    <v>-1.9599999999999999E-2</v>
    <v>-2.2844000000000003E-2</v>
    <v>EUR</v>
    <v>NTT Inc, formerly Nippon Telegraph and Telephone Corp, is engaged in the comprehensive information and communications technology (ICT) business, the regional communications business, and the global solutions business. The Company operates through four business segments. The Comprehensive ICT Business segment is engaged in the mobile phone business, inter-prefectural communications services in the domestic telecommunications business, international communications business, solutions business, system development business, and related businesses. The Regional Communications Business segment is engaged in the provision of intra-prefectural communications services in the domestic telecommunications business and related businesses. The Global Solutions Business segment is engaged in the system integration, network systems, cloud, global data centers, and related businesses. The Other (Real Estate, Energy) segment includes real estate business, energy business and others.</v>
    <v>341321</v>
    <v>Deutsche Boerse AG</v>
    <v>XFRA</v>
    <v>XFRA</v>
    <v>East Tower, Otemachi First Square, 1-5-1, Ote-machi, CHIYODA-KU, TOKYO-TO, 100-8116 JP</v>
    <v>0.83840000000000003</v>
    <v>Telecommunications Services</v>
    <v>Stock</v>
    <v>45980.698611111111</v>
    <v>39</v>
    <v>0.83840000000000003</v>
    <v>13836090000000</v>
    <v>NTT, Inc.</v>
    <v>NTT, Inc.</v>
    <v>0.83840000000000003</v>
    <v>11.9771</v>
    <v>0.85799999999999998</v>
    <v>0.83840000000000003</v>
    <v>90550310000</v>
    <v>NTT</v>
    <v>NTT, Inc. (XFRA:NTT)</v>
    <v>6700</v>
    <v>269218310</v>
    <v>1985</v>
  </rv>
  <rv s="2">
    <v>40</v>
  </rv>
  <rv s="0">
    <v>https://www.bing.com/financeapi/forcetrigger?t=afprpr&amp;q=XFRA%3aZCH&amp;form=skydnc</v>
    <v>Learn more on Bing</v>
  </rv>
  <rv s="7">
    <v>en-IN</v>
    <v>afprpr</v>
    <v>268435456</v>
    <v>1</v>
    <v>Powered by Refinitiv</v>
    <v>19</v>
    <v>China Telecom Corporation Limited (XFRA:ZCH)</v>
    <v>2</v>
    <v>20</v>
    <v>Finance</v>
    <v>11</v>
    <v>0.35239999999999999</v>
    <v>-0.02</v>
    <v>-3.6364E-2</v>
    <v>EUR</v>
    <v>China Telecom Corp Ltd is a China-based company primarily engaged in telecommunications and related businesses. The Company's main business includes mobile communications services, wireline and smart home services, industrial digital services, and commodity sales. The Company's mobile telecommunications services business primarily includes mobile services such as mobile calls, mobile internet access, and text messaging. The Company's wireline and smart home services business primarily includes fixed-line telephones, broadband access, and smart home services. Its industrial digital services business primarily includes industry cloud, Internet data centers (IDCs), digital platforms, and dedicated network lines. The Company's commodity sales business refers to the company's sales of mobile terminal equipment and wireline communication equipment to users. The Company distributes its products within the domestic market.</v>
    <v>277674</v>
    <v>Deutsche Boerse AG</v>
    <v>XFRA</v>
    <v>XFRA</v>
    <v>No. 31 Financial Avenue, Xicheng District, BEIJING, BEIJING, 100033 CN</v>
    <v>0.53</v>
    <v>Telecommunications Services</v>
    <v>Stock</v>
    <v>45594.71597222222</v>
    <v>42</v>
    <v>0.53</v>
    <v>615926400000</v>
    <v>China Telecom Corporation Limited</v>
    <v>China Telecom Corporation Limited</v>
    <v>0.53</v>
    <v>11.75</v>
    <v>0.55000000000000004</v>
    <v>0.53</v>
    <v>91507140000</v>
    <v>ZCH</v>
    <v>China Telecom Corporation Limited (XFRA:ZCH)</v>
    <v>150</v>
    <v>79336260</v>
    <v>2002</v>
  </rv>
  <rv s="2">
    <v>43</v>
  </rv>
  <rv s="0">
    <v>https://www.bing.com/financeapi/forcetrigger?t=aa9vc7&amp;q=XASX%3aTLS&amp;form=skydnc</v>
    <v>Learn more on Bing</v>
  </rv>
  <rv s="1">
    <v>en-IN</v>
    <v>aa9vc7</v>
    <v>268435456</v>
    <v>1</v>
    <v>Powered by Refinitiv</v>
    <v>0</v>
    <v>TELSTRA GROUP LIMITED (XASX:TLS)</v>
    <v>2</v>
    <v>21</v>
    <v>Finance</v>
    <v>22</v>
    <v>5.14</v>
    <v>3.82</v>
    <v>0.32700000000000001</v>
    <v>-0.03</v>
    <v>-6.0980000000000001E-3</v>
    <v>AUD</v>
    <v>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v>
    <v>30533</v>
    <v>Australian Securities Exchange</v>
    <v>XASX</v>
    <v>XASX</v>
    <v>242 Exhibition Street, Level 41, MELBOURNE, VICTORIA, 3000 AU</v>
    <v>4.95</v>
    <v>Telecommunications Services</v>
    <v>Stock</v>
    <v>45980.333344907405</v>
    <v>45</v>
    <v>4.8499999999999996</v>
    <v>55820910000</v>
    <v>TELSTRA GROUP LIMITED</v>
    <v>TELSTRA GROUP LIMITED</v>
    <v>4.95</v>
    <v>25.873000000000001</v>
    <v>4.92</v>
    <v>4.8899999999999997</v>
    <v>11322700000</v>
    <v>TLS</v>
    <v>TELSTRA GROUP LIMITED (XASX:TLS)</v>
    <v>19637366</v>
    <v>21234390</v>
    <v>2021</v>
  </rv>
  <rv s="2">
    <v>46</v>
  </rv>
  <rv s="0">
    <v>https://www.bing.com/financeapi/forcetrigger?t=afe45r&amp;q=XFRA%3aKTC&amp;form=skydnc</v>
    <v>Learn more on Bing</v>
  </rv>
  <rv s="1">
    <v>en-IN</v>
    <v>afe45r</v>
    <v>268435456</v>
    <v>1</v>
    <v>Powered by Refinitiv</v>
    <v>0</v>
    <v>KT CORPORATION (XFRA:KTC)</v>
    <v>2</v>
    <v>23</v>
    <v>Finance</v>
    <v>11</v>
    <v>18.3</v>
    <v>5.9</v>
    <v>0.66239999999999999</v>
    <v>-1.6</v>
    <v>-9.5808000000000004E-2</v>
    <v>EUR</v>
    <v>KT Corp is a Korea-based company that mainly provides telecommunication services. The Company operates its business through four segments. The Information and Communications Technologies segment is engaged in providing telecommunication services to individual, home, corporate customers and the convergence business. The Finance segment is engaged in providing financial services, such as credit card. The Satellite Broadcasting segment provides satellite television services. The Other segment includes security services, satellite service, information technology and network services, as well as global business services, which provide global network services to multinational or domestic corporate customers and telecommunications companies. The Company's principal services include mobile voice and data telecommunications services; fixed-line services; credit card processing and other financial services; as well as other services. The Company is engaged in the software platforms business.</v>
    <v>23371</v>
    <v>Deutsche Boerse AG</v>
    <v>XFRA</v>
    <v>XFRA</v>
    <v>KT Head Office, 90, Buljeong-ro, Bundang-gu, SEONGNAM, GYEONGGI-DO, 13606 KR</v>
    <v>15.1</v>
    <v>Telecommunications Services</v>
    <v>Stock</v>
    <v>45980.683333333334</v>
    <v>48</v>
    <v>15.1</v>
    <v>8496918000</v>
    <v>KT CORPORATION</v>
    <v>KT CORPORATION</v>
    <v>15.1</v>
    <v>12.583299999999999</v>
    <v>16.7</v>
    <v>15.1</v>
    <v>504043400</v>
    <v>KTC</v>
    <v>KT CORPORATION (XFRA:KTC)</v>
    <v>75</v>
    <v>1489930</v>
    <v>1981</v>
  </rv>
  <rv s="2">
    <v>49</v>
  </rv>
</rvData>
</file>

<file path=xl/richData/rdrichvaluestructure.xml><?xml version="1.0" encoding="utf-8"?>
<rvStructures xmlns="http://schemas.microsoft.com/office/spreadsheetml/2017/richdata" count="8">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Change"/>
    <k n="Change (%)"/>
    <k n="Country/region" t="s"/>
    <k n="Currency" t="s"/>
    <k n="Instrument type" t="s"/>
    <k n="Last trade time"/>
    <k n="LearnMoreOnLink" t="r"/>
    <k n="Maturity"/>
    <k n="Name" t="s"/>
    <k n="Previous close"/>
    <k n="Price"/>
    <k n="Ticker symbol" t="s"/>
    <k n="UniqueName" t="s"/>
    <k n="Yield last month"/>
    <k n="Yield last week"/>
    <k n="Yield last year"/>
    <k n="Yield yesterday"/>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Name" t="s"/>
    <k n="Official name" t="s"/>
    <k n="Open"/>
    <k n="P/E"/>
    <k n="Previous close"/>
    <k n="Price"/>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6">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8">
      <v t="s">%EntityServiceId</v>
      <v t="s">_Format</v>
      <v t="s">%IsRefreshable</v>
      <v t="s">%EntityCulture</v>
      <v t="s">%EntityId</v>
      <v t="s">_Icon</v>
      <v t="s">_Display</v>
      <v t="s">Name</v>
      <v t="s">Price</v>
      <v t="s">_SubLabel</v>
      <v t="s">Last trade time</v>
      <v t="s">Ticker symbol</v>
      <v t="s">Change</v>
      <v t="s">Change (%)</v>
      <v t="s">Currency</v>
      <v t="s">Previous close</v>
      <v t="s">Yield yesterday</v>
      <v t="s">Yield last week</v>
      <v t="s">Yield last month</v>
      <v t="s">Yield last year</v>
      <v t="s">Maturity</v>
      <v t="s">Country/region</v>
      <v t="s">Instrument type</v>
      <v t="s">_Flags</v>
      <v t="s">UniqueName</v>
      <v t="s">_DisplayString</v>
      <v t="s">LearnMoreOnLink</v>
      <v t="s">%ProviderInfo</v>
    </a>
    <a count="38">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Beta</v>
      <v t="s">P/E</v>
      <v t="s">Description</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24">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1</v>
      <v>1</v>
      <v>1</v>
    </spb>
    <spb s="6">
      <v>3</v>
      <v>1</v>
      <v>1</v>
      <v>10</v>
      <v>5</v>
      <v>1</v>
      <v>7</v>
      <v>5</v>
      <v>5</v>
      <v>5</v>
      <v>5</v>
      <v>9</v>
    </spb>
    <spb s="7">
      <v>GMT</v>
    </spb>
    <spb s="0">
      <v>2</v>
      <v>Name</v>
      <v>LearnMoreOnLink</v>
    </spb>
    <spb s="8">
      <v>1</v>
      <v>2</v>
      <v>2</v>
      <v>1</v>
      <v>3</v>
      <v>1</v>
      <v>1</v>
      <v>1</v>
      <v>4</v>
      <v>5</v>
      <v>1</v>
      <v>1</v>
      <v>1</v>
      <v>7</v>
      <v>8</v>
      <v>9</v>
    </spb>
    <spb s="9">
      <v>Delayed 15 minutes</v>
      <v>from previous close</v>
      <v>from previous close</v>
      <v>GMT</v>
    </spb>
    <spb s="3">
      <v>11</v>
      <v>2</v>
      <v>2</v>
      <v>11</v>
      <v>3</v>
      <v>11</v>
      <v>11</v>
      <v>11</v>
      <v>4</v>
      <v>4</v>
      <v>5</v>
      <v>12</v>
      <v>11</v>
      <v>11</v>
      <v>11</v>
      <v>4</v>
      <v>7</v>
      <v>8</v>
      <v>9</v>
      <v>4</v>
    </spb>
    <spb s="3">
      <v>13</v>
      <v>2</v>
      <v>2</v>
      <v>13</v>
      <v>3</v>
      <v>13</v>
      <v>13</v>
      <v>13</v>
      <v>4</v>
      <v>4</v>
      <v>5</v>
      <v>14</v>
      <v>13</v>
      <v>13</v>
      <v>13</v>
      <v>4</v>
      <v>7</v>
      <v>8</v>
      <v>9</v>
      <v>4</v>
    </spb>
    <spb s="0">
      <v>3</v>
      <v>Name</v>
      <v>LearnMoreOnLink</v>
    </spb>
    <spb s="10">
      <v>11</v>
      <v>2</v>
      <v>11</v>
      <v>3</v>
      <v>11</v>
      <v>11</v>
      <v>11</v>
      <v>4</v>
      <v>4</v>
      <v>5</v>
      <v>15</v>
      <v>11</v>
      <v>4</v>
      <v>7</v>
      <v>8</v>
      <v>9</v>
      <v>4</v>
    </spb>
    <spb s="0">
      <v>4</v>
      <v>Name</v>
      <v>LearnMoreOnLink</v>
    </spb>
    <spb s="11">
      <v>13</v>
      <v>2</v>
      <v>13</v>
      <v>3</v>
      <v>13</v>
      <v>13</v>
      <v>13</v>
      <v>4</v>
      <v>4</v>
      <v>5</v>
      <v>14</v>
      <v>13</v>
      <v>13</v>
      <v>13</v>
      <v>4</v>
      <v>7</v>
      <v>8</v>
      <v>9</v>
      <v>4</v>
    </spb>
    <spb s="3">
      <v>11</v>
      <v>2</v>
      <v>2</v>
      <v>11</v>
      <v>3</v>
      <v>11</v>
      <v>11</v>
      <v>11</v>
      <v>4</v>
      <v>4</v>
      <v>5</v>
      <v>16</v>
      <v>11</v>
      <v>11</v>
      <v>11</v>
      <v>4</v>
      <v>7</v>
      <v>8</v>
      <v>9</v>
      <v>4</v>
    </spb>
    <spb s="0">
      <v>5</v>
      <v>Name</v>
      <v>LearnMoreOnLink</v>
    </spb>
    <spb s="12">
      <v>11</v>
      <v>2</v>
      <v>2</v>
      <v>11</v>
      <v>3</v>
      <v>11</v>
      <v>11</v>
      <v>11</v>
      <v>4</v>
      <v>4</v>
      <v>5</v>
      <v>17</v>
      <v>11</v>
      <v>4</v>
      <v>7</v>
      <v>8</v>
      <v>9</v>
      <v>4</v>
    </spb>
    <spb s="3">
      <v>18</v>
      <v>2</v>
      <v>2</v>
      <v>18</v>
      <v>3</v>
      <v>18</v>
      <v>18</v>
      <v>18</v>
      <v>4</v>
      <v>4</v>
      <v>5</v>
      <v>19</v>
      <v>18</v>
      <v>18</v>
      <v>18</v>
      <v>4</v>
      <v>7</v>
      <v>8</v>
      <v>9</v>
      <v>4</v>
    </spb>
    <spb s="9">
      <v>Delayed 20 minutes</v>
      <v>from previous close</v>
      <v>from previous close</v>
      <v>GMT</v>
    </spb>
    <spb s="3">
      <v>11</v>
      <v>2</v>
      <v>2</v>
      <v>11</v>
      <v>3</v>
      <v>11</v>
      <v>11</v>
      <v>11</v>
      <v>4</v>
      <v>4</v>
      <v>5</v>
      <v>6</v>
      <v>11</v>
      <v>11</v>
      <v>11</v>
      <v>4</v>
      <v>7</v>
      <v>8</v>
      <v>9</v>
      <v>4</v>
    </spb>
  </spbData>
</supportingPropertyBags>
</file>

<file path=xl/richData/rdsupportingpropertybagstructure.xml><?xml version="1.0" encoding="utf-8"?>
<spbStructures xmlns="http://schemas.microsoft.com/office/spreadsheetml/2017/richdata2" count="13">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UniqueName" t="spb"/>
    <k n="`%ProviderInfo" t="spb"/>
    <k n="LearnMoreOnLink" t="spb"/>
  </s>
  <s>
    <k n="Name" t="i"/>
    <k n="Price" t="i"/>
    <k n="Change" t="i"/>
    <k n="Maturity" t="i"/>
    <k n="Change (%)" t="i"/>
    <k n="Previous close" t="i"/>
    <k n="Last trade time" t="i"/>
    <k n="Yield last week" t="i"/>
    <k n="Yield last year" t="i"/>
    <k n="Yield yesterday" t="i"/>
    <k n="Yield last month" t="i"/>
    <k n="`%EntityServiceId" t="i"/>
  </s>
  <s>
    <k n="Last trade time" t="s"/>
  </s>
  <s>
    <k n="Low" t="i"/>
    <k n="P/E" t="i"/>
    <k n="Beta" t="i"/>
    <k n="High" t="i"/>
    <k n="Name" t="i"/>
    <k n="Open" t="i"/>
    <k n="Price" t="i"/>
    <k n="Change" t="i"/>
    <k n="Volume" t="i"/>
    <k n="Change (%)" t="i"/>
    <k n="52 week low" t="i"/>
    <k n="52 week high" t="i"/>
    <k n="Previous close" t="i"/>
    <k n="Last trade time" t="i"/>
    <k n="Year incorporated" t="i"/>
    <k n="`%EntityServiceId" t="i"/>
  </s>
  <s>
    <k n="Price" t="s"/>
    <k n="Change" t="s"/>
    <k n="Change (%)" t="s"/>
    <k n="Last trade time" t="s"/>
  </s>
  <s>
    <k n="Low" t="i"/>
    <k n="Beta" t="i"/>
    <k n="High" t="i"/>
    <k n="Name" t="i"/>
    <k n="Open" t="i"/>
    <k n="Price" t="i"/>
    <k n="Change" t="i"/>
    <k n="Volume" t="i"/>
    <k n="Employees" t="i"/>
    <k n="Change (%)" t="i"/>
    <k n="Market cap" t="i"/>
    <k n="Previous close" t="i"/>
    <k n="Volume average" t="i"/>
    <k n="Last trade time" t="i"/>
    <k n="Year incorporated" t="i"/>
    <k n="`%EntityServiceId" t="i"/>
    <k n="Shares outstanding" t="i"/>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x:dxf>
      <x:numFmt numFmtId="19" formatCode="yyyy/mm/dd"/>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7"/>
    <rSty dxfid="1">
      <rpv i="0">_([$€-x-euro2] * #,##0.00_);_([$€-x-euro2] * (#,##0.00);_([$€-x-euro2] * "-"??_);_(@_)</rpv>
    </rSty>
    <rSty dxfid="1">
      <rpv i="0">_([$€-x-euro2] * #,##0_);_([$€-x-euro2] * (#,##0);_([$€-x-euro2] * "-"_);_(@_)</rpv>
    </rSty>
    <rSty dxfid="1">
      <rpv i="0" xml:space="preserve">_ [$₹-en-IN] * #,##0.00_ ;_ [$₹-en-IN] * -#,##0.00_ ;_ [$₹-en-IN] * "-"??_ ;_ @_ </rpv>
    </rSty>
    <rSty dxfid="1">
      <rpv i="0" xml:space="preserve">_ [$₹-en-IN] * #,##0_ ;_ [$₹-en-IN] * -#,##0_ ;_ [$₹-en-IN] * "-"_ ;_ @_ </rpv>
    </rSty>
    <rSty dxfid="1">
      <rpv i="0">_-[$£-en-GB]* #,##0_-;-[$£-en-GB]* #,##0_-;_-[$£-en-GB]* "-"_-;_-@_-</rpv>
    </rSty>
    <rSty dxfid="1">
      <rpv i="0">_-[$¥-ja-JP]* #,##0_-;-[$¥-ja-JP]* #,##0_-;_-[$¥-ja-JP]* "-"_-;_-@_-</rpv>
    </rSty>
    <rSty dxfid="1">
      <rpv i="0">_-[$$-en-HK]* #,##0_-;-[$$-en-HK]* #,##0_-;_-[$$-en-HK]* "-"_-;_-@_-</rpv>
    </rSty>
    <rSty dxfid="1">
      <rpv i="0">_-[$$-en-AU]* #,##0.00_-;-[$$-en-AU]* #,##0.00_-;_-[$$-en-AU]* "-"??_-;_-@_-</rpv>
    </rSty>
    <rSty dxfid="1">
      <rpv i="0">_-[$$-en-AU]* #,##0_-;-[$$-en-AU]* #,##0_-;_-[$$-en-AU]*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8FC32-C102-45FE-8271-A5EEC00A157A}" name="Table1" displayName="Table1" ref="A2:F10" totalsRowShown="0" headerRowDxfId="300" dataDxfId="299">
  <autoFilter ref="A2:F10" xr:uid="{23C8FC32-C102-45FE-8271-A5EEC00A157A}">
    <filterColumn colId="0" hiddenButton="1"/>
    <filterColumn colId="1" hiddenButton="1"/>
    <filterColumn colId="2" hiddenButton="1"/>
    <filterColumn colId="3" hiddenButton="1"/>
    <filterColumn colId="4" hiddenButton="1"/>
    <filterColumn colId="5" hiddenButton="1"/>
  </autoFilter>
  <tableColumns count="6">
    <tableColumn id="1" xr3:uid="{17EB08B6-10AA-4146-ABC3-371E6E11743C}" name="Particulars" dataDxfId="298"/>
    <tableColumn id="2" xr3:uid="{131B07BF-8D78-4B8B-BA61-C63E1AEA8D0B}" name="2020" dataDxfId="297" dataCellStyle="Comma"/>
    <tableColumn id="3" xr3:uid="{FA0B8311-5CBA-4FA2-8D4E-1591CF255DC3}" name="2021" dataDxfId="296" dataCellStyle="Comma"/>
    <tableColumn id="4" xr3:uid="{E8642FD2-4784-4F7C-BD08-796FAE8CA9A7}" name="2022" dataDxfId="295" dataCellStyle="Comma"/>
    <tableColumn id="5" xr3:uid="{5938E758-511B-43AC-A6F6-771CA875A0D5}" name="2023" dataDxfId="294" dataCellStyle="Comma"/>
    <tableColumn id="6" xr3:uid="{9BEC8DDF-90DB-4515-B456-11358A34EABE}" name="2024" dataDxfId="293" dataCellStyle="Comma"/>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722CBB-D5B7-4D5D-A017-CF932D5063F4}" name="Table2" displayName="Table2" ref="A13:F22" totalsRowShown="0" headerRowDxfId="292" dataDxfId="291">
  <autoFilter ref="A13:F22" xr:uid="{3B722CBB-D5B7-4D5D-A017-CF932D5063F4}">
    <filterColumn colId="0" hiddenButton="1"/>
    <filterColumn colId="1" hiddenButton="1"/>
    <filterColumn colId="2" hiddenButton="1"/>
    <filterColumn colId="3" hiddenButton="1"/>
    <filterColumn colId="4" hiddenButton="1"/>
    <filterColumn colId="5" hiddenButton="1"/>
  </autoFilter>
  <tableColumns count="6">
    <tableColumn id="1" xr3:uid="{5E67AD04-84D7-4466-B865-B680656F7FEB}" name="Particulars" dataDxfId="290"/>
    <tableColumn id="2" xr3:uid="{66C5E521-41AC-4AAE-97C4-A5986CA008DD}" name="2020" dataDxfId="289" dataCellStyle="Comma"/>
    <tableColumn id="3" xr3:uid="{EB30F514-B2C8-462D-9BD8-033183B6B0EF}" name="2021" dataDxfId="288" dataCellStyle="Comma"/>
    <tableColumn id="4" xr3:uid="{E5B1D80B-B035-49CE-9784-F12C45E501A1}" name="2022" dataDxfId="287" dataCellStyle="Comma"/>
    <tableColumn id="5" xr3:uid="{7C2BE35F-4AFD-42A0-A402-7973DE18540D}" name="2023" dataDxfId="286" dataCellStyle="Comma"/>
    <tableColumn id="6" xr3:uid="{FF3A2470-44AE-462B-B6EA-765B40D7F6F1}" name="2024" dataDxfId="285" dataCellStyle="Comma"/>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751ED5-AC2B-439E-93BA-FEFF72D92B22}" name="Table3" displayName="Table3" ref="A25:F29" totalsRowShown="0" headerRowDxfId="284" dataDxfId="283">
  <autoFilter ref="A25:F29" xr:uid="{9F751ED5-AC2B-439E-93BA-FEFF72D92B22}">
    <filterColumn colId="0" hiddenButton="1"/>
    <filterColumn colId="1" hiddenButton="1"/>
    <filterColumn colId="2" hiddenButton="1"/>
    <filterColumn colId="3" hiddenButton="1"/>
    <filterColumn colId="4" hiddenButton="1"/>
    <filterColumn colId="5" hiddenButton="1"/>
  </autoFilter>
  <tableColumns count="6">
    <tableColumn id="1" xr3:uid="{982F9233-58C7-452C-A517-383A187689FC}" name="Particulars" dataDxfId="282"/>
    <tableColumn id="2" xr3:uid="{05EBB10D-171C-427C-9E38-C1635EB0D116}" name="2020" dataDxfId="281" dataCellStyle="Comma"/>
    <tableColumn id="3" xr3:uid="{F8F13265-AB8C-42C3-9AFE-50843BCF4E22}" name="2021" dataDxfId="280" dataCellStyle="Comma"/>
    <tableColumn id="4" xr3:uid="{776FFEB9-73E8-40E9-8F48-CF9F171B0C70}" name="2022" dataDxfId="279" dataCellStyle="Comma"/>
    <tableColumn id="5" xr3:uid="{9C49C045-6861-4597-897F-BCD595FB7A44}" name="2023" dataDxfId="278" dataCellStyle="Comma"/>
    <tableColumn id="6" xr3:uid="{460E2A38-2DA0-4B2F-BBAE-063307E4F292}" name="2024" dataDxfId="277" dataCellStyle="Comma"/>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06861A6-5D29-4D70-997D-94B81F4D1EA9}" name="Table18" displayName="Table18" ref="H2:M10" totalsRowShown="0" headerRowDxfId="276" dataDxfId="275">
  <autoFilter ref="H2:M10" xr:uid="{B06861A6-5D29-4D70-997D-94B81F4D1EA9}">
    <filterColumn colId="0" hiddenButton="1"/>
    <filterColumn colId="1" hiddenButton="1"/>
    <filterColumn colId="2" hiddenButton="1"/>
    <filterColumn colId="3" hiddenButton="1"/>
    <filterColumn colId="4" hiddenButton="1"/>
    <filterColumn colId="5" hiddenButton="1"/>
  </autoFilter>
  <tableColumns count="6">
    <tableColumn id="1" xr3:uid="{DF9F13A1-3A4C-4BB9-989E-E37EDEB09439}" name="Particulars" dataDxfId="274"/>
    <tableColumn id="2" xr3:uid="{8EFFD4C1-4BAA-4480-95E5-F803C1AE32AC}" name="2020" dataDxfId="273" dataCellStyle="Comma"/>
    <tableColumn id="3" xr3:uid="{6A845697-4954-4A2C-866A-763F7387503C}" name="2021" dataDxfId="272" dataCellStyle="Comma"/>
    <tableColumn id="4" xr3:uid="{96DE964E-CF74-4305-8C19-9346C69693A7}" name="2022" dataDxfId="271" dataCellStyle="Comma"/>
    <tableColumn id="5" xr3:uid="{EC02FD53-A7F0-4782-A5C6-9DB3900D2E72}" name="2023" dataDxfId="270" dataCellStyle="Comma"/>
    <tableColumn id="6" xr3:uid="{8E7DC888-E87F-4825-AA9F-4AACED19DC7C}" name="2024" dataDxfId="269" dataCellStyle="Comma"/>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0B64036-2046-44ED-B685-B17A474A3419}" name="Table29" displayName="Table29" ref="H13:M22" totalsRowShown="0" headerRowDxfId="268" dataDxfId="267">
  <autoFilter ref="H13:M22" xr:uid="{20B64036-2046-44ED-B685-B17A474A3419}">
    <filterColumn colId="0" hiddenButton="1"/>
    <filterColumn colId="1" hiddenButton="1"/>
    <filterColumn colId="2" hiddenButton="1"/>
    <filterColumn colId="3" hiddenButton="1"/>
    <filterColumn colId="4" hiddenButton="1"/>
    <filterColumn colId="5" hiddenButton="1"/>
  </autoFilter>
  <tableColumns count="6">
    <tableColumn id="1" xr3:uid="{0ABABC4C-46F9-4D40-902B-F7A2945F6A51}" name="Particulars" dataDxfId="266"/>
    <tableColumn id="2" xr3:uid="{40D6A151-E47D-4024-A6D2-A49DFBC50B72}" name="2020" dataDxfId="265" dataCellStyle="Comma"/>
    <tableColumn id="3" xr3:uid="{881EC628-5715-410D-86BE-1C1817F6D3EF}" name="2021" dataDxfId="264" dataCellStyle="Comma"/>
    <tableColumn id="4" xr3:uid="{655DD374-D41E-4C08-8F34-F0D8EE2DA8B8}" name="2022" dataDxfId="263" dataCellStyle="Comma"/>
    <tableColumn id="5" xr3:uid="{469C6E94-6A2A-407E-986A-F8A67C9AFF61}" name="2023" dataDxfId="262" dataCellStyle="Comma"/>
    <tableColumn id="6" xr3:uid="{57DF2323-289F-4EA8-8C83-2F72E4C89454}" name="2024" dataDxfId="261" dataCellStyle="Comma"/>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AA66228-9025-47A4-94AB-E80590ED9244}" name="Table310" displayName="Table310" ref="H25:M29" totalsRowShown="0" headerRowDxfId="260" dataDxfId="259">
  <autoFilter ref="H25:M29" xr:uid="{2AA66228-9025-47A4-94AB-E80590ED9244}">
    <filterColumn colId="0" hiddenButton="1"/>
    <filterColumn colId="1" hiddenButton="1"/>
    <filterColumn colId="2" hiddenButton="1"/>
    <filterColumn colId="3" hiddenButton="1"/>
    <filterColumn colId="4" hiddenButton="1"/>
    <filterColumn colId="5" hiddenButton="1"/>
  </autoFilter>
  <tableColumns count="6">
    <tableColumn id="1" xr3:uid="{C09375AD-8CF6-46B1-A369-71136E73B4FB}" name="Particulars" dataDxfId="258"/>
    <tableColumn id="2" xr3:uid="{9AB30D9F-8293-4CA6-92E1-4DAB29BD9216}" name="2020" dataDxfId="257" dataCellStyle="Comma"/>
    <tableColumn id="3" xr3:uid="{0147D932-6472-4683-AD64-D786A84A59E6}" name="2021" dataDxfId="256" dataCellStyle="Comma"/>
    <tableColumn id="4" xr3:uid="{477C37FA-F955-4205-84E6-13CDCFF2C05F}" name="2022" dataDxfId="255" dataCellStyle="Comma"/>
    <tableColumn id="5" xr3:uid="{5C32EA56-6AD5-4A0C-BFB1-9A8D19188E72}" name="2023" dataDxfId="254" dataCellStyle="Comma"/>
    <tableColumn id="6" xr3:uid="{68B40AAF-AC08-480F-8A78-EB08954EC490}" name="2024" dataDxfId="253" dataCellStyle="Comma"/>
  </tableColumns>
  <tableStyleInfo name="TableStyleMedium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B4F90F12-F90B-4C72-ADE8-BA094637FC6B}" name="Table141" displayName="Table141" ref="O2:T10" totalsRowShown="0" headerRowDxfId="252" dataDxfId="251">
  <autoFilter ref="O2:T10" xr:uid="{B4F90F12-F90B-4C72-ADE8-BA094637FC6B}">
    <filterColumn colId="0" hiddenButton="1"/>
    <filterColumn colId="1" hiddenButton="1"/>
    <filterColumn colId="2" hiddenButton="1"/>
    <filterColumn colId="3" hiddenButton="1"/>
    <filterColumn colId="4" hiddenButton="1"/>
    <filterColumn colId="5" hiddenButton="1"/>
  </autoFilter>
  <tableColumns count="6">
    <tableColumn id="1" xr3:uid="{7800BB68-0AEA-4245-9F27-C96305597891}" name="Particulars" dataDxfId="250"/>
    <tableColumn id="2" xr3:uid="{2107C3FE-8EE5-4063-8161-991400A55E53}" name="2020" dataDxfId="249" dataCellStyle="Comma"/>
    <tableColumn id="3" xr3:uid="{E0C31610-0048-4447-9E7D-A973B7F00909}" name="2021" dataDxfId="248" dataCellStyle="Comma"/>
    <tableColumn id="4" xr3:uid="{E6A53A19-F5BE-4316-8D8B-8059BBEEE099}" name="2022" dataDxfId="247" dataCellStyle="Comma"/>
    <tableColumn id="5" xr3:uid="{41040E39-0453-44FC-B30F-1C8A374A545C}" name="2023" dataDxfId="246" dataCellStyle="Comma"/>
    <tableColumn id="6" xr3:uid="{8F19BBD3-72A4-4BE9-97AC-3D2C4BF3EE2A}" name="2024" dataDxfId="245" dataCellStyle="Comma"/>
  </tableColumns>
  <tableStyleInfo name="TableStyleMedium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F5DB348-EF68-45BC-9B17-8F985780CDC8}" name="Table242" displayName="Table242" ref="O13:T22" totalsRowShown="0" headerRowDxfId="244" dataDxfId="243">
  <autoFilter ref="O13:T22" xr:uid="{0F5DB348-EF68-45BC-9B17-8F985780CDC8}">
    <filterColumn colId="0" hiddenButton="1"/>
    <filterColumn colId="1" hiddenButton="1"/>
    <filterColumn colId="2" hiddenButton="1"/>
    <filterColumn colId="3" hiddenButton="1"/>
    <filterColumn colId="4" hiddenButton="1"/>
    <filterColumn colId="5" hiddenButton="1"/>
  </autoFilter>
  <tableColumns count="6">
    <tableColumn id="1" xr3:uid="{5BFE7979-5055-4FF2-9770-5B2A6E8BE5B2}" name="Particulars" dataDxfId="242"/>
    <tableColumn id="2" xr3:uid="{8B978600-170F-4FF4-AAB3-9AA20964BBD5}" name="2020" dataDxfId="241" dataCellStyle="Comma"/>
    <tableColumn id="3" xr3:uid="{F46B6ACA-BCF4-4CA0-A2EF-7C7A786B76FC}" name="2021" dataDxfId="240" dataCellStyle="Comma"/>
    <tableColumn id="4" xr3:uid="{D136F0AB-78C9-4D33-8C59-8885EFAB60D1}" name="2022" dataDxfId="239" dataCellStyle="Comma"/>
    <tableColumn id="5" xr3:uid="{E8D154DD-8246-4326-8585-ABB25AB0E483}" name="2023" dataDxfId="238" dataCellStyle="Comma"/>
    <tableColumn id="6" xr3:uid="{EBF8561B-555A-4676-95B2-7D6DC3C1BD88}" name="2024" dataDxfId="237" dataCellStyle="Comma"/>
  </tableColumns>
  <tableStyleInfo name="TableStyleMedium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77B4193-A283-4595-A957-1AC06CC67B10}" name="Table343" displayName="Table343" ref="O25:T29" totalsRowShown="0" headerRowDxfId="236" dataDxfId="235">
  <autoFilter ref="O25:T29" xr:uid="{E77B4193-A283-4595-A957-1AC06CC67B10}">
    <filterColumn colId="0" hiddenButton="1"/>
    <filterColumn colId="1" hiddenButton="1"/>
    <filterColumn colId="2" hiddenButton="1"/>
    <filterColumn colId="3" hiddenButton="1"/>
    <filterColumn colId="4" hiddenButton="1"/>
    <filterColumn colId="5" hiddenButton="1"/>
  </autoFilter>
  <tableColumns count="6">
    <tableColumn id="1" xr3:uid="{19A6A2A3-AB9D-4272-9FD9-FC8CFDD1CC25}" name="Particulars" dataDxfId="234"/>
    <tableColumn id="2" xr3:uid="{CCA4781D-10B9-44F3-A386-06A9E2EEB262}" name="2020" dataDxfId="233" dataCellStyle="Comma"/>
    <tableColumn id="3" xr3:uid="{63B56014-5F35-4DC7-B161-1AC3E8DF6CEC}" name="2021" dataDxfId="232" dataCellStyle="Comma"/>
    <tableColumn id="4" xr3:uid="{CA9E8579-80B0-43B7-A8E7-AFBDDA8A1755}" name="2022" dataDxfId="231" dataCellStyle="Comma"/>
    <tableColumn id="5" xr3:uid="{8B43A69F-DE75-4042-92CB-DA9F86AD35C8}" name="2023" dataDxfId="230" dataCellStyle="Comma"/>
    <tableColumn id="6" xr3:uid="{46A37650-ABDC-4A87-A46D-C9BB8C233925}" name="2024" dataDxfId="229" dataCellStyle="Comma"/>
  </tableColumns>
  <tableStyleInfo name="TableStyleMedium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1898810-0800-4982-BFA4-8024DB1EAF4A}" name="Table1844" displayName="Table1844" ref="W2:AB10" totalsRowShown="0" headerRowDxfId="228" dataDxfId="227">
  <autoFilter ref="W2:AB10" xr:uid="{E1898810-0800-4982-BFA4-8024DB1EAF4A}">
    <filterColumn colId="0" hiddenButton="1"/>
    <filterColumn colId="1" hiddenButton="1"/>
    <filterColumn colId="2" hiddenButton="1"/>
    <filterColumn colId="3" hiddenButton="1"/>
    <filterColumn colId="4" hiddenButton="1"/>
    <filterColumn colId="5" hiddenButton="1"/>
  </autoFilter>
  <tableColumns count="6">
    <tableColumn id="1" xr3:uid="{C5541A01-159B-4A37-BFBD-E51AA0C059E3}" name="Particulars" dataDxfId="226"/>
    <tableColumn id="2" xr3:uid="{71C9349F-3082-4051-8E10-B404784165BE}" name="2020" dataDxfId="225" dataCellStyle="Comma"/>
    <tableColumn id="3" xr3:uid="{112EBAAA-DFF0-4580-98E7-6B0CBBE71E58}" name="2021" dataDxfId="224" dataCellStyle="Comma"/>
    <tableColumn id="4" xr3:uid="{BB1F48D4-971F-4072-9176-5E3812F8FC1B}" name="2022" dataDxfId="223" dataCellStyle="Comma"/>
    <tableColumn id="5" xr3:uid="{E18112EC-B77D-464D-8F27-4144D2DD1CB9}" name="2023" dataDxfId="222" dataCellStyle="Comma"/>
    <tableColumn id="6" xr3:uid="{9C87AB86-20C6-4750-B377-07F298622506}" name="2024" dataDxfId="221" dataCellStyle="Comma"/>
  </tableColumns>
  <tableStyleInfo name="TableStyleMedium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95E6BBA-C29F-4FB0-88C3-3A7BFDBD75FB}" name="Table2945" displayName="Table2945" ref="W13:AB22" totalsRowShown="0" headerRowDxfId="220" dataDxfId="219">
  <autoFilter ref="W13:AB22" xr:uid="{895E6BBA-C29F-4FB0-88C3-3A7BFDBD75FB}">
    <filterColumn colId="0" hiddenButton="1"/>
    <filterColumn colId="1" hiddenButton="1"/>
    <filterColumn colId="2" hiddenButton="1"/>
    <filterColumn colId="3" hiddenButton="1"/>
    <filterColumn colId="4" hiddenButton="1"/>
    <filterColumn colId="5" hiddenButton="1"/>
  </autoFilter>
  <tableColumns count="6">
    <tableColumn id="1" xr3:uid="{F2D49D84-A5EB-43BE-AD2B-4031707698F4}" name="Particulars" dataDxfId="218"/>
    <tableColumn id="2" xr3:uid="{FD7D1B83-C8DD-4A35-B873-95321C03DBD6}" name="2020" dataDxfId="217" dataCellStyle="Comma"/>
    <tableColumn id="3" xr3:uid="{4C6BC731-0FF9-45C3-8458-CF9B0E21154F}" name="2021" dataDxfId="216" dataCellStyle="Comma"/>
    <tableColumn id="4" xr3:uid="{D411D897-AE5E-4610-BE00-ED8E60EFE939}" name="2022" dataDxfId="215" dataCellStyle="Comma"/>
    <tableColumn id="5" xr3:uid="{4CB86829-D7C8-4BFB-B4BD-5A4006C4EE82}" name="2023" dataDxfId="214" dataCellStyle="Comma"/>
    <tableColumn id="6" xr3:uid="{65FDDB8D-99AD-4D6B-9F8E-14338AE2D4C6}" name="2024" dataDxfId="213" dataCellStyle="Comma"/>
  </tableColumns>
  <tableStyleInfo name="TableStyleMedium1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B9EF8C01-8410-4C4E-AF6C-029B3CF134C4}" name="Table31046" displayName="Table31046" ref="W25:AB29" totalsRowShown="0" headerRowDxfId="212" dataDxfId="211">
  <autoFilter ref="W25:AB29" xr:uid="{B9EF8C01-8410-4C4E-AF6C-029B3CF134C4}">
    <filterColumn colId="0" hiddenButton="1"/>
    <filterColumn colId="1" hiddenButton="1"/>
    <filterColumn colId="2" hiddenButton="1"/>
    <filterColumn colId="3" hiddenButton="1"/>
    <filterColumn colId="4" hiddenButton="1"/>
    <filterColumn colId="5" hiddenButton="1"/>
  </autoFilter>
  <tableColumns count="6">
    <tableColumn id="1" xr3:uid="{B60559E4-E3A2-4D80-BD1C-C53116A6DAA2}" name="Particulars" dataDxfId="210"/>
    <tableColumn id="2" xr3:uid="{B57E0523-0973-4B56-9CBC-9FEE52CC8E0C}" name="2020" dataDxfId="209" dataCellStyle="Comma"/>
    <tableColumn id="3" xr3:uid="{640C1BAF-345A-4208-82C4-0C603CCA4250}" name="2021" dataDxfId="208" dataCellStyle="Comma"/>
    <tableColumn id="4" xr3:uid="{C8C8A84C-0819-4E73-8175-5A35E5E0B300}" name="2022" dataDxfId="207" dataCellStyle="Comma"/>
    <tableColumn id="5" xr3:uid="{CA1A8D50-0BEA-44E4-AB14-B708E6F5ABCD}" name="2023" dataDxfId="206" dataCellStyle="Comma"/>
    <tableColumn id="6" xr3:uid="{B6E8B6C5-4521-4726-AE83-9072F401B124}" name="2024" dataDxfId="205" dataCellStyle="Comma"/>
  </tableColumns>
  <tableStyleInfo name="TableStyleMedium1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150BFC4-2005-413D-8E14-FA4C0E78BB25}" name="Table184447" displayName="Table184447" ref="AE2:AJ10" totalsRowShown="0" headerRowDxfId="204" dataDxfId="203">
  <autoFilter ref="AE2:AJ10" xr:uid="{5150BFC4-2005-413D-8E14-FA4C0E78BB25}">
    <filterColumn colId="0" hiddenButton="1"/>
    <filterColumn colId="1" hiddenButton="1"/>
    <filterColumn colId="2" hiddenButton="1"/>
    <filterColumn colId="3" hiddenButton="1"/>
    <filterColumn colId="4" hiddenButton="1"/>
    <filterColumn colId="5" hiddenButton="1"/>
  </autoFilter>
  <tableColumns count="6">
    <tableColumn id="1" xr3:uid="{811BBABE-05D8-4745-8129-53A00A2B4E2E}" name="Particulars" dataDxfId="202"/>
    <tableColumn id="2" xr3:uid="{AD27A8AD-C947-4A06-A9EC-33263EA9A29A}" name="2020" dataDxfId="201" dataCellStyle="Comma"/>
    <tableColumn id="3" xr3:uid="{ED751EE7-2CB1-4625-8F2B-E74B011F69E9}" name="2021" dataDxfId="200" dataCellStyle="Comma"/>
    <tableColumn id="4" xr3:uid="{8C3101F5-A234-4019-BCD6-9D27C97F2BD3}" name="2022" dataDxfId="199" dataCellStyle="Comma"/>
    <tableColumn id="5" xr3:uid="{9FCAFA73-A0C0-4557-97D4-F14CF93CEBF7}" name="2023" dataDxfId="198" dataCellStyle="Comma"/>
    <tableColumn id="6" xr3:uid="{5D18F696-9934-40C1-9E06-2A6D12100385}" name="2024" dataDxfId="197" dataCellStyle="Comma"/>
  </tableColumns>
  <tableStyleInfo name="TableStyleMedium1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933E8C3-9E41-4602-A7D4-6BFF46BBF5EE}" name="Table294548" displayName="Table294548" ref="AE13:AJ22" totalsRowShown="0" headerRowDxfId="196" dataDxfId="195">
  <autoFilter ref="AE13:AJ22" xr:uid="{3933E8C3-9E41-4602-A7D4-6BFF46BBF5EE}">
    <filterColumn colId="0" hiddenButton="1"/>
    <filterColumn colId="1" hiddenButton="1"/>
    <filterColumn colId="2" hiddenButton="1"/>
    <filterColumn colId="3" hiddenButton="1"/>
    <filterColumn colId="4" hiddenButton="1"/>
    <filterColumn colId="5" hiddenButton="1"/>
  </autoFilter>
  <tableColumns count="6">
    <tableColumn id="1" xr3:uid="{418F1D47-EDC5-499D-BB25-C5492B3A262D}" name="Particulars" dataDxfId="194"/>
    <tableColumn id="2" xr3:uid="{6B2EA5D4-6A8C-4778-80CC-04106C6FA2AF}" name="2020" dataDxfId="193" dataCellStyle="Comma"/>
    <tableColumn id="3" xr3:uid="{D9E1FB77-F81D-4016-BFE4-0C652F5D7FDD}" name="2021" dataDxfId="192" dataCellStyle="Comma"/>
    <tableColumn id="4" xr3:uid="{6AD4ECE1-99C9-4C6D-A4D6-D6D1613A7687}" name="2022" dataDxfId="191" dataCellStyle="Comma"/>
    <tableColumn id="5" xr3:uid="{967AD1A9-7CB9-4D5B-9803-4500C616F6DA}" name="2023" dataDxfId="190" dataCellStyle="Comma"/>
    <tableColumn id="6" xr3:uid="{4A87A1C3-E2DD-4498-B6FC-234AC5B1BC8C}" name="2024" dataDxfId="189" dataCellStyle="Comma"/>
  </tableColumns>
  <tableStyleInfo name="TableStyleMedium1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D75DCF8-9B8C-4621-A3B9-5F12894CEDCC}" name="Table3104649" displayName="Table3104649" ref="AE25:AJ29" totalsRowShown="0" headerRowDxfId="188" dataDxfId="187">
  <autoFilter ref="AE25:AJ29" xr:uid="{2D75DCF8-9B8C-4621-A3B9-5F12894CEDCC}">
    <filterColumn colId="0" hiddenButton="1"/>
    <filterColumn colId="1" hiddenButton="1"/>
    <filterColumn colId="2" hiddenButton="1"/>
    <filterColumn colId="3" hiddenButton="1"/>
    <filterColumn colId="4" hiddenButton="1"/>
    <filterColumn colId="5" hiddenButton="1"/>
  </autoFilter>
  <tableColumns count="6">
    <tableColumn id="1" xr3:uid="{2E66F925-A067-4628-AD89-6889E35803BE}" name="Particulars" dataDxfId="186"/>
    <tableColumn id="2" xr3:uid="{38F05AE5-AE65-4D5F-A023-A358A55A8B51}" name="2020" dataDxfId="185" dataCellStyle="Comma"/>
    <tableColumn id="3" xr3:uid="{5D478DF6-EF6B-485D-BD7E-88D921DB0999}" name="2021" dataDxfId="184" dataCellStyle="Comma"/>
    <tableColumn id="4" xr3:uid="{232F9C3C-9193-4E8D-B23B-046EDF166C8B}" name="2022" dataDxfId="183" dataCellStyle="Comma"/>
    <tableColumn id="5" xr3:uid="{B1DC9F59-44CE-4B65-9915-2622611DCD37}" name="2023" dataDxfId="182" dataCellStyle="Comma"/>
    <tableColumn id="6" xr3:uid="{AEED6514-55CA-4174-9B76-A6A356DE87BF}" name="2024" dataDxfId="181" dataCellStyle="Comma"/>
  </tableColumns>
  <tableStyleInfo name="TableStyleMedium1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59BC01-164D-44A6-8E36-3DA0812E17AB}" name="Table4" displayName="Table4" ref="O32:T35" totalsRowShown="0" headerRowDxfId="49" dataDxfId="50">
  <autoFilter ref="O32:T35" xr:uid="{C659BC01-164D-44A6-8E36-3DA0812E17AB}">
    <filterColumn colId="0" hiddenButton="1"/>
    <filterColumn colId="1" hiddenButton="1"/>
    <filterColumn colId="2" hiddenButton="1"/>
    <filterColumn colId="3" hiddenButton="1"/>
    <filterColumn colId="4" hiddenButton="1"/>
    <filterColumn colId="5" hiddenButton="1"/>
  </autoFilter>
  <tableColumns count="6">
    <tableColumn id="1" xr3:uid="{09F5F7E8-85CB-44AD-8DFD-4985DE9B03B0}" name="Particulars" dataDxfId="48"/>
    <tableColumn id="2" xr3:uid="{D07CD7EB-00F4-4C32-92A7-F0BC8AAA83FD}" name="2020" dataDxfId="47"/>
    <tableColumn id="3" xr3:uid="{C6E6F210-0356-4083-BA36-F04F5D6E1C14}" name="2021" dataDxfId="46"/>
    <tableColumn id="4" xr3:uid="{F07CE9C2-9893-463B-AD54-935B5112E677}" name="2022" dataDxfId="45"/>
    <tableColumn id="5" xr3:uid="{0F535BD6-F5CE-472E-953B-365176201304}" name="2023" dataDxfId="44"/>
    <tableColumn id="6" xr3:uid="{FC68A1B1-0CC5-40D5-9E07-C7F5BE75463A}" name="2024" dataDxfId="43"/>
  </tableColumns>
  <tableStyleInfo name="TableStyleMedium1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93F59D-5B25-4922-9EA9-672407BC4E41}" name="Table5" displayName="Table5" ref="O37:U40" totalsRowShown="0" headerRowDxfId="41" dataDxfId="42">
  <autoFilter ref="O37:U40" xr:uid="{E093F59D-5B25-4922-9EA9-672407BC4E4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46FA3C2-56B0-4938-972A-091D4016A6F1}" name="Particulars" dataDxfId="40"/>
    <tableColumn id="2" xr3:uid="{57413D0B-95F3-46D8-9CC5-0C05DC663A2C}" name="2025" dataDxfId="39">
      <calculatedColumnFormula>DCF!R3</calculatedColumnFormula>
    </tableColumn>
    <tableColumn id="3" xr3:uid="{5C37669B-E231-4DF5-B19F-33FD47418988}" name="2026" dataDxfId="38">
      <calculatedColumnFormula>DCF!S3</calculatedColumnFormula>
    </tableColumn>
    <tableColumn id="4" xr3:uid="{0F301104-C041-4177-9B5C-8AEBADE17D8A}" name="2027" dataDxfId="37">
      <calculatedColumnFormula>DCF!T3</calculatedColumnFormula>
    </tableColumn>
    <tableColumn id="5" xr3:uid="{4C0766FA-B355-4D99-AFCD-8348ED2B7631}" name="2028" dataDxfId="36">
      <calculatedColumnFormula>DCF!U3</calculatedColumnFormula>
    </tableColumn>
    <tableColumn id="6" xr3:uid="{FCFA3024-84C4-4028-AECE-548A48EE58F3}" name="2029" dataDxfId="35">
      <calculatedColumnFormula>DCF!V3</calculatedColumnFormula>
    </tableColumn>
    <tableColumn id="7" xr3:uid="{723440B2-FC0C-4898-82DB-D22BD8DC04F5}" name="2030" dataDxfId="34">
      <calculatedColumnFormula>DCF!W3</calculatedColumnFormula>
    </tableColumn>
  </tableColumns>
  <tableStyleInfo name="TableStyleMedium1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F0F167-99EC-4C15-A7A3-A6981E1A7FFC}" name="Table44" displayName="Table44" ref="W32:AB35" totalsRowShown="0" headerRowDxfId="33" dataDxfId="32">
  <autoFilter ref="W32:AB35" xr:uid="{EAF0F167-99EC-4C15-A7A3-A6981E1A7FFC}">
    <filterColumn colId="0" hiddenButton="1"/>
    <filterColumn colId="1" hiddenButton="1"/>
    <filterColumn colId="2" hiddenButton="1"/>
    <filterColumn colId="3" hiddenButton="1"/>
    <filterColumn colId="4" hiddenButton="1"/>
    <filterColumn colId="5" hiddenButton="1"/>
  </autoFilter>
  <tableColumns count="6">
    <tableColumn id="1" xr3:uid="{96A8E175-44E2-4FE5-AF7B-13FADC608C28}" name="Particulars" dataDxfId="31"/>
    <tableColumn id="2" xr3:uid="{892CDC69-1448-4A38-A9F6-7671A1749327}" name="2020" dataDxfId="30"/>
    <tableColumn id="3" xr3:uid="{2B7DBF0C-C2B0-43CA-A228-DDB8149220AB}" name="2021" dataDxfId="29"/>
    <tableColumn id="4" xr3:uid="{7CED9E7A-609B-4366-9115-5AF7CDA509CD}" name="2022" dataDxfId="28"/>
    <tableColumn id="5" xr3:uid="{D7C0DC9B-4075-4BA1-B114-47419D6F914D}" name="2023" dataDxfId="27"/>
    <tableColumn id="6" xr3:uid="{0B9F6B57-2E6B-4F78-98AD-837847A2F19E}" name="2024" dataDxfId="26"/>
  </tableColumns>
  <tableStyleInfo name="TableStyleMedium15"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8A3E57-16E6-4E62-9C4C-BEBBA12F5418}" name="Table55" displayName="Table55" ref="W37:AC40" totalsRowShown="0" headerRowDxfId="25" dataDxfId="24">
  <autoFilter ref="W37:AC40" xr:uid="{7A8A3E57-16E6-4E62-9C4C-BEBBA12F541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441EE97-20C7-4DDE-AA69-085BD4379A0F}" name="Particulars" dataDxfId="23"/>
    <tableColumn id="2" xr3:uid="{5FF1CC5A-F903-4FC3-A8A5-57EC2FD528B9}" name="2025" dataDxfId="22">
      <calculatedColumnFormula>DCF!Z3</calculatedColumnFormula>
    </tableColumn>
    <tableColumn id="3" xr3:uid="{CADCDA2C-18D0-4442-AE40-A72890F3B1A9}" name="2026" dataDxfId="21">
      <calculatedColumnFormula>DCF!AA3</calculatedColumnFormula>
    </tableColumn>
    <tableColumn id="4" xr3:uid="{031DAC30-D970-494E-B5C7-D870A8F99634}" name="2027" dataDxfId="20">
      <calculatedColumnFormula>DCF!AB3</calculatedColumnFormula>
    </tableColumn>
    <tableColumn id="5" xr3:uid="{80E95616-5984-4BB2-911D-4D1A7D5F51D5}" name="2028" dataDxfId="19">
      <calculatedColumnFormula>DCF!AC3</calculatedColumnFormula>
    </tableColumn>
    <tableColumn id="6" xr3:uid="{61727C78-69AF-4712-855C-AF6B4663436F}" name="2029" dataDxfId="18">
      <calculatedColumnFormula>DCF!AD3</calculatedColumnFormula>
    </tableColumn>
    <tableColumn id="7" xr3:uid="{624E4B18-2068-41C2-9A20-990155415E61}" name="2030" dataDxfId="17">
      <calculatedColumnFormula>DCF!AE3</calculatedColumnFormula>
    </tableColumn>
  </tableColumns>
  <tableStyleInfo name="TableStyleMedium15"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18D7C7-F345-411B-82B6-F32D911DB6EF}" name="Table46" displayName="Table46" ref="AE32:AJ35" totalsRowShown="0" headerRowDxfId="16" dataDxfId="15">
  <autoFilter ref="AE32:AJ35" xr:uid="{2F18D7C7-F345-411B-82B6-F32D911DB6EF}">
    <filterColumn colId="0" hiddenButton="1"/>
    <filterColumn colId="1" hiddenButton="1"/>
    <filterColumn colId="2" hiddenButton="1"/>
    <filterColumn colId="3" hiddenButton="1"/>
    <filterColumn colId="4" hiddenButton="1"/>
    <filterColumn colId="5" hiddenButton="1"/>
  </autoFilter>
  <tableColumns count="6">
    <tableColumn id="1" xr3:uid="{B8EC93C4-13F9-47C0-9538-E1BD6F35BBCA}" name="Particulars" dataDxfId="14"/>
    <tableColumn id="2" xr3:uid="{0C31BCD5-2DB0-4ABB-95C7-9C6AB031134B}" name="2020" dataDxfId="13"/>
    <tableColumn id="3" xr3:uid="{ECDBFDFF-AD99-4529-8D58-022C031114AA}" name="2021" dataDxfId="12"/>
    <tableColumn id="4" xr3:uid="{55DC9AB3-5973-4246-848F-80D6E0A21E81}" name="2022" dataDxfId="11"/>
    <tableColumn id="5" xr3:uid="{EB712BAE-C923-452C-B559-7EB0CB80566A}" name="2023" dataDxfId="10"/>
    <tableColumn id="6" xr3:uid="{10928C37-78BB-458B-8F4C-62E41659A708}" name="2024" dataDxfId="9"/>
  </tableColumns>
  <tableStyleInfo name="TableStyleMedium1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198CBC2-A8A7-4A46-8048-FB77CF5F9FDE}" name="Table57" displayName="Table57" ref="AE37:AK40" totalsRowShown="0" headerRowDxfId="8" dataDxfId="7">
  <autoFilter ref="AE37:AK40" xr:uid="{E198CBC2-A8A7-4A46-8048-FB77CF5F9FD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F721F8F-1C6A-4F95-99F2-04C3F555C981}" name="Particulars" dataDxfId="6"/>
    <tableColumn id="2" xr3:uid="{0C4EF0F8-63D0-447E-B097-8666CF47988F}" name="2025" dataDxfId="5">
      <calculatedColumnFormula>DCF!AH3</calculatedColumnFormula>
    </tableColumn>
    <tableColumn id="3" xr3:uid="{EEA86E5C-A9E2-4D11-9197-F7F2D47160AC}" name="2026" dataDxfId="4">
      <calculatedColumnFormula>DCF!AI3</calculatedColumnFormula>
    </tableColumn>
    <tableColumn id="4" xr3:uid="{94C16409-7FCF-411E-8885-8C1C19ED4E9C}" name="2027" dataDxfId="3">
      <calculatedColumnFormula>DCF!AJ3</calculatedColumnFormula>
    </tableColumn>
    <tableColumn id="5" xr3:uid="{FA188BA2-CCDD-4562-95DC-8C3ACED09FEA}" name="2028" dataDxfId="2">
      <calculatedColumnFormula>DCF!AK3</calculatedColumnFormula>
    </tableColumn>
    <tableColumn id="6" xr3:uid="{3673E7D0-DBC5-4EE2-B27A-E3C58CF02BB4}" name="2029" dataDxfId="1">
      <calculatedColumnFormula>DCF!AL3</calculatedColumnFormula>
    </tableColumn>
    <tableColumn id="7" xr3:uid="{907B3C1E-AF99-4799-B22B-C36A09831DA8}" name="2030" dataDxfId="0">
      <calculatedColumnFormula>DCF!AM3</calculatedColumnFormula>
    </tableColumn>
  </tableColumns>
  <tableStyleInfo name="TableStyleMedium15"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49B9A24-2FD5-4E65-A280-72BC6C382404}" name="Table19" displayName="Table19" ref="H2:M7" totalsRowShown="0" headerRowDxfId="180" dataDxfId="178" headerRowBorderDxfId="179" tableBorderDxfId="177" totalsRowBorderDxfId="176">
  <autoFilter ref="H2:M7" xr:uid="{049B9A24-2FD5-4E65-A280-72BC6C382404}">
    <filterColumn colId="0" hiddenButton="1"/>
    <filterColumn colId="1" hiddenButton="1"/>
    <filterColumn colId="2" hiddenButton="1"/>
    <filterColumn colId="3" hiddenButton="1"/>
    <filterColumn colId="4" hiddenButton="1"/>
    <filterColumn colId="5" hiddenButton="1"/>
  </autoFilter>
  <tableColumns count="6">
    <tableColumn id="1" xr3:uid="{89B3E944-646C-4713-B56C-4777B40565F3}" name="Current WC" dataDxfId="175">
      <calculatedColumnFormula>Relative!H13</calculatedColumnFormula>
    </tableColumn>
    <tableColumn id="2" xr3:uid="{28470882-402E-4611-8D19-01A1DC968CE3}" name="2020" dataDxfId="174"/>
    <tableColumn id="3" xr3:uid="{9758387D-A916-41F1-8018-56A7D893EB6C}" name="2021" dataDxfId="173"/>
    <tableColumn id="4" xr3:uid="{DC355EF5-B955-4FB5-AB0F-F128AD56FAE3}" name="2022" dataDxfId="172"/>
    <tableColumn id="5" xr3:uid="{F26B0355-3400-4FDF-BDB9-A55DF656D1EA}" name="2023" dataDxfId="171"/>
    <tableColumn id="6" xr3:uid="{0561A1A0-3312-4249-96D9-11A84B82128D}" name="2024" dataDxfId="170"/>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8FEAF7A-CF3F-4937-8729-5661AB4238A0}" name="Table20" displayName="Table20" ref="H10:N15" totalsRowShown="0" headerRowDxfId="169" dataDxfId="167" headerRowBorderDxfId="168" tableBorderDxfId="166" totalsRowBorderDxfId="165">
  <autoFilter ref="H10:N15" xr:uid="{E8FEAF7A-CF3F-4937-8729-5661AB4238A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D09DBD8-B4A6-45A7-85FC-CC67F4115B93}" name="Forecast WC" dataDxfId="164">
      <calculatedColumnFormula>H3</calculatedColumnFormula>
    </tableColumn>
    <tableColumn id="2" xr3:uid="{DC3C79E4-A42D-41B7-90B6-C5D909EE6CBE}" name="2025" dataDxfId="163" dataCellStyle="Comma"/>
    <tableColumn id="3" xr3:uid="{ED83FC44-BBF9-450C-A0DD-C63533B06AF7}" name="2026" dataDxfId="162" dataCellStyle="Comma"/>
    <tableColumn id="4" xr3:uid="{02AE7901-2D96-405E-BAFE-1C20E586EC1C}" name="2027" dataDxfId="161" dataCellStyle="Comma"/>
    <tableColumn id="5" xr3:uid="{11C09C4C-6822-4383-8C79-22C5EB24DF8B}" name="2028" dataDxfId="160" dataCellStyle="Comma"/>
    <tableColumn id="6" xr3:uid="{58E9CFD6-FE73-423B-A72B-28E40E702C91}" name="2029" dataDxfId="159" dataCellStyle="Comma"/>
    <tableColumn id="7" xr3:uid="{75AFCB39-430F-4EC6-AE71-3F5870CEC0DA}" name="2030" dataDxfId="158" dataCellStyle="Comma"/>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E75D61A-84B8-44C2-AADE-D08D55458522}" name="Table8" displayName="Table8" ref="A12:B22" totalsRowShown="0" headerRowDxfId="157" dataDxfId="156">
  <autoFilter ref="A12:B22" xr:uid="{4E75D61A-84B8-44C2-AADE-D08D55458522}">
    <filterColumn colId="0" hiddenButton="1"/>
    <filterColumn colId="1" hiddenButton="1"/>
  </autoFilter>
  <tableColumns count="2">
    <tableColumn id="1" xr3:uid="{B5FBC6B9-AE93-49FD-8122-F6758829414E}" name="Metrics" dataDxfId="155"/>
    <tableColumn id="2" xr3:uid="{5B2B04A6-7BEA-431D-B4E4-9ED43CE9A3C8}" name="Value" dataDxfId="154"/>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727D22F-332D-4A76-8923-35C8D0DA1D6B}" name="Table9" displayName="Table9" ref="A2:G9" totalsRowShown="0" headerRowDxfId="153" dataDxfId="152" headerRowCellStyle="Percent">
  <autoFilter ref="A2:G9" xr:uid="{B727D22F-332D-4A76-8923-35C8D0DA1D6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C4AEA68-35E6-4EFA-BAE0-A0B4AF54601D}" name="Particulars" dataDxfId="151"/>
    <tableColumn id="2" xr3:uid="{B0E14E9F-5EB6-48F7-B230-BEFE5D9D6153}" name="2025" dataDxfId="150" dataCellStyle="Comma"/>
    <tableColumn id="3" xr3:uid="{9E9FAD4B-A999-4897-866E-46C81CB47B3F}" name="2026" dataDxfId="149" dataCellStyle="Comma"/>
    <tableColumn id="4" xr3:uid="{53F518A0-BD95-4335-8129-804BF709A22D}" name="2027" dataDxfId="148" dataCellStyle="Comma"/>
    <tableColumn id="5" xr3:uid="{E0A040D0-3DA7-4D23-AFD6-DA41A3259719}" name="2028" dataDxfId="147" dataCellStyle="Comma"/>
    <tableColumn id="6" xr3:uid="{00FED912-1483-4ABE-9330-101E0DD423B1}" name="2029" dataDxfId="146" dataCellStyle="Comma"/>
    <tableColumn id="7" xr3:uid="{9ED45371-7E41-49E0-AF7D-4A76129F8C30}" name="2030" dataDxfId="145" dataCellStyle="Comma"/>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FFE69A7-6F57-4D5B-B423-064F6467C10B}" name="Table10" displayName="Table10" ref="I2:O9" totalsRowShown="0" headerRowDxfId="144" dataDxfId="143" tableBorderDxfId="142" headerRowCellStyle="Percent">
  <autoFilter ref="I2:O9" xr:uid="{6FFE69A7-6F57-4D5B-B423-064F6467C10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2D38DC5-2C4B-4FAF-8B00-DB1A31BF5EC0}" name="Particulars" dataDxfId="141"/>
    <tableColumn id="2" xr3:uid="{C81D4033-FC35-49A2-9AEC-03820B13C492}" name="2025" dataDxfId="140" dataCellStyle="Comma"/>
    <tableColumn id="3" xr3:uid="{11532520-FDCA-4705-BC0B-82362408BDE2}" name="2026" dataDxfId="139" dataCellStyle="Comma"/>
    <tableColumn id="4" xr3:uid="{25DE7880-CF33-45AA-8EB8-0B033546377E}" name="2027" dataDxfId="138" dataCellStyle="Comma"/>
    <tableColumn id="5" xr3:uid="{7393F256-1023-4245-8497-7C3FA96599E9}" name="2028" dataDxfId="137" dataCellStyle="Comma"/>
    <tableColumn id="6" xr3:uid="{269E338C-225A-44BF-8C44-7F02638E1292}" name="2029" dataDxfId="136" dataCellStyle="Comma"/>
    <tableColumn id="7" xr3:uid="{0A773233-BC2A-42B9-8ADC-80599ECCB229}" name="2030" dataDxfId="135" dataCellStyle="Comma"/>
  </tableColumns>
  <tableStyleInfo name="TableStyleMedium1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DF3F0B0-7921-4CFA-8243-7E926A749D16}" name="Table814" displayName="Table814" ref="I12:J22" totalsRowShown="0" headerRowDxfId="134" dataDxfId="133" tableBorderDxfId="132">
  <autoFilter ref="I12:J22" xr:uid="{3DF3F0B0-7921-4CFA-8243-7E926A749D16}">
    <filterColumn colId="0" hiddenButton="1"/>
    <filterColumn colId="1" hiddenButton="1"/>
  </autoFilter>
  <tableColumns count="2">
    <tableColumn id="1" xr3:uid="{8F7B90DB-0475-449D-8857-CB6A77D343E7}" name="Metrics" dataDxfId="131"/>
    <tableColumn id="2" xr3:uid="{A989EB5C-ADB6-4BDE-9C96-7D2E086A89AD}" name="Value" dataDxfId="130"/>
  </tableColumns>
  <tableStyleInfo name="TableStyleMedium1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30F2B8D-6A92-4D6C-9EEF-E89873E4B57C}" name="Table818" displayName="Table818" ref="Q12:R22" totalsRowShown="0" headerRowDxfId="129" dataDxfId="128">
  <autoFilter ref="Q12:R22" xr:uid="{330F2B8D-6A92-4D6C-9EEF-E89873E4B57C}">
    <filterColumn colId="0" hiddenButton="1"/>
    <filterColumn colId="1" hiddenButton="1"/>
  </autoFilter>
  <tableColumns count="2">
    <tableColumn id="1" xr3:uid="{4DDD6C26-6150-483F-853F-640F6AF310F3}" name="Metrics" dataDxfId="127"/>
    <tableColumn id="2" xr3:uid="{94CC3A9E-825B-4C44-A6BB-881C342D5D96}" name="Value" dataDxfId="126"/>
  </tableColumns>
  <tableStyleInfo name="TableStyleMedium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47B2F59-41FB-49E0-95AC-2B06AA16EB00}" name="Table919" displayName="Table919" ref="Q2:W9" totalsRowShown="0" headerRowDxfId="125" dataDxfId="124" headerRowCellStyle="Percent">
  <autoFilter ref="Q2:W9" xr:uid="{447B2F59-41FB-49E0-95AC-2B06AA16EB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E1ECEE-4E6A-4448-9B74-91D8AF13900F}" name="Particulars" dataDxfId="123"/>
    <tableColumn id="2" xr3:uid="{129A1B61-BE0D-4523-9FDA-2F0CB537C943}" name="2025" dataDxfId="122" dataCellStyle="Comma"/>
    <tableColumn id="3" xr3:uid="{AF22F7BB-22B6-4567-A0CF-FD216600EE44}" name="2026" dataDxfId="121" dataCellStyle="Comma"/>
    <tableColumn id="4" xr3:uid="{1DAF9358-8B0A-43E0-811F-CE7AF3929EB6}" name="2027" dataDxfId="120" dataCellStyle="Comma"/>
    <tableColumn id="5" xr3:uid="{8E84765F-ADB9-4A66-AE85-E64571A0A27F}" name="2028" dataDxfId="119" dataCellStyle="Comma"/>
    <tableColumn id="6" xr3:uid="{87502140-0819-418F-B758-4EF37D9B29E7}" name="2029" dataDxfId="118" dataCellStyle="Comma"/>
    <tableColumn id="7" xr3:uid="{0D38B4C0-B5AF-4A71-A62B-DD87C8E90DD0}" name="2030" dataDxfId="117" dataCellStyle="Comma"/>
  </tableColumns>
  <tableStyleInfo name="TableStyleMedium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FC5F062-C401-4F26-8263-7FADB2E6C4DB}" name="Table1024" displayName="Table1024" ref="Y2:AE9" totalsRowShown="0" headerRowDxfId="116" dataDxfId="115" tableBorderDxfId="114" headerRowCellStyle="Percent">
  <autoFilter ref="Y2:AE9" xr:uid="{1FC5F062-C401-4F26-8263-7FADB2E6C4D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BA27904-F17D-458D-8AC8-1BFB9058F3C9}" name="Particulars" dataDxfId="113"/>
    <tableColumn id="2" xr3:uid="{E12AC048-5472-4CD4-8899-1DF50FB4B4E3}" name="2025" dataDxfId="112" dataCellStyle="Comma"/>
    <tableColumn id="3" xr3:uid="{7F7BFC1D-EF45-457C-9B2F-464BCEB406CF}" name="2026" dataDxfId="111" dataCellStyle="Comma"/>
    <tableColumn id="4" xr3:uid="{36138F4D-D4D8-4FDA-A895-3C269A4A7ED9}" name="2027" dataDxfId="110" dataCellStyle="Comma"/>
    <tableColumn id="5" xr3:uid="{695F582F-5FB6-4061-B850-362220F67AE9}" name="2028" dataDxfId="109" dataCellStyle="Comma"/>
    <tableColumn id="6" xr3:uid="{EC46E94F-0758-4EC6-A2FE-D92F4732FFE8}" name="2029" dataDxfId="108" dataCellStyle="Comma"/>
    <tableColumn id="7" xr3:uid="{3DA96D92-D5C4-4963-82EC-CED9ACCB690D}" name="2030" dataDxfId="107" dataCellStyle="Comma"/>
  </tableColumns>
  <tableStyleInfo name="TableStyleMedium1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3FDF17E-8811-446D-B9D6-78F357DAA42A}" name="Table81425" displayName="Table81425" ref="Y12:Z22" totalsRowShown="0" headerRowDxfId="106" dataDxfId="105" tableBorderDxfId="104">
  <autoFilter ref="Y12:Z22" xr:uid="{D3FDF17E-8811-446D-B9D6-78F357DAA42A}">
    <filterColumn colId="0" hiddenButton="1"/>
    <filterColumn colId="1" hiddenButton="1"/>
  </autoFilter>
  <tableColumns count="2">
    <tableColumn id="1" xr3:uid="{7F018AAF-D969-4A4A-A3E6-8A7A545C8EE9}" name="Metrics" dataDxfId="103"/>
    <tableColumn id="2" xr3:uid="{104555F5-0199-492B-A71E-8302B9F10ECA}" name="Value" dataDxfId="102"/>
  </tableColumns>
  <tableStyleInfo name="TableStyleMedium1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CE4BC4C-31B8-4A80-A214-9D86A244F1EA}" name="Table81833" displayName="Table81833" ref="AG12:AH22" totalsRowShown="0" headerRowDxfId="101" dataDxfId="100">
  <autoFilter ref="AG12:AH22" xr:uid="{1CE4BC4C-31B8-4A80-A214-9D86A244F1EA}">
    <filterColumn colId="0" hiddenButton="1"/>
    <filterColumn colId="1" hiddenButton="1"/>
  </autoFilter>
  <tableColumns count="2">
    <tableColumn id="1" xr3:uid="{1D1A279D-C151-4F1B-82F2-412F289C0858}" name="Metrics" dataDxfId="99"/>
    <tableColumn id="2" xr3:uid="{05D9F94A-8B42-418A-9A3F-563A0791B655}" name="Value" dataDxfId="98"/>
  </tableColumns>
  <tableStyleInfo name="TableStyleMedium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A2B0493-652C-4649-B180-4DC7F9B0BAF4}" name="Table91934" displayName="Table91934" ref="AG2:AM9" totalsRowShown="0" headerRowDxfId="97" dataDxfId="96" headerRowCellStyle="Percent">
  <autoFilter ref="AG2:AM9" xr:uid="{9A2B0493-652C-4649-B180-4DC7F9B0BAF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7D49A1F-A2AD-459F-9F84-8A6D0CC00102}" name="Particulars" dataDxfId="95"/>
    <tableColumn id="2" xr3:uid="{155C1531-A56B-4215-BBE9-329FA31B382E}" name="2025" dataDxfId="94" dataCellStyle="Comma"/>
    <tableColumn id="3" xr3:uid="{CD73FC82-6025-4D53-BE75-70277C682288}" name="2026" dataDxfId="93" dataCellStyle="Comma"/>
    <tableColumn id="4" xr3:uid="{BB0C734D-D7D3-4D1F-BA02-B7BB2D728518}" name="2027" dataDxfId="92" dataCellStyle="Comma"/>
    <tableColumn id="5" xr3:uid="{019AB418-5F0B-43DC-A933-565D84C598C1}" name="2028" dataDxfId="91" dataCellStyle="Comma"/>
    <tableColumn id="6" xr3:uid="{B1585CBE-BBC4-45EE-B898-1FA5008E592D}" name="2029" dataDxfId="90" dataCellStyle="Comma"/>
    <tableColumn id="7" xr3:uid="{DF56689A-FC1D-46C5-977D-ED28072EDB34}" name="2030" dataDxfId="89" dataCellStyle="Comma"/>
  </tableColumns>
  <tableStyleInfo name="TableStyleMedium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DCBBF6C-9B71-4144-A7C3-5CB960E66650}" name="Table21" displayName="Table21" ref="A21:E26" totalsRowShown="0" headerRowDxfId="88" dataDxfId="87" tableBorderDxfId="86">
  <autoFilter ref="A21:E26" xr:uid="{6DCBBF6C-9B71-4144-A7C3-5CB960E66650}">
    <filterColumn colId="0" hiddenButton="1"/>
    <filterColumn colId="1" hiddenButton="1"/>
    <filterColumn colId="2" hiddenButton="1"/>
    <filterColumn colId="3" hiddenButton="1"/>
    <filterColumn colId="4" hiddenButton="1"/>
  </autoFilter>
  <tableColumns count="5">
    <tableColumn id="1" xr3:uid="{8BC81F05-FE96-4E1E-971F-8A893A7A84E9}" name="Company" dataDxfId="85">
      <calculatedColumnFormula>H3</calculatedColumnFormula>
    </tableColumn>
    <tableColumn id="2" xr3:uid="{8795644F-FA3F-49B8-8FA1-69138909517F}" name="EBITDA" dataDxfId="84"/>
    <tableColumn id="3" xr3:uid="{72F3B084-1C58-4982-A84A-606EA0C95FA1}" name="Net Income" dataDxfId="83"/>
    <tableColumn id="4" xr3:uid="{B3ADDE4A-E61E-452E-99C8-3F41C05EBD0F}" name="Revenue" dataDxfId="82"/>
    <tableColumn id="5" xr3:uid="{97CF4457-402D-4098-98B5-5F2B6072B82B}" name="Book Value" dataDxfId="81"/>
  </tableColumns>
  <tableStyleInfo name="TableStyleDark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5C8D883-688A-47C4-B7A4-CB11F6814CF3}" name="Table22" displayName="Table22" ref="H2:L7" totalsRowShown="0" headerRowDxfId="80" dataDxfId="79" tableBorderDxfId="78">
  <autoFilter ref="H2:L7" xr:uid="{C5C8D883-688A-47C4-B7A4-CB11F6814CF3}">
    <filterColumn colId="0" hiddenButton="1"/>
    <filterColumn colId="1" hiddenButton="1"/>
    <filterColumn colId="2" hiddenButton="1"/>
    <filterColumn colId="3" hiddenButton="1"/>
    <filterColumn colId="4" hiddenButton="1"/>
  </autoFilter>
  <tableColumns count="5">
    <tableColumn id="1" xr3:uid="{3910BC45-2400-469B-B552-5CB062FCA30F}" name="Company" dataDxfId="77"/>
    <tableColumn id="2" xr3:uid="{C0E31D94-4BC8-4C60-98F1-4795C8815BBB}" name="EV/EBITDA" dataDxfId="76">
      <calculatedColumnFormula>(B22*$B$19)/N3</calculatedColumnFormula>
    </tableColumn>
    <tableColumn id="3" xr3:uid="{7A7A17D4-711A-4643-87BA-BC0CB9E7E352}" name="P/E" dataDxfId="75">
      <calculatedColumnFormula>(C22*$C$19)/N3</calculatedColumnFormula>
    </tableColumn>
    <tableColumn id="4" xr3:uid="{01D941C7-84D5-4A7B-AAFE-7F13C72D03C7}" name="P/S" dataDxfId="74">
      <calculatedColumnFormula>(D22*$D$19)/N3</calculatedColumnFormula>
    </tableColumn>
    <tableColumn id="5" xr3:uid="{2CF6C9BC-13F4-44E2-B20A-45B1711B206E}" name="P/B" dataDxfId="73">
      <calculatedColumnFormula>(E22*$E$19)/N3</calculatedColumnFormula>
    </tableColumn>
  </tableColumns>
  <tableStyleInfo name="TableStyleDark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8A4C8C52-EF32-46BF-A01B-A11E5D3573F1}" name="Table24" displayName="Table24" ref="H12:K17" totalsRowShown="0" headerRowDxfId="72" dataDxfId="71">
  <autoFilter ref="H12:K17" xr:uid="{8A4C8C52-EF32-46BF-A01B-A11E5D3573F1}">
    <filterColumn colId="0" hiddenButton="1"/>
    <filterColumn colId="1" hiddenButton="1"/>
    <filterColumn colId="2" hiddenButton="1"/>
    <filterColumn colId="3" hiddenButton="1"/>
  </autoFilter>
  <tableColumns count="4">
    <tableColumn id="1" xr3:uid="{3245D159-ABB0-44C1-8E67-F2002F878409}" name="Company" dataDxfId="70">
      <calculatedColumnFormula>H3</calculatedColumnFormula>
    </tableColumn>
    <tableColumn id="2" xr3:uid="{A2F10C24-E34E-451A-B912-C651E9D8D008}" name="Target Price" dataDxfId="69">
      <calculatedColumnFormula>AVERAGE(I3:L3)</calculatedColumnFormula>
    </tableColumn>
    <tableColumn id="3" xr3:uid="{5A4AD42E-BDB0-4860-BA03-3D27F0E943A5}" name="CMP" dataDxfId="68" dataCellStyle="Comma"/>
    <tableColumn id="4" xr3:uid="{9F859454-523F-4228-8901-39E9565CA789}" name="U/D" dataDxfId="67" dataCellStyle="Percent">
      <calculatedColumnFormula>(Table24[[#This Row],[Target Price]]-J13)/J13</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1.xml"/><Relationship Id="rId3" Type="http://schemas.openxmlformats.org/officeDocument/2006/relationships/table" Target="../tables/table26.xml"/><Relationship Id="rId7" Type="http://schemas.openxmlformats.org/officeDocument/2006/relationships/table" Target="../tables/table30.xml"/><Relationship Id="rId2" Type="http://schemas.openxmlformats.org/officeDocument/2006/relationships/table" Target="../tables/table25.xml"/><Relationship Id="rId1" Type="http://schemas.openxmlformats.org/officeDocument/2006/relationships/table" Target="../tables/table24.xml"/><Relationship Id="rId6" Type="http://schemas.openxmlformats.org/officeDocument/2006/relationships/table" Target="../tables/table29.xml"/><Relationship Id="rId5" Type="http://schemas.openxmlformats.org/officeDocument/2006/relationships/table" Target="../tables/table2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table" Target="../tables/table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opLeftCell="D1" workbookViewId="0">
      <selection activeCell="E17" sqref="E17"/>
    </sheetView>
  </sheetViews>
  <sheetFormatPr defaultRowHeight="14.4" x14ac:dyDescent="0.3"/>
  <cols>
    <col min="1" max="1" width="16.6640625" style="1" bestFit="1" customWidth="1"/>
    <col min="2" max="2" width="22.5546875" style="3" customWidth="1"/>
    <col min="3" max="3" width="29.6640625" style="3" bestFit="1" customWidth="1"/>
    <col min="4" max="4" width="21.21875" style="1" customWidth="1"/>
    <col min="5" max="5" width="22.33203125" style="1" bestFit="1" customWidth="1"/>
    <col min="6" max="6" width="21.21875" style="1" customWidth="1"/>
    <col min="7" max="16384" width="8.88671875" style="1"/>
  </cols>
  <sheetData>
    <row r="1" spans="1:6" ht="43.2" x14ac:dyDescent="0.3">
      <c r="A1" s="7" t="s">
        <v>0</v>
      </c>
      <c r="B1" s="8" t="e" vm="1">
        <v>#VALUE!</v>
      </c>
      <c r="C1" s="8" t="e" vm="2">
        <v>#VALUE!</v>
      </c>
      <c r="D1" s="97" t="e" vm="3">
        <v>#VALUE!</v>
      </c>
      <c r="E1" s="97" t="e" vm="4">
        <v>#VALUE!</v>
      </c>
      <c r="F1" s="97" t="e" vm="5">
        <v>#VALUE!</v>
      </c>
    </row>
    <row r="2" spans="1:6" x14ac:dyDescent="0.3">
      <c r="A2" s="10" t="s">
        <v>1</v>
      </c>
      <c r="B2" s="11" t="str" cm="1">
        <f t="array" aca="1" ref="B2" ca="1">_FV(B1,"Official name",TRUE)</f>
        <v>AT&amp;T INC.</v>
      </c>
      <c r="C2" s="11" t="str" cm="1">
        <f t="array" aca="1" ref="C2" ca="1">_FV(C1,"Official name",TRUE)</f>
        <v>VERIZON COMMUNICATIONS INC.</v>
      </c>
      <c r="D2" s="11" t="str" cm="1">
        <f t="array" aca="1" ref="D2" ca="1">_FV(D1,"Official name",TRUE)</f>
        <v>CHARTER COMMUNICATIONS, INC.</v>
      </c>
      <c r="E2" s="11" t="str" cm="1">
        <f t="array" aca="1" ref="E2" ca="1">_FV(E1,"Official name",TRUE)</f>
        <v>COMCAST CORPORATION</v>
      </c>
      <c r="F2" s="11" t="str" cm="1">
        <f t="array" aca="1" ref="F2" ca="1">_FV(F1,"Official name",TRUE)</f>
        <v>T-MOBILE US, INC.</v>
      </c>
    </row>
    <row r="3" spans="1:6" x14ac:dyDescent="0.3">
      <c r="A3" s="10" t="s">
        <v>2</v>
      </c>
      <c r="B3" s="12" cm="1">
        <f t="array" aca="1" ref="B3" ca="1">_FV(B1,"Price")</f>
        <v>25.195</v>
      </c>
      <c r="C3" s="12" cm="1">
        <f t="array" aca="1" ref="C3" ca="1">_FV(C1,"Price")</f>
        <v>41.1098</v>
      </c>
      <c r="D3" s="12" cm="1">
        <f t="array" aca="1" ref="D3" ca="1">_FV(D1,"Price")</f>
        <v>195.11</v>
      </c>
      <c r="E3" s="12" cm="1">
        <f t="array" aca="1" ref="E3" ca="1">_FV(E1,"Price")</f>
        <v>26.905000000000001</v>
      </c>
      <c r="F3" s="12" cm="1">
        <f t="array" aca="1" ref="F3" ca="1">_FV(F1,"Price")</f>
        <v>210.79</v>
      </c>
    </row>
    <row r="4" spans="1:6" x14ac:dyDescent="0.3">
      <c r="A4" s="10" t="s">
        <v>3</v>
      </c>
      <c r="B4" s="13" cm="1">
        <f t="array" aca="1" ref="B4" ca="1">_FV(B1,"Change (%)",TRUE)</f>
        <v>-1.5820000000000001E-2</v>
      </c>
      <c r="C4" s="13" cm="1">
        <f t="array" aca="1" ref="C4" ca="1">_FV(C1,"Change (%)",TRUE)</f>
        <v>-8.9249999999999989E-3</v>
      </c>
      <c r="D4" s="13" cm="1">
        <f t="array" aca="1" ref="D4" ca="1">_FV(D1,"Change (%)",TRUE)</f>
        <v>-2.7804000000000002E-2</v>
      </c>
      <c r="E4" s="13" cm="1">
        <f t="array" aca="1" ref="E4" ca="1">_FV(E1,"Change (%)",TRUE)</f>
        <v>-1.6629999999999999E-2</v>
      </c>
      <c r="F4" s="13" cm="1">
        <f t="array" aca="1" ref="F4" ca="1">_FV(F1,"Change (%)",TRUE)</f>
        <v>-1.0747E-2</v>
      </c>
    </row>
    <row r="5" spans="1:6" x14ac:dyDescent="0.3">
      <c r="A5" s="10" t="s">
        <v>4</v>
      </c>
      <c r="B5" s="14" cm="1">
        <f t="array" aca="1" ref="B5" ca="1">_FV(B1,"Shares outstanding",TRUE)</f>
        <v>7089450000</v>
      </c>
      <c r="C5" s="14" cm="1">
        <f t="array" aca="1" ref="C5" ca="1">_FV(C1,"Shares outstanding",TRUE)</f>
        <v>4216425000</v>
      </c>
      <c r="D5" s="14" cm="1">
        <f t="array" aca="1" ref="D5" ca="1">_FV(D1,"Shares outstanding",TRUE)</f>
        <v>129409400</v>
      </c>
      <c r="E5" s="14" cm="1">
        <f t="array" aca="1" ref="E5" ca="1">_FV(E1,"Shares outstanding",TRUE)</f>
        <v>3643895000</v>
      </c>
      <c r="F5" s="14" cm="1">
        <f t="array" aca="1" ref="F5" ca="1">_FV(F1,"Shares outstanding",TRUE)</f>
        <v>1118507000</v>
      </c>
    </row>
    <row r="6" spans="1:6" x14ac:dyDescent="0.3">
      <c r="A6" s="10" t="s">
        <v>5</v>
      </c>
      <c r="B6" s="15">
        <f ca="1">B5/1000000</f>
        <v>7089.45</v>
      </c>
      <c r="C6" s="15">
        <f ca="1">C5/1000000</f>
        <v>4216.4250000000002</v>
      </c>
      <c r="D6" s="15">
        <f t="shared" ref="D6:F6" ca="1" si="0">D5/1000000</f>
        <v>129.40940000000001</v>
      </c>
      <c r="E6" s="15">
        <f t="shared" ca="1" si="0"/>
        <v>3643.895</v>
      </c>
      <c r="F6" s="15">
        <f t="shared" ca="1" si="0"/>
        <v>1118.5070000000001</v>
      </c>
    </row>
    <row r="7" spans="1:6" x14ac:dyDescent="0.3">
      <c r="A7" s="10" t="s">
        <v>6</v>
      </c>
      <c r="B7" s="16" cm="1">
        <f t="array" aca="1" ref="B7" ca="1">_FV(B1,"Market cap",TRUE)</f>
        <v>178618692750</v>
      </c>
      <c r="C7" s="16" cm="1">
        <f t="array" aca="1" ref="C7" ca="1">_FV(C1,"Market cap",TRUE)</f>
        <v>173336388465</v>
      </c>
      <c r="D7" s="16" cm="1">
        <f t="array" aca="1" ref="D7" ca="1">_FV(D1,"Market cap",TRUE)</f>
        <v>25249068034</v>
      </c>
      <c r="E7" s="16" cm="1">
        <f t="array" aca="1" ref="E7" ca="1">_FV(E1,"Market cap",TRUE)</f>
        <v>98038994975</v>
      </c>
      <c r="F7" s="16" cm="1">
        <f t="array" aca="1" ref="F7" ca="1">_FV(F1,"Market cap",TRUE)</f>
        <v>235770090530</v>
      </c>
    </row>
    <row r="8" spans="1:6" x14ac:dyDescent="0.3">
      <c r="A8" s="10" t="s">
        <v>5</v>
      </c>
      <c r="B8" s="17">
        <f ca="1">B7/1000000</f>
        <v>178618.69274999999</v>
      </c>
      <c r="C8" s="17">
        <f ca="1">C7/1000000</f>
        <v>173336.388465</v>
      </c>
      <c r="D8" s="17">
        <f t="shared" ref="D8:F8" ca="1" si="1">D7/1000000</f>
        <v>25249.068034</v>
      </c>
      <c r="E8" s="17">
        <f t="shared" ca="1" si="1"/>
        <v>98038.994974999994</v>
      </c>
      <c r="F8" s="17">
        <f t="shared" ca="1" si="1"/>
        <v>235770.09052999999</v>
      </c>
    </row>
    <row r="9" spans="1:6" x14ac:dyDescent="0.3">
      <c r="A9" s="10" t="s">
        <v>7</v>
      </c>
      <c r="B9" s="18" cm="1">
        <f t="array" aca="1" ref="B9" ca="1">_FV(B1,"Beta")</f>
        <v>0.35470000000000002</v>
      </c>
      <c r="C9" s="18" cm="1">
        <f t="array" aca="1" ref="C9" ca="1">_FV(C1,"Beta")</f>
        <v>0.30480000000000002</v>
      </c>
      <c r="D9" s="18" cm="1">
        <f t="array" aca="1" ref="D9" ca="1">_FV(D1,"Beta")</f>
        <v>1.0825</v>
      </c>
      <c r="E9" s="18" cm="1">
        <f t="array" aca="1" ref="E9" ca="1">_FV(E1,"Beta")</f>
        <v>0.81969999999999998</v>
      </c>
      <c r="F9" s="18" cm="1">
        <f t="array" aca="1" ref="F9" ca="1">_FV(F1,"Beta")</f>
        <v>0.42809999999999998</v>
      </c>
    </row>
    <row r="10" spans="1:6" x14ac:dyDescent="0.3">
      <c r="A10" s="10" t="s">
        <v>8</v>
      </c>
      <c r="B10" s="18" cm="1">
        <f t="array" aca="1" ref="B10" ca="1">_FV(B1,"P/E",TRUE)</f>
        <v>8.1752000000000002</v>
      </c>
      <c r="C10" s="18" cm="1">
        <f t="array" aca="1" ref="C10" ca="1">_FV(C1,"P/E",TRUE)</f>
        <v>8.7640999999999991</v>
      </c>
      <c r="D10" s="18" cm="1">
        <f t="array" aca="1" ref="D10" ca="1">_FV(D1,"P/E",TRUE)</f>
        <v>5.2729999999999997</v>
      </c>
      <c r="E10" s="18" cm="1">
        <f t="array" aca="1" ref="E10" ca="1">_FV(E1,"P/E",TRUE)</f>
        <v>4.4671000000000003</v>
      </c>
      <c r="F10" s="18" cm="1">
        <f t="array" aca="1" ref="F10" ca="1">_FV(F1,"P/E",TRUE)</f>
        <v>20.272400000000001</v>
      </c>
    </row>
    <row r="11" spans="1:6" x14ac:dyDescent="0.3">
      <c r="A11" s="10" t="s">
        <v>9</v>
      </c>
      <c r="B11" s="19" cm="1">
        <f t="array" aca="1" ref="B11" ca="1">_FV(B1,"Year incorporated",TRUE)</f>
        <v>1983</v>
      </c>
      <c r="C11" s="19" cm="1">
        <f t="array" aca="1" ref="C11" ca="1">_FV(C1,"Year incorporated",TRUE)</f>
        <v>1983</v>
      </c>
      <c r="D11" s="19" cm="1">
        <f t="array" aca="1" ref="D11" ca="1">_FV(D1,"Year incorporated",TRUE)</f>
        <v>2003</v>
      </c>
      <c r="E11" s="19" cm="1">
        <f t="array" aca="1" ref="E11" ca="1">_FV(E1,"Year incorporated",TRUE)</f>
        <v>2001</v>
      </c>
      <c r="F11" s="19" cm="1">
        <f t="array" aca="1" ref="F11" ca="1">_FV(F1,"Year incorporated",TRUE)</f>
        <v>2004</v>
      </c>
    </row>
    <row r="15" spans="1:6" x14ac:dyDescent="0.3">
      <c r="B15" s="69"/>
    </row>
    <row r="17" spans="2:2" x14ac:dyDescent="0.3">
      <c r="B17" s="4"/>
    </row>
    <row r="18" spans="2:2" x14ac:dyDescent="0.3">
      <c r="B18" s="9"/>
    </row>
  </sheetData>
  <conditionalFormatting sqref="B4:F4">
    <cfRule type="cellIs" dxfId="66" priority="1" operator="greaterThan">
      <formula>0</formula>
    </cfRule>
    <cfRule type="cellIs" dxfId="65" priority="2" operator="less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B5811-DD8D-4D40-9C1B-34C56AC318E4}">
  <dimension ref="A1:AK40"/>
  <sheetViews>
    <sheetView tabSelected="1" topLeftCell="AF17" workbookViewId="0">
      <selection activeCell="AE37" sqref="AE37:AK40"/>
    </sheetView>
  </sheetViews>
  <sheetFormatPr defaultRowHeight="14.4" x14ac:dyDescent="0.3"/>
  <cols>
    <col min="1" max="1" width="29.88671875" style="1" bestFit="1" customWidth="1"/>
    <col min="2" max="6" width="10.88671875" style="1" bestFit="1" customWidth="1"/>
    <col min="7" max="7" width="8.88671875" style="1"/>
    <col min="8" max="8" width="29.88671875" style="1" bestFit="1" customWidth="1"/>
    <col min="9" max="13" width="10.88671875" style="1" bestFit="1" customWidth="1"/>
    <col min="14" max="14" width="8.88671875" style="1"/>
    <col min="15" max="15" width="29.88671875" style="1" bestFit="1" customWidth="1"/>
    <col min="16" max="16" width="10.88671875" style="1" bestFit="1" customWidth="1"/>
    <col min="17" max="20" width="10.88671875" style="3" bestFit="1" customWidth="1"/>
    <col min="21" max="21" width="10.88671875" style="3" customWidth="1"/>
    <col min="22" max="22" width="8.88671875" style="3"/>
    <col min="23" max="23" width="29.88671875" style="1" bestFit="1" customWidth="1"/>
    <col min="24" max="28" width="10.88671875" style="1" bestFit="1" customWidth="1"/>
    <col min="29" max="29" width="10.88671875" style="1" customWidth="1"/>
    <col min="30" max="30" width="12.6640625" style="1" bestFit="1" customWidth="1"/>
    <col min="31" max="31" width="29.88671875" style="1" bestFit="1" customWidth="1"/>
    <col min="32" max="32" width="10.88671875" style="1" bestFit="1" customWidth="1"/>
    <col min="33" max="33" width="11" style="1" bestFit="1" customWidth="1"/>
    <col min="34" max="37" width="10.88671875" style="1" bestFit="1" customWidth="1"/>
    <col min="38" max="16384" width="8.88671875" style="1"/>
  </cols>
  <sheetData>
    <row r="1" spans="1:36" x14ac:dyDescent="0.3">
      <c r="A1" s="6" t="s">
        <v>10</v>
      </c>
      <c r="F1" s="20" t="str">
        <f>Relative!H13</f>
        <v>AT&amp;T</v>
      </c>
      <c r="H1" s="6" t="s">
        <v>10</v>
      </c>
      <c r="M1" s="20" t="str">
        <f>Relative!H14</f>
        <v>Verizon</v>
      </c>
      <c r="O1" s="6" t="s">
        <v>10</v>
      </c>
      <c r="Q1" s="1"/>
      <c r="R1" s="1"/>
      <c r="S1" s="1"/>
      <c r="T1" s="20" t="str">
        <f>DCF!W1</f>
        <v>Charter</v>
      </c>
      <c r="U1" s="20"/>
      <c r="V1" s="1"/>
      <c r="W1" s="6" t="s">
        <v>10</v>
      </c>
      <c r="AB1" s="20" t="str">
        <f>DCF!AE1</f>
        <v>Comcast</v>
      </c>
      <c r="AC1" s="20"/>
      <c r="AE1" s="6" t="s">
        <v>10</v>
      </c>
      <c r="AJ1" s="20" t="str">
        <f>DCF!AM1</f>
        <v>T-Mobile</v>
      </c>
    </row>
    <row r="2" spans="1:36" x14ac:dyDescent="0.3">
      <c r="A2" s="1" t="s">
        <v>11</v>
      </c>
      <c r="B2" s="21" t="s">
        <v>12</v>
      </c>
      <c r="C2" s="21" t="s">
        <v>13</v>
      </c>
      <c r="D2" s="21" t="s">
        <v>14</v>
      </c>
      <c r="E2" s="21" t="s">
        <v>15</v>
      </c>
      <c r="F2" s="21" t="s">
        <v>16</v>
      </c>
      <c r="H2" s="1" t="s">
        <v>11</v>
      </c>
      <c r="I2" s="21" t="s">
        <v>12</v>
      </c>
      <c r="J2" s="21" t="s">
        <v>13</v>
      </c>
      <c r="K2" s="21" t="s">
        <v>14</v>
      </c>
      <c r="L2" s="21" t="s">
        <v>15</v>
      </c>
      <c r="M2" s="21" t="s">
        <v>16</v>
      </c>
      <c r="O2" s="1" t="s">
        <v>11</v>
      </c>
      <c r="P2" s="21" t="s">
        <v>12</v>
      </c>
      <c r="Q2" s="21" t="s">
        <v>13</v>
      </c>
      <c r="R2" s="21" t="s">
        <v>14</v>
      </c>
      <c r="S2" s="21" t="s">
        <v>15</v>
      </c>
      <c r="T2" s="21" t="s">
        <v>16</v>
      </c>
      <c r="U2" s="21"/>
      <c r="V2" s="1"/>
      <c r="W2" s="1" t="s">
        <v>11</v>
      </c>
      <c r="X2" s="21" t="s">
        <v>12</v>
      </c>
      <c r="Y2" s="21" t="s">
        <v>13</v>
      </c>
      <c r="Z2" s="21" t="s">
        <v>14</v>
      </c>
      <c r="AA2" s="21" t="s">
        <v>15</v>
      </c>
      <c r="AB2" s="21" t="s">
        <v>16</v>
      </c>
      <c r="AC2" s="21"/>
      <c r="AE2" s="1" t="s">
        <v>11</v>
      </c>
      <c r="AF2" s="21" t="s">
        <v>12</v>
      </c>
      <c r="AG2" s="21" t="s">
        <v>13</v>
      </c>
      <c r="AH2" s="21" t="s">
        <v>14</v>
      </c>
      <c r="AI2" s="21" t="s">
        <v>15</v>
      </c>
      <c r="AJ2" s="21" t="s">
        <v>16</v>
      </c>
    </row>
    <row r="3" spans="1:36" x14ac:dyDescent="0.3">
      <c r="A3" s="1" t="s">
        <v>17</v>
      </c>
      <c r="B3" s="9">
        <v>171760</v>
      </c>
      <c r="C3" s="9">
        <v>134038</v>
      </c>
      <c r="D3" s="9">
        <v>120741</v>
      </c>
      <c r="E3" s="9">
        <v>122428</v>
      </c>
      <c r="F3" s="9">
        <v>122336</v>
      </c>
      <c r="H3" s="1" t="s">
        <v>17</v>
      </c>
      <c r="I3" s="9">
        <v>128292</v>
      </c>
      <c r="J3" s="9">
        <v>133613</v>
      </c>
      <c r="K3" s="9">
        <v>136835</v>
      </c>
      <c r="L3" s="9">
        <v>133974</v>
      </c>
      <c r="M3" s="9">
        <v>134788</v>
      </c>
      <c r="O3" s="1" t="s">
        <v>17</v>
      </c>
      <c r="P3" s="9">
        <v>48097</v>
      </c>
      <c r="Q3" s="9">
        <v>51682</v>
      </c>
      <c r="R3" s="9">
        <v>54022</v>
      </c>
      <c r="S3" s="9">
        <v>54607</v>
      </c>
      <c r="T3" s="9">
        <v>55085</v>
      </c>
      <c r="U3" s="9"/>
      <c r="V3" s="1"/>
      <c r="W3" s="1" t="s">
        <v>17</v>
      </c>
      <c r="X3" s="9">
        <v>103564</v>
      </c>
      <c r="Y3" s="9">
        <v>116385</v>
      </c>
      <c r="Z3" s="9">
        <v>121427</v>
      </c>
      <c r="AA3" s="9">
        <v>121572</v>
      </c>
      <c r="AB3" s="9">
        <v>123731</v>
      </c>
      <c r="AC3" s="9"/>
      <c r="AE3" s="1" t="s">
        <v>17</v>
      </c>
      <c r="AF3" s="9">
        <v>68397</v>
      </c>
      <c r="AG3" s="9">
        <v>80118</v>
      </c>
      <c r="AH3" s="9">
        <v>79571</v>
      </c>
      <c r="AI3" s="9">
        <v>78558</v>
      </c>
      <c r="AJ3" s="9">
        <v>81400</v>
      </c>
    </row>
    <row r="4" spans="1:36" x14ac:dyDescent="0.3">
      <c r="A4" s="1" t="s">
        <v>18</v>
      </c>
      <c r="B4" s="9">
        <f>19706+27305+32909</f>
        <v>79920</v>
      </c>
      <c r="C4" s="9">
        <f>23685+8106+28616</f>
        <v>60407</v>
      </c>
      <c r="D4" s="9">
        <f>24009+26839</f>
        <v>50848</v>
      </c>
      <c r="E4" s="9">
        <f>23136+26987</f>
        <v>50123</v>
      </c>
      <c r="F4" s="9">
        <f>22249+26972</f>
        <v>49221</v>
      </c>
      <c r="H4" s="1" t="s">
        <v>18</v>
      </c>
      <c r="I4" s="9">
        <f>31401+19800</f>
        <v>51201</v>
      </c>
      <c r="J4" s="9">
        <f>31234+25067</f>
        <v>56301</v>
      </c>
      <c r="K4" s="9">
        <f>28637+30496</f>
        <v>59133</v>
      </c>
      <c r="L4" s="9">
        <f>28100+26787</f>
        <v>54887</v>
      </c>
      <c r="M4" s="9">
        <f>27997+26100</f>
        <v>54097</v>
      </c>
      <c r="O4" s="1" t="s">
        <v>18</v>
      </c>
      <c r="P4" s="9">
        <v>0</v>
      </c>
      <c r="Q4" s="9">
        <v>0</v>
      </c>
      <c r="R4" s="9">
        <v>0</v>
      </c>
      <c r="S4" s="9">
        <v>0</v>
      </c>
      <c r="T4" s="9">
        <v>0</v>
      </c>
      <c r="U4" s="9"/>
      <c r="V4" s="1"/>
      <c r="W4" s="1" t="s">
        <v>18</v>
      </c>
      <c r="X4" s="9">
        <v>0</v>
      </c>
      <c r="Y4" s="9">
        <v>0</v>
      </c>
      <c r="Z4" s="9">
        <v>0</v>
      </c>
      <c r="AA4" s="9">
        <v>0</v>
      </c>
      <c r="AB4" s="9">
        <v>0</v>
      </c>
      <c r="AC4" s="9"/>
      <c r="AE4" s="1" t="s">
        <v>18</v>
      </c>
      <c r="AF4" s="9">
        <f>11878+16388</f>
        <v>28266</v>
      </c>
      <c r="AG4" s="9">
        <f>13934+22671</f>
        <v>36605</v>
      </c>
      <c r="AH4" s="9">
        <f>14666+21540</f>
        <v>36206</v>
      </c>
      <c r="AI4" s="9">
        <f>11655+18533</f>
        <v>30188</v>
      </c>
      <c r="AJ4" s="9">
        <f>10771+18882</f>
        <v>29653</v>
      </c>
    </row>
    <row r="5" spans="1:36" x14ac:dyDescent="0.3">
      <c r="A5" s="1" t="s">
        <v>19</v>
      </c>
      <c r="B5" s="9">
        <f>38039+18880</f>
        <v>56919</v>
      </c>
      <c r="C5" s="9">
        <f>29669+213</f>
        <v>29882</v>
      </c>
      <c r="D5" s="9">
        <f>28961+27498</f>
        <v>56459</v>
      </c>
      <c r="E5" s="9">
        <f>28874+1193</f>
        <v>30067</v>
      </c>
      <c r="F5" s="9">
        <f>28411+5075</f>
        <v>33486</v>
      </c>
      <c r="H5" s="1" t="s">
        <v>19</v>
      </c>
      <c r="I5" s="9">
        <f>31573</f>
        <v>31573</v>
      </c>
      <c r="J5" s="9">
        <v>28658</v>
      </c>
      <c r="K5" s="9">
        <v>30136</v>
      </c>
      <c r="L5" s="9">
        <f>32745+5841</f>
        <v>38586</v>
      </c>
      <c r="M5" s="9">
        <v>34113</v>
      </c>
      <c r="O5" s="1" t="s">
        <v>19</v>
      </c>
      <c r="P5" s="9">
        <f>39692-9704+143+15+66+31</f>
        <v>30243</v>
      </c>
      <c r="Q5" s="9">
        <f>41156-9345+101</f>
        <v>31912</v>
      </c>
      <c r="R5" s="9">
        <f>42060-8903-56</f>
        <v>33101</v>
      </c>
      <c r="S5" s="9">
        <f>42048-8696+517</f>
        <v>33869</v>
      </c>
      <c r="T5" s="9">
        <f>41967-8673+387</f>
        <v>33681</v>
      </c>
      <c r="U5" s="9"/>
      <c r="V5" s="1"/>
      <c r="W5" s="1" t="s">
        <v>19</v>
      </c>
      <c r="X5" s="9">
        <f>86071-8320-4780-1160</f>
        <v>71811</v>
      </c>
      <c r="Y5" s="9">
        <f>95568-8628-5176-2557</f>
        <v>79207</v>
      </c>
      <c r="Z5" s="9">
        <f>107385-8724-5097+861</f>
        <v>94425</v>
      </c>
      <c r="AA5" s="9">
        <f>98258-8854+5482-1252</f>
        <v>93634</v>
      </c>
      <c r="AB5" s="9">
        <f>100434-8729-6072+490</f>
        <v>86123</v>
      </c>
      <c r="AC5" s="9"/>
      <c r="AE5" s="1" t="s">
        <v>19</v>
      </c>
      <c r="AF5" s="9">
        <f>18926+418-29+405</f>
        <v>19720</v>
      </c>
      <c r="AG5" s="9">
        <f>20238+199</f>
        <v>20437</v>
      </c>
      <c r="AH5" s="9">
        <f>21607+477+1087+33</f>
        <v>23204</v>
      </c>
      <c r="AI5" s="9">
        <f>21311-25-68</f>
        <v>21218</v>
      </c>
      <c r="AJ5" s="9">
        <f>20818-113</f>
        <v>20705</v>
      </c>
    </row>
    <row r="6" spans="1:36" x14ac:dyDescent="0.3">
      <c r="A6" s="6" t="s">
        <v>20</v>
      </c>
      <c r="B6" s="22">
        <f>B3-B4-B5</f>
        <v>34921</v>
      </c>
      <c r="C6" s="22">
        <f t="shared" ref="C6:F6" si="0">C3-C4-C5</f>
        <v>43749</v>
      </c>
      <c r="D6" s="22">
        <f t="shared" si="0"/>
        <v>13434</v>
      </c>
      <c r="E6" s="22">
        <f t="shared" si="0"/>
        <v>42238</v>
      </c>
      <c r="F6" s="22">
        <f t="shared" si="0"/>
        <v>39629</v>
      </c>
      <c r="G6" s="6"/>
      <c r="H6" s="6" t="s">
        <v>20</v>
      </c>
      <c r="I6" s="22">
        <f>I3-I4-I5</f>
        <v>45518</v>
      </c>
      <c r="J6" s="22">
        <f t="shared" ref="J6:M6" si="1">J3-J4-J5</f>
        <v>48654</v>
      </c>
      <c r="K6" s="22">
        <f t="shared" si="1"/>
        <v>47566</v>
      </c>
      <c r="L6" s="22">
        <f t="shared" si="1"/>
        <v>40501</v>
      </c>
      <c r="M6" s="22">
        <f t="shared" si="1"/>
        <v>46578</v>
      </c>
      <c r="O6" s="6" t="s">
        <v>20</v>
      </c>
      <c r="P6" s="22">
        <f>P3-P4-P5</f>
        <v>17854</v>
      </c>
      <c r="Q6" s="22">
        <f t="shared" ref="Q6:T6" si="2">Q3-Q4-Q5</f>
        <v>19770</v>
      </c>
      <c r="R6" s="22">
        <f t="shared" si="2"/>
        <v>20921</v>
      </c>
      <c r="S6" s="22">
        <f t="shared" si="2"/>
        <v>20738</v>
      </c>
      <c r="T6" s="22">
        <f t="shared" si="2"/>
        <v>21404</v>
      </c>
      <c r="U6" s="22"/>
      <c r="V6" s="6"/>
      <c r="W6" s="6" t="s">
        <v>20</v>
      </c>
      <c r="X6" s="22">
        <f>X3-X4-X5</f>
        <v>31753</v>
      </c>
      <c r="Y6" s="22">
        <f t="shared" ref="Y6:AB6" si="3">Y3-Y4-Y5</f>
        <v>37178</v>
      </c>
      <c r="Z6" s="22">
        <f t="shared" si="3"/>
        <v>27002</v>
      </c>
      <c r="AA6" s="22">
        <f t="shared" si="3"/>
        <v>27938</v>
      </c>
      <c r="AB6" s="22">
        <f t="shared" si="3"/>
        <v>37608</v>
      </c>
      <c r="AC6" s="22"/>
      <c r="AE6" s="6" t="s">
        <v>20</v>
      </c>
      <c r="AF6" s="22">
        <f>AF3-AF4-AF5</f>
        <v>20411</v>
      </c>
      <c r="AG6" s="22">
        <f t="shared" ref="AG6:AJ6" si="4">AG3-AG4-AG5</f>
        <v>23076</v>
      </c>
      <c r="AH6" s="22">
        <f t="shared" si="4"/>
        <v>20161</v>
      </c>
      <c r="AI6" s="22">
        <f t="shared" si="4"/>
        <v>27152</v>
      </c>
      <c r="AJ6" s="22">
        <f t="shared" si="4"/>
        <v>31042</v>
      </c>
    </row>
    <row r="7" spans="1:36" x14ac:dyDescent="0.3">
      <c r="A7" s="1" t="s">
        <v>21</v>
      </c>
      <c r="B7" s="9">
        <v>28516</v>
      </c>
      <c r="C7" s="9">
        <v>17852</v>
      </c>
      <c r="D7" s="9">
        <v>18021</v>
      </c>
      <c r="E7" s="9">
        <v>18777</v>
      </c>
      <c r="F7" s="9">
        <v>20580</v>
      </c>
      <c r="H7" s="1" t="s">
        <v>21</v>
      </c>
      <c r="I7" s="9">
        <v>16720</v>
      </c>
      <c r="J7" s="9">
        <v>16206</v>
      </c>
      <c r="K7" s="9">
        <v>17099</v>
      </c>
      <c r="L7" s="9">
        <v>17624</v>
      </c>
      <c r="M7" s="9">
        <v>17892</v>
      </c>
      <c r="O7" s="1" t="s">
        <v>21</v>
      </c>
      <c r="P7" s="9">
        <v>9704</v>
      </c>
      <c r="Q7" s="9">
        <v>9345</v>
      </c>
      <c r="R7" s="9">
        <v>8903</v>
      </c>
      <c r="S7" s="9">
        <v>8696</v>
      </c>
      <c r="T7" s="9">
        <v>8673</v>
      </c>
      <c r="U7" s="9"/>
      <c r="V7" s="1"/>
      <c r="W7" s="1" t="s">
        <v>21</v>
      </c>
      <c r="X7" s="9">
        <f>8320+4780</f>
        <v>13100</v>
      </c>
      <c r="Y7" s="9">
        <f>8628+5176</f>
        <v>13804</v>
      </c>
      <c r="Z7" s="9">
        <f>8724+5097</f>
        <v>13821</v>
      </c>
      <c r="AA7" s="9">
        <f>8854+5482</f>
        <v>14336</v>
      </c>
      <c r="AB7" s="9">
        <f>8729+6072</f>
        <v>14801</v>
      </c>
      <c r="AC7" s="9"/>
      <c r="AE7" s="1" t="s">
        <v>21</v>
      </c>
      <c r="AF7" s="9">
        <v>14151</v>
      </c>
      <c r="AG7" s="9">
        <v>16383</v>
      </c>
      <c r="AH7" s="9">
        <v>13651</v>
      </c>
      <c r="AI7" s="9">
        <v>12818</v>
      </c>
      <c r="AJ7" s="9">
        <v>12919</v>
      </c>
    </row>
    <row r="8" spans="1:36" x14ac:dyDescent="0.3">
      <c r="A8" s="1" t="s">
        <v>22</v>
      </c>
      <c r="B8" s="9">
        <v>7925</v>
      </c>
      <c r="C8" s="9">
        <v>6716</v>
      </c>
      <c r="D8" s="9">
        <v>6108</v>
      </c>
      <c r="E8" s="9">
        <v>6704</v>
      </c>
      <c r="F8" s="9">
        <v>6759</v>
      </c>
      <c r="H8" s="1" t="s">
        <v>22</v>
      </c>
      <c r="I8" s="9">
        <v>4247</v>
      </c>
      <c r="J8" s="9">
        <v>3485</v>
      </c>
      <c r="K8" s="9">
        <v>3613</v>
      </c>
      <c r="L8" s="9">
        <v>5524</v>
      </c>
      <c r="M8" s="9">
        <v>6649</v>
      </c>
      <c r="O8" s="1" t="s">
        <v>22</v>
      </c>
      <c r="P8" s="9">
        <v>3848</v>
      </c>
      <c r="Q8" s="9">
        <v>4037</v>
      </c>
      <c r="R8" s="9">
        <v>4556</v>
      </c>
      <c r="S8" s="9">
        <v>5188</v>
      </c>
      <c r="T8" s="9">
        <v>5229</v>
      </c>
      <c r="U8" s="9"/>
      <c r="V8" s="1"/>
      <c r="W8" s="1" t="s">
        <v>22</v>
      </c>
      <c r="X8" s="9">
        <v>4588</v>
      </c>
      <c r="Y8" s="9">
        <v>4281</v>
      </c>
      <c r="Z8" s="9">
        <v>3896</v>
      </c>
      <c r="AA8" s="9">
        <v>4087</v>
      </c>
      <c r="AB8" s="9">
        <v>4134</v>
      </c>
      <c r="AC8" s="9"/>
      <c r="AE8" s="1" t="s">
        <v>22</v>
      </c>
      <c r="AF8" s="9">
        <f>2483+247</f>
        <v>2730</v>
      </c>
      <c r="AG8" s="9">
        <v>3342</v>
      </c>
      <c r="AH8" s="9">
        <v>3364</v>
      </c>
      <c r="AI8" s="9">
        <v>3335</v>
      </c>
      <c r="AJ8" s="9">
        <v>3411</v>
      </c>
    </row>
    <row r="9" spans="1:36" x14ac:dyDescent="0.3">
      <c r="A9" s="1" t="s">
        <v>23</v>
      </c>
      <c r="B9" s="9">
        <v>965</v>
      </c>
      <c r="C9" s="9">
        <v>5395</v>
      </c>
      <c r="D9" s="9">
        <v>3780</v>
      </c>
      <c r="E9" s="9">
        <v>4225</v>
      </c>
      <c r="F9" s="9">
        <v>4445</v>
      </c>
      <c r="G9" s="6"/>
      <c r="H9" s="1" t="s">
        <v>23</v>
      </c>
      <c r="I9" s="9">
        <v>5619</v>
      </c>
      <c r="J9" s="9">
        <v>6802</v>
      </c>
      <c r="K9" s="9">
        <v>6523</v>
      </c>
      <c r="L9" s="9">
        <v>4892</v>
      </c>
      <c r="M9" s="9">
        <v>5030</v>
      </c>
      <c r="O9" s="1" t="s">
        <v>23</v>
      </c>
      <c r="P9" s="9">
        <v>626</v>
      </c>
      <c r="Q9" s="9">
        <v>1068</v>
      </c>
      <c r="R9" s="9">
        <v>1613</v>
      </c>
      <c r="S9" s="9">
        <v>1593</v>
      </c>
      <c r="T9" s="9">
        <v>1649</v>
      </c>
      <c r="U9" s="9"/>
      <c r="V9" s="6"/>
      <c r="W9" s="1" t="s">
        <v>23</v>
      </c>
      <c r="X9" s="9">
        <v>3364</v>
      </c>
      <c r="Y9" s="9">
        <v>5259</v>
      </c>
      <c r="Z9" s="9">
        <v>4359</v>
      </c>
      <c r="AA9" s="9">
        <v>5371</v>
      </c>
      <c r="AB9" s="9">
        <v>2796</v>
      </c>
      <c r="AC9" s="9"/>
      <c r="AE9" s="1" t="s">
        <v>23</v>
      </c>
      <c r="AF9" s="9">
        <v>786</v>
      </c>
      <c r="AG9" s="9">
        <v>327</v>
      </c>
      <c r="AH9" s="9">
        <v>556</v>
      </c>
      <c r="AI9" s="9">
        <v>2682</v>
      </c>
      <c r="AJ9" s="9">
        <v>3373</v>
      </c>
    </row>
    <row r="10" spans="1:36" x14ac:dyDescent="0.3">
      <c r="A10" s="6" t="s">
        <v>24</v>
      </c>
      <c r="B10" s="22">
        <f>B6-B7-B8-B9</f>
        <v>-2485</v>
      </c>
      <c r="C10" s="22">
        <f t="shared" ref="C10:F10" si="5">C6-C7-C8-C9</f>
        <v>13786</v>
      </c>
      <c r="D10" s="22">
        <f t="shared" si="5"/>
        <v>-14475</v>
      </c>
      <c r="E10" s="22">
        <f t="shared" si="5"/>
        <v>12532</v>
      </c>
      <c r="F10" s="22">
        <f t="shared" si="5"/>
        <v>7845</v>
      </c>
      <c r="G10" s="6"/>
      <c r="H10" s="6" t="s">
        <v>24</v>
      </c>
      <c r="I10" s="22">
        <f>I6-I7-I8-I9</f>
        <v>18932</v>
      </c>
      <c r="J10" s="22">
        <f t="shared" ref="J10:M10" si="6">J6-J7-J8-J9</f>
        <v>22161</v>
      </c>
      <c r="K10" s="22">
        <f t="shared" si="6"/>
        <v>20331</v>
      </c>
      <c r="L10" s="22">
        <f t="shared" si="6"/>
        <v>12461</v>
      </c>
      <c r="M10" s="22">
        <f t="shared" si="6"/>
        <v>17007</v>
      </c>
      <c r="O10" s="6" t="s">
        <v>24</v>
      </c>
      <c r="P10" s="22">
        <f>P6-P7-P8-P9</f>
        <v>3676</v>
      </c>
      <c r="Q10" s="22">
        <f t="shared" ref="Q10:T10" si="7">Q6-Q7-Q8-Q9</f>
        <v>5320</v>
      </c>
      <c r="R10" s="22">
        <f t="shared" si="7"/>
        <v>5849</v>
      </c>
      <c r="S10" s="22">
        <f t="shared" si="7"/>
        <v>5261</v>
      </c>
      <c r="T10" s="22">
        <f t="shared" si="7"/>
        <v>5853</v>
      </c>
      <c r="U10" s="22"/>
      <c r="V10" s="6"/>
      <c r="W10" s="6" t="s">
        <v>24</v>
      </c>
      <c r="X10" s="22">
        <f>X6-X7-X8-X9</f>
        <v>10701</v>
      </c>
      <c r="Y10" s="22">
        <f t="shared" ref="Y10:AB10" si="8">Y6-Y7-Y8-Y9</f>
        <v>13834</v>
      </c>
      <c r="Z10" s="22">
        <f t="shared" si="8"/>
        <v>4926</v>
      </c>
      <c r="AA10" s="22">
        <f t="shared" si="8"/>
        <v>4144</v>
      </c>
      <c r="AB10" s="22">
        <f t="shared" si="8"/>
        <v>15877</v>
      </c>
      <c r="AC10" s="22"/>
      <c r="AE10" s="6" t="s">
        <v>24</v>
      </c>
      <c r="AF10" s="22">
        <f>AF6-AF7-AF8-AF9</f>
        <v>2744</v>
      </c>
      <c r="AG10" s="22">
        <f t="shared" ref="AG10:AJ10" si="9">AG6-AG7-AG8-AG9</f>
        <v>3024</v>
      </c>
      <c r="AH10" s="22">
        <f t="shared" si="9"/>
        <v>2590</v>
      </c>
      <c r="AI10" s="22">
        <f t="shared" si="9"/>
        <v>8317</v>
      </c>
      <c r="AJ10" s="22">
        <f t="shared" si="9"/>
        <v>11339</v>
      </c>
    </row>
    <row r="11" spans="1:36" x14ac:dyDescent="0.3">
      <c r="Q11" s="1"/>
      <c r="R11" s="1"/>
      <c r="S11" s="1"/>
      <c r="T11" s="1"/>
      <c r="U11" s="1"/>
      <c r="V11" s="1"/>
    </row>
    <row r="12" spans="1:36" x14ac:dyDescent="0.3">
      <c r="A12" s="6" t="s">
        <v>25</v>
      </c>
      <c r="H12" s="6" t="s">
        <v>25</v>
      </c>
      <c r="O12" s="6" t="s">
        <v>25</v>
      </c>
      <c r="Q12" s="1"/>
      <c r="R12" s="1"/>
      <c r="S12" s="1"/>
      <c r="T12" s="1"/>
      <c r="U12" s="1"/>
      <c r="V12" s="1"/>
      <c r="W12" s="6" t="s">
        <v>25</v>
      </c>
      <c r="AE12" s="6" t="s">
        <v>25</v>
      </c>
    </row>
    <row r="13" spans="1:36" x14ac:dyDescent="0.3">
      <c r="A13" s="1" t="s">
        <v>11</v>
      </c>
      <c r="B13" s="21" t="s">
        <v>12</v>
      </c>
      <c r="C13" s="21" t="s">
        <v>13</v>
      </c>
      <c r="D13" s="21" t="s">
        <v>14</v>
      </c>
      <c r="E13" s="21" t="s">
        <v>15</v>
      </c>
      <c r="F13" s="21" t="s">
        <v>16</v>
      </c>
      <c r="H13" s="1" t="s">
        <v>11</v>
      </c>
      <c r="I13" s="21" t="s">
        <v>12</v>
      </c>
      <c r="J13" s="21" t="s">
        <v>13</v>
      </c>
      <c r="K13" s="21" t="s">
        <v>14</v>
      </c>
      <c r="L13" s="21" t="s">
        <v>15</v>
      </c>
      <c r="M13" s="21" t="s">
        <v>16</v>
      </c>
      <c r="O13" s="1" t="s">
        <v>11</v>
      </c>
      <c r="P13" s="21" t="s">
        <v>12</v>
      </c>
      <c r="Q13" s="21" t="s">
        <v>13</v>
      </c>
      <c r="R13" s="21" t="s">
        <v>14</v>
      </c>
      <c r="S13" s="21" t="s">
        <v>15</v>
      </c>
      <c r="T13" s="21" t="s">
        <v>16</v>
      </c>
      <c r="U13" s="21"/>
      <c r="V13" s="1"/>
      <c r="W13" s="1" t="s">
        <v>11</v>
      </c>
      <c r="X13" s="21" t="s">
        <v>12</v>
      </c>
      <c r="Y13" s="21" t="s">
        <v>13</v>
      </c>
      <c r="Z13" s="21" t="s">
        <v>14</v>
      </c>
      <c r="AA13" s="21" t="s">
        <v>15</v>
      </c>
      <c r="AB13" s="21" t="s">
        <v>16</v>
      </c>
      <c r="AC13" s="21"/>
      <c r="AE13" s="1" t="s">
        <v>11</v>
      </c>
      <c r="AF13" s="21" t="s">
        <v>12</v>
      </c>
      <c r="AG13" s="21" t="s">
        <v>13</v>
      </c>
      <c r="AH13" s="21" t="s">
        <v>14</v>
      </c>
      <c r="AI13" s="21" t="s">
        <v>15</v>
      </c>
      <c r="AJ13" s="21" t="s">
        <v>16</v>
      </c>
    </row>
    <row r="14" spans="1:36" x14ac:dyDescent="0.3">
      <c r="A14" s="1" t="s">
        <v>26</v>
      </c>
      <c r="B14" s="9">
        <v>9740</v>
      </c>
      <c r="C14" s="9">
        <v>19223</v>
      </c>
      <c r="D14" s="9">
        <v>3701</v>
      </c>
      <c r="E14" s="9">
        <v>6722</v>
      </c>
      <c r="F14" s="9">
        <v>3298</v>
      </c>
      <c r="H14" s="1" t="s">
        <v>26</v>
      </c>
      <c r="I14" s="9">
        <v>22171</v>
      </c>
      <c r="J14" s="9">
        <v>2921</v>
      </c>
      <c r="K14" s="9">
        <v>2605</v>
      </c>
      <c r="L14" s="9">
        <v>2065</v>
      </c>
      <c r="M14" s="9">
        <v>4194</v>
      </c>
      <c r="O14" s="1" t="s">
        <v>26</v>
      </c>
      <c r="P14" s="9">
        <v>998</v>
      </c>
      <c r="Q14" s="9">
        <v>601</v>
      </c>
      <c r="R14" s="9">
        <v>645</v>
      </c>
      <c r="S14" s="9">
        <v>709</v>
      </c>
      <c r="T14" s="9">
        <v>459</v>
      </c>
      <c r="U14" s="9"/>
      <c r="V14" s="1"/>
      <c r="W14" s="1" t="s">
        <v>26</v>
      </c>
      <c r="X14" s="9">
        <v>11740</v>
      </c>
      <c r="Y14" s="9">
        <v>8711</v>
      </c>
      <c r="Z14" s="9">
        <v>4749</v>
      </c>
      <c r="AA14" s="9">
        <v>6215</v>
      </c>
      <c r="AB14" s="9">
        <v>7322</v>
      </c>
      <c r="AC14" s="9"/>
      <c r="AE14" s="1" t="s">
        <v>26</v>
      </c>
      <c r="AF14" s="9">
        <v>10385</v>
      </c>
      <c r="AG14" s="9">
        <v>6631</v>
      </c>
      <c r="AH14" s="9">
        <v>4507</v>
      </c>
      <c r="AI14" s="9">
        <v>5135</v>
      </c>
      <c r="AJ14" s="9">
        <v>5409</v>
      </c>
    </row>
    <row r="15" spans="1:36" s="6" customFormat="1" x14ac:dyDescent="0.3">
      <c r="A15" s="6" t="s">
        <v>27</v>
      </c>
      <c r="B15" s="22">
        <v>20215</v>
      </c>
      <c r="C15" s="22">
        <v>12313</v>
      </c>
      <c r="D15" s="22">
        <v>11466</v>
      </c>
      <c r="E15" s="22">
        <v>10289</v>
      </c>
      <c r="F15" s="22">
        <v>9638</v>
      </c>
      <c r="H15" s="6" t="s">
        <v>27</v>
      </c>
      <c r="I15" s="22">
        <v>23917</v>
      </c>
      <c r="J15" s="22">
        <v>23846</v>
      </c>
      <c r="K15" s="22">
        <v>24506</v>
      </c>
      <c r="L15" s="22">
        <v>25085</v>
      </c>
      <c r="M15" s="22">
        <v>26109</v>
      </c>
      <c r="O15" s="6" t="s">
        <v>129</v>
      </c>
      <c r="P15" s="22">
        <v>144206</v>
      </c>
      <c r="Q15" s="22">
        <v>142491</v>
      </c>
      <c r="R15" s="22">
        <v>144523</v>
      </c>
      <c r="S15" s="22">
        <v>147193</v>
      </c>
      <c r="T15" s="22">
        <v>150020</v>
      </c>
      <c r="U15" s="22"/>
      <c r="W15" s="6" t="s">
        <v>129</v>
      </c>
      <c r="X15" s="22">
        <v>273869</v>
      </c>
      <c r="Y15" s="22">
        <v>275905</v>
      </c>
      <c r="Z15" s="22">
        <v>257275</v>
      </c>
      <c r="AA15" s="22">
        <v>264811</v>
      </c>
      <c r="AB15" s="22">
        <v>266211</v>
      </c>
      <c r="AC15" s="22"/>
      <c r="AE15" s="6" t="s">
        <v>129</v>
      </c>
      <c r="AF15" s="22">
        <v>200162</v>
      </c>
      <c r="AG15" s="22">
        <v>206563</v>
      </c>
      <c r="AH15" s="22">
        <v>211338</v>
      </c>
      <c r="AI15" s="22">
        <v>207682</v>
      </c>
      <c r="AJ15" s="22">
        <v>208035</v>
      </c>
    </row>
    <row r="16" spans="1:36" x14ac:dyDescent="0.3">
      <c r="A16" s="1" t="s">
        <v>28</v>
      </c>
      <c r="B16" s="9">
        <v>0</v>
      </c>
      <c r="C16" s="9">
        <v>3325</v>
      </c>
      <c r="D16" s="9">
        <v>3123</v>
      </c>
      <c r="E16" s="9">
        <v>2177</v>
      </c>
      <c r="F16" s="9">
        <v>2270</v>
      </c>
      <c r="H16" s="1" t="s">
        <v>28</v>
      </c>
      <c r="I16" s="9">
        <v>1796</v>
      </c>
      <c r="J16" s="9">
        <v>3055</v>
      </c>
      <c r="K16" s="9">
        <v>2388</v>
      </c>
      <c r="L16" s="9">
        <v>2057</v>
      </c>
      <c r="M16" s="9">
        <v>2247</v>
      </c>
      <c r="O16" s="1" t="s">
        <v>28</v>
      </c>
      <c r="P16" s="9">
        <v>0</v>
      </c>
      <c r="Q16" s="9">
        <v>0</v>
      </c>
      <c r="R16" s="9">
        <v>0</v>
      </c>
      <c r="S16" s="9">
        <v>0</v>
      </c>
      <c r="T16" s="9">
        <v>0</v>
      </c>
      <c r="U16" s="9"/>
      <c r="V16" s="1"/>
      <c r="W16" s="1" t="s">
        <v>28</v>
      </c>
      <c r="X16" s="9">
        <v>0</v>
      </c>
      <c r="Y16" s="9">
        <v>0</v>
      </c>
      <c r="Z16" s="9">
        <v>0</v>
      </c>
      <c r="AA16" s="9">
        <v>0</v>
      </c>
      <c r="AB16" s="9">
        <v>0</v>
      </c>
      <c r="AC16" s="9"/>
      <c r="AE16" s="1" t="s">
        <v>28</v>
      </c>
      <c r="AF16" s="9">
        <v>2527</v>
      </c>
      <c r="AG16" s="9">
        <v>2567</v>
      </c>
      <c r="AH16" s="9">
        <v>1884</v>
      </c>
      <c r="AI16" s="9">
        <v>1678</v>
      </c>
      <c r="AJ16" s="9">
        <v>1607</v>
      </c>
    </row>
    <row r="17" spans="1:36" x14ac:dyDescent="0.3">
      <c r="A17" s="6" t="s">
        <v>29</v>
      </c>
      <c r="B17" s="22">
        <v>52008</v>
      </c>
      <c r="C17" s="22">
        <v>170768</v>
      </c>
      <c r="D17" s="22">
        <v>33108</v>
      </c>
      <c r="E17" s="22">
        <v>36458</v>
      </c>
      <c r="F17" s="22">
        <v>31168</v>
      </c>
      <c r="G17" s="6"/>
      <c r="H17" s="6" t="s">
        <v>29</v>
      </c>
      <c r="I17" s="22">
        <v>54594</v>
      </c>
      <c r="J17" s="22">
        <v>36728</v>
      </c>
      <c r="K17" s="22">
        <v>37857</v>
      </c>
      <c r="L17" s="22">
        <v>36814</v>
      </c>
      <c r="M17" s="22">
        <v>40523</v>
      </c>
      <c r="O17" s="6" t="s">
        <v>29</v>
      </c>
      <c r="P17" s="22">
        <v>3906</v>
      </c>
      <c r="Q17" s="22">
        <v>3566</v>
      </c>
      <c r="R17" s="22">
        <v>4017</v>
      </c>
      <c r="S17" s="22">
        <v>4132</v>
      </c>
      <c r="T17" s="22">
        <v>4233</v>
      </c>
      <c r="U17" s="22"/>
      <c r="V17" s="6"/>
      <c r="W17" s="6" t="s">
        <v>29</v>
      </c>
      <c r="X17" s="22">
        <v>26741</v>
      </c>
      <c r="Y17" s="22">
        <v>24807</v>
      </c>
      <c r="Z17" s="22">
        <v>21826</v>
      </c>
      <c r="AA17" s="22">
        <v>23987</v>
      </c>
      <c r="AB17" s="22">
        <v>26801</v>
      </c>
      <c r="AC17" s="22"/>
      <c r="AE17" s="6" t="s">
        <v>29</v>
      </c>
      <c r="AF17" s="22">
        <v>23885</v>
      </c>
      <c r="AG17" s="22">
        <v>20891</v>
      </c>
      <c r="AH17" s="22">
        <v>19067</v>
      </c>
      <c r="AI17" s="22">
        <v>19015</v>
      </c>
      <c r="AJ17" s="22">
        <v>18404</v>
      </c>
    </row>
    <row r="18" spans="1:36" x14ac:dyDescent="0.3">
      <c r="A18" s="1" t="s">
        <v>30</v>
      </c>
      <c r="B18" s="9">
        <v>127315</v>
      </c>
      <c r="C18" s="9">
        <v>121649</v>
      </c>
      <c r="D18" s="9">
        <v>127445</v>
      </c>
      <c r="E18" s="9">
        <v>128489</v>
      </c>
      <c r="F18" s="9">
        <v>128871</v>
      </c>
      <c r="H18" s="1" t="s">
        <v>30</v>
      </c>
      <c r="I18" s="9">
        <v>94833</v>
      </c>
      <c r="J18" s="9">
        <v>99696</v>
      </c>
      <c r="K18" s="9">
        <v>107434</v>
      </c>
      <c r="L18" s="9">
        <v>108310</v>
      </c>
      <c r="M18" s="9">
        <v>108522</v>
      </c>
      <c r="O18" s="1" t="s">
        <v>30</v>
      </c>
      <c r="P18" s="9">
        <v>34357</v>
      </c>
      <c r="Q18" s="9">
        <v>34310</v>
      </c>
      <c r="R18" s="9">
        <v>36039</v>
      </c>
      <c r="S18" s="9">
        <v>39520</v>
      </c>
      <c r="T18" s="9">
        <v>42913</v>
      </c>
      <c r="U18" s="9"/>
      <c r="V18" s="1"/>
      <c r="W18" s="1" t="s">
        <v>30</v>
      </c>
      <c r="X18" s="9">
        <v>51995</v>
      </c>
      <c r="Y18" s="9">
        <v>54047</v>
      </c>
      <c r="Z18" s="9">
        <v>55485</v>
      </c>
      <c r="AA18" s="9">
        <v>59686</v>
      </c>
      <c r="AB18" s="9">
        <v>62548</v>
      </c>
      <c r="AC18" s="9"/>
      <c r="AE18" s="1" t="s">
        <v>30</v>
      </c>
      <c r="AF18" s="9">
        <v>41175</v>
      </c>
      <c r="AG18" s="9">
        <v>39803</v>
      </c>
      <c r="AH18" s="9">
        <v>42086</v>
      </c>
      <c r="AI18" s="9">
        <v>40432</v>
      </c>
      <c r="AJ18" s="9">
        <v>38533</v>
      </c>
    </row>
    <row r="19" spans="1:36" x14ac:dyDescent="0.3">
      <c r="A19" s="1" t="s">
        <v>31</v>
      </c>
      <c r="B19" s="9">
        <v>49032</v>
      </c>
      <c r="C19" s="9">
        <v>39095</v>
      </c>
      <c r="D19" s="9">
        <v>42644</v>
      </c>
      <c r="E19" s="9">
        <v>35852</v>
      </c>
      <c r="F19" s="9">
        <v>35657</v>
      </c>
      <c r="H19" s="1" t="s">
        <v>31</v>
      </c>
      <c r="I19" s="9">
        <v>20658</v>
      </c>
      <c r="J19" s="9">
        <v>24833</v>
      </c>
      <c r="K19" s="9">
        <v>23977</v>
      </c>
      <c r="L19" s="9">
        <v>23453</v>
      </c>
      <c r="M19" s="9">
        <v>23374</v>
      </c>
      <c r="O19" s="1" t="s">
        <v>31</v>
      </c>
      <c r="P19" s="9">
        <v>8867</v>
      </c>
      <c r="Q19" s="9">
        <v>9461</v>
      </c>
      <c r="R19" s="9">
        <v>10555</v>
      </c>
      <c r="S19" s="9">
        <v>11214</v>
      </c>
      <c r="T19" s="9">
        <v>11687</v>
      </c>
      <c r="U19" s="9"/>
      <c r="V19" s="1"/>
      <c r="W19" s="1" t="s">
        <v>31</v>
      </c>
      <c r="X19" s="9">
        <v>11364</v>
      </c>
      <c r="Y19" s="9">
        <v>12455</v>
      </c>
      <c r="Z19" s="9">
        <v>12544</v>
      </c>
      <c r="AA19" s="9">
        <v>12437</v>
      </c>
      <c r="AB19" s="9">
        <v>11321</v>
      </c>
      <c r="AC19" s="9"/>
      <c r="AE19" s="1" t="s">
        <v>31</v>
      </c>
      <c r="AF19" s="9">
        <v>10196</v>
      </c>
      <c r="AG19" s="9">
        <v>11405</v>
      </c>
      <c r="AH19" s="9">
        <v>12275</v>
      </c>
      <c r="AI19" s="9">
        <v>10373</v>
      </c>
      <c r="AJ19" s="9">
        <v>8463</v>
      </c>
    </row>
    <row r="20" spans="1:36" x14ac:dyDescent="0.3">
      <c r="A20" s="6" t="s">
        <v>32</v>
      </c>
      <c r="B20" s="22">
        <v>63438</v>
      </c>
      <c r="C20" s="22">
        <v>106230</v>
      </c>
      <c r="D20" s="22">
        <v>56173</v>
      </c>
      <c r="E20" s="22">
        <v>51127</v>
      </c>
      <c r="F20" s="22">
        <v>46872</v>
      </c>
      <c r="G20" s="6"/>
      <c r="H20" s="6" t="s">
        <v>32</v>
      </c>
      <c r="I20" s="22">
        <v>39660</v>
      </c>
      <c r="J20" s="22">
        <v>47160</v>
      </c>
      <c r="K20" s="22">
        <v>50171</v>
      </c>
      <c r="L20" s="22">
        <v>53223</v>
      </c>
      <c r="M20" s="22">
        <v>64771</v>
      </c>
      <c r="O20" s="6" t="s">
        <v>32</v>
      </c>
      <c r="P20" s="22">
        <v>9875</v>
      </c>
      <c r="Q20" s="22">
        <v>12458</v>
      </c>
      <c r="R20" s="22">
        <v>12065</v>
      </c>
      <c r="S20" s="22">
        <v>13214</v>
      </c>
      <c r="T20" s="22">
        <v>13486</v>
      </c>
      <c r="U20" s="22"/>
      <c r="V20" s="6"/>
      <c r="W20" s="6" t="s">
        <v>32</v>
      </c>
      <c r="X20" s="22">
        <v>28796</v>
      </c>
      <c r="Y20" s="22">
        <v>29348</v>
      </c>
      <c r="Z20" s="22">
        <v>27887</v>
      </c>
      <c r="AA20" s="22">
        <v>40198</v>
      </c>
      <c r="AB20" s="22">
        <v>39581</v>
      </c>
      <c r="AC20" s="22"/>
      <c r="AE20" s="6" t="s">
        <v>32</v>
      </c>
      <c r="AF20" s="22">
        <v>21703</v>
      </c>
      <c r="AG20" s="22">
        <v>23499</v>
      </c>
      <c r="AH20" s="22">
        <v>24742</v>
      </c>
      <c r="AI20" s="22">
        <v>20928</v>
      </c>
      <c r="AJ20" s="22">
        <v>20174</v>
      </c>
    </row>
    <row r="21" spans="1:36" x14ac:dyDescent="0.3">
      <c r="A21" s="1" t="s">
        <v>33</v>
      </c>
      <c r="B21" s="9">
        <f>3470+153775</f>
        <v>157245</v>
      </c>
      <c r="C21" s="9">
        <f>24620+151011</f>
        <v>175631</v>
      </c>
      <c r="D21" s="9">
        <f>7467+128423</f>
        <v>135890</v>
      </c>
      <c r="E21" s="9">
        <f>9477+127854</f>
        <v>137331</v>
      </c>
      <c r="F21" s="9">
        <f>5089+118443</f>
        <v>123532</v>
      </c>
      <c r="H21" s="1" t="s">
        <v>33</v>
      </c>
      <c r="I21" s="9">
        <f>5889+123173</f>
        <v>129062</v>
      </c>
      <c r="J21" s="9">
        <f>7443+143425</f>
        <v>150868</v>
      </c>
      <c r="K21" s="9">
        <f>9963+140676</f>
        <v>150639</v>
      </c>
      <c r="L21" s="9">
        <f>12973+137701</f>
        <v>150674</v>
      </c>
      <c r="M21" s="9">
        <f>22633+121381</f>
        <v>144014</v>
      </c>
      <c r="O21" s="1" t="s">
        <v>33</v>
      </c>
      <c r="P21" s="9">
        <f>1008+81744</f>
        <v>82752</v>
      </c>
      <c r="Q21" s="9">
        <f>2997+88564</f>
        <v>91561</v>
      </c>
      <c r="R21" s="9">
        <f>1510+96093</f>
        <v>97603</v>
      </c>
      <c r="S21" s="9">
        <f>2000+95777</f>
        <v>97777</v>
      </c>
      <c r="T21" s="9">
        <f>1799+92134</f>
        <v>93933</v>
      </c>
      <c r="U21" s="9"/>
      <c r="V21" s="1"/>
      <c r="W21" s="1" t="s">
        <v>33</v>
      </c>
      <c r="X21" s="9">
        <f>3146+100614</f>
        <v>103760</v>
      </c>
      <c r="Y21" s="9">
        <f>2132+92718</f>
        <v>94850</v>
      </c>
      <c r="Z21" s="9">
        <f>1743+93068</f>
        <v>94811</v>
      </c>
      <c r="AA21" s="9">
        <f>2069+95021</f>
        <v>97090</v>
      </c>
      <c r="AB21" s="9">
        <f>4907+94186</f>
        <v>99093</v>
      </c>
      <c r="AC21" s="9"/>
      <c r="AE21" s="1" t="s">
        <v>33</v>
      </c>
      <c r="AF21" s="9">
        <f>4579+61830+4716</f>
        <v>71125</v>
      </c>
      <c r="AG21" s="9">
        <f>3378+2245+67076+1494</f>
        <v>74193</v>
      </c>
      <c r="AH21" s="9">
        <f>5164+65301+1495</f>
        <v>71960</v>
      </c>
      <c r="AI21" s="9">
        <f>3619+69903+1496</f>
        <v>75018</v>
      </c>
      <c r="AJ21" s="9">
        <f>4068+72700+1497</f>
        <v>78265</v>
      </c>
    </row>
    <row r="22" spans="1:36" x14ac:dyDescent="0.3">
      <c r="A22" s="1" t="s">
        <v>34</v>
      </c>
      <c r="B22" s="9">
        <v>179240</v>
      </c>
      <c r="C22" s="9">
        <v>183855</v>
      </c>
      <c r="D22" s="9">
        <v>106457</v>
      </c>
      <c r="E22" s="9">
        <v>117442</v>
      </c>
      <c r="F22" s="9">
        <v>118245</v>
      </c>
      <c r="H22" s="1" t="s">
        <v>34</v>
      </c>
      <c r="I22" s="9">
        <v>69272</v>
      </c>
      <c r="J22" s="9">
        <v>83200</v>
      </c>
      <c r="K22" s="9">
        <v>92463</v>
      </c>
      <c r="L22" s="9">
        <v>93799</v>
      </c>
      <c r="M22" s="9">
        <v>100575</v>
      </c>
      <c r="O22" s="1" t="s">
        <v>34</v>
      </c>
      <c r="P22" s="9">
        <v>30281</v>
      </c>
      <c r="Q22" s="9">
        <v>18156</v>
      </c>
      <c r="R22" s="9">
        <v>12549</v>
      </c>
      <c r="S22" s="9">
        <v>14718</v>
      </c>
      <c r="T22" s="9">
        <v>19707</v>
      </c>
      <c r="U22" s="9"/>
      <c r="V22" s="1"/>
      <c r="W22" s="1" t="s">
        <v>34</v>
      </c>
      <c r="X22" s="9">
        <v>91738</v>
      </c>
      <c r="Y22" s="9">
        <v>97490</v>
      </c>
      <c r="Z22" s="9">
        <v>81627</v>
      </c>
      <c r="AA22" s="9">
        <v>83226</v>
      </c>
      <c r="AB22" s="9">
        <v>86038</v>
      </c>
      <c r="AC22" s="9"/>
      <c r="AE22" s="1" t="s">
        <v>34</v>
      </c>
      <c r="AF22" s="9">
        <v>65344</v>
      </c>
      <c r="AG22" s="9">
        <v>69102</v>
      </c>
      <c r="AH22" s="9">
        <v>69656</v>
      </c>
      <c r="AI22" s="9">
        <v>64715</v>
      </c>
      <c r="AJ22" s="9">
        <v>61741</v>
      </c>
    </row>
    <row r="23" spans="1:36" x14ac:dyDescent="0.3">
      <c r="Q23" s="1"/>
      <c r="R23" s="1"/>
      <c r="S23" s="1"/>
      <c r="T23" s="1"/>
      <c r="U23" s="1"/>
      <c r="V23" s="1"/>
    </row>
    <row r="24" spans="1:36" x14ac:dyDescent="0.3">
      <c r="A24" s="6" t="s">
        <v>35</v>
      </c>
      <c r="H24" s="6" t="s">
        <v>35</v>
      </c>
      <c r="O24" s="6" t="s">
        <v>35</v>
      </c>
      <c r="Q24" s="1"/>
      <c r="R24" s="1"/>
      <c r="S24" s="1"/>
      <c r="T24" s="1"/>
      <c r="U24" s="1"/>
      <c r="V24" s="1"/>
      <c r="W24" s="6" t="s">
        <v>35</v>
      </c>
      <c r="AE24" s="6" t="s">
        <v>35</v>
      </c>
    </row>
    <row r="25" spans="1:36" x14ac:dyDescent="0.3">
      <c r="A25" s="1" t="s">
        <v>11</v>
      </c>
      <c r="B25" s="21" t="s">
        <v>12</v>
      </c>
      <c r="C25" s="21" t="s">
        <v>13</v>
      </c>
      <c r="D25" s="21" t="s">
        <v>14</v>
      </c>
      <c r="E25" s="21" t="s">
        <v>15</v>
      </c>
      <c r="F25" s="21" t="s">
        <v>16</v>
      </c>
      <c r="H25" s="1" t="s">
        <v>11</v>
      </c>
      <c r="I25" s="21" t="s">
        <v>12</v>
      </c>
      <c r="J25" s="21" t="s">
        <v>13</v>
      </c>
      <c r="K25" s="21" t="s">
        <v>14</v>
      </c>
      <c r="L25" s="21" t="s">
        <v>15</v>
      </c>
      <c r="M25" s="21" t="s">
        <v>16</v>
      </c>
      <c r="O25" s="1" t="s">
        <v>11</v>
      </c>
      <c r="P25" s="21" t="s">
        <v>12</v>
      </c>
      <c r="Q25" s="21" t="s">
        <v>13</v>
      </c>
      <c r="R25" s="21" t="s">
        <v>14</v>
      </c>
      <c r="S25" s="21" t="s">
        <v>15</v>
      </c>
      <c r="T25" s="21" t="s">
        <v>16</v>
      </c>
      <c r="U25" s="21"/>
      <c r="V25" s="1"/>
      <c r="W25" s="1" t="s">
        <v>11</v>
      </c>
      <c r="X25" s="21" t="s">
        <v>12</v>
      </c>
      <c r="Y25" s="21" t="s">
        <v>13</v>
      </c>
      <c r="Z25" s="21" t="s">
        <v>14</v>
      </c>
      <c r="AA25" s="21" t="s">
        <v>15</v>
      </c>
      <c r="AB25" s="21" t="s">
        <v>16</v>
      </c>
      <c r="AC25" s="21"/>
      <c r="AE25" s="1" t="s">
        <v>11</v>
      </c>
      <c r="AF25" s="21" t="s">
        <v>12</v>
      </c>
      <c r="AG25" s="21" t="s">
        <v>13</v>
      </c>
      <c r="AH25" s="21" t="s">
        <v>14</v>
      </c>
      <c r="AI25" s="21" t="s">
        <v>15</v>
      </c>
      <c r="AJ25" s="21" t="s">
        <v>16</v>
      </c>
    </row>
    <row r="26" spans="1:36" x14ac:dyDescent="0.3">
      <c r="A26" s="1" t="s">
        <v>36</v>
      </c>
      <c r="B26" s="9">
        <v>43130</v>
      </c>
      <c r="C26" s="9">
        <v>37170</v>
      </c>
      <c r="D26" s="9">
        <v>35812</v>
      </c>
      <c r="E26" s="9">
        <v>38314</v>
      </c>
      <c r="F26" s="9">
        <v>38771</v>
      </c>
      <c r="H26" s="1" t="s">
        <v>36</v>
      </c>
      <c r="I26" s="9">
        <v>41768</v>
      </c>
      <c r="J26" s="9">
        <v>39539</v>
      </c>
      <c r="K26" s="9">
        <v>37141</v>
      </c>
      <c r="L26" s="9">
        <v>37475</v>
      </c>
      <c r="M26" s="9">
        <v>36912</v>
      </c>
      <c r="O26" s="1" t="s">
        <v>36</v>
      </c>
      <c r="P26" s="9">
        <v>14562</v>
      </c>
      <c r="Q26" s="9">
        <v>16239</v>
      </c>
      <c r="R26" s="9">
        <v>14925</v>
      </c>
      <c r="S26" s="9">
        <v>14433</v>
      </c>
      <c r="T26" s="9">
        <v>14430</v>
      </c>
      <c r="U26" s="9"/>
      <c r="V26" s="1"/>
      <c r="W26" s="1" t="s">
        <v>36</v>
      </c>
      <c r="X26" s="9">
        <v>24737</v>
      </c>
      <c r="Y26" s="9">
        <v>29146</v>
      </c>
      <c r="Z26" s="9">
        <v>26413</v>
      </c>
      <c r="AA26" s="9">
        <v>28501</v>
      </c>
      <c r="AB26" s="9">
        <v>27673</v>
      </c>
      <c r="AC26" s="9"/>
      <c r="AE26" s="1" t="s">
        <v>36</v>
      </c>
      <c r="AF26" s="9">
        <v>8640</v>
      </c>
      <c r="AG26" s="9">
        <v>13917</v>
      </c>
      <c r="AH26" s="9">
        <v>16781</v>
      </c>
      <c r="AI26" s="9">
        <v>18559</v>
      </c>
      <c r="AJ26" s="9">
        <v>22293</v>
      </c>
    </row>
    <row r="27" spans="1:36" x14ac:dyDescent="0.3">
      <c r="A27" s="1" t="s">
        <v>37</v>
      </c>
      <c r="B27" s="9">
        <v>15675</v>
      </c>
      <c r="C27" s="9">
        <v>15545</v>
      </c>
      <c r="D27" s="9">
        <v>19626</v>
      </c>
      <c r="E27" s="9">
        <v>17853</v>
      </c>
      <c r="F27" s="9">
        <v>20263</v>
      </c>
      <c r="H27" s="1" t="s">
        <v>37</v>
      </c>
      <c r="I27" s="9">
        <v>18192</v>
      </c>
      <c r="J27" s="9">
        <v>20286</v>
      </c>
      <c r="K27" s="9">
        <v>23087</v>
      </c>
      <c r="L27" s="9">
        <v>18767</v>
      </c>
      <c r="M27" s="9">
        <v>17090</v>
      </c>
      <c r="O27" s="1" t="s">
        <v>37</v>
      </c>
      <c r="P27" s="9">
        <v>7415</v>
      </c>
      <c r="Q27" s="9">
        <v>7635</v>
      </c>
      <c r="R27" s="9">
        <v>9376</v>
      </c>
      <c r="S27" s="9">
        <v>11115</v>
      </c>
      <c r="T27" s="9">
        <v>11269</v>
      </c>
      <c r="U27" s="9"/>
      <c r="V27" s="1"/>
      <c r="W27" s="1" t="s">
        <v>37</v>
      </c>
      <c r="X27" s="9">
        <v>9179</v>
      </c>
      <c r="Y27" s="9">
        <v>9174</v>
      </c>
      <c r="Z27" s="9">
        <v>10626</v>
      </c>
      <c r="AA27" s="9">
        <v>12242</v>
      </c>
      <c r="AB27" s="9">
        <v>12181</v>
      </c>
      <c r="AC27" s="9"/>
      <c r="AE27" s="1" t="s">
        <v>37</v>
      </c>
      <c r="AF27" s="9">
        <v>11034</v>
      </c>
      <c r="AG27" s="9">
        <v>12326</v>
      </c>
      <c r="AH27" s="9">
        <v>13970</v>
      </c>
      <c r="AI27" s="9">
        <v>9801</v>
      </c>
      <c r="AJ27" s="9">
        <v>8840</v>
      </c>
    </row>
    <row r="28" spans="1:36" x14ac:dyDescent="0.3">
      <c r="A28" s="1" t="s">
        <v>38</v>
      </c>
      <c r="B28" s="9">
        <v>14956</v>
      </c>
      <c r="C28" s="9">
        <v>15068</v>
      </c>
      <c r="D28" s="9">
        <v>9859</v>
      </c>
      <c r="E28" s="9">
        <v>8136</v>
      </c>
      <c r="F28" s="9">
        <v>8208</v>
      </c>
      <c r="H28" s="1" t="s">
        <v>38</v>
      </c>
      <c r="I28" s="9">
        <v>10232</v>
      </c>
      <c r="J28" s="9">
        <v>10445</v>
      </c>
      <c r="K28" s="9">
        <v>10805</v>
      </c>
      <c r="L28" s="9">
        <v>11025</v>
      </c>
      <c r="M28" s="9">
        <v>11249</v>
      </c>
      <c r="O28" s="1" t="s">
        <v>38</v>
      </c>
      <c r="P28" s="9">
        <v>0</v>
      </c>
      <c r="Q28" s="9">
        <v>0</v>
      </c>
      <c r="R28" s="9">
        <v>0</v>
      </c>
      <c r="S28" s="9">
        <v>0</v>
      </c>
      <c r="T28" s="9">
        <v>0</v>
      </c>
      <c r="U28" s="9"/>
      <c r="V28" s="1"/>
      <c r="W28" s="1" t="s">
        <v>38</v>
      </c>
      <c r="X28" s="9">
        <v>4140</v>
      </c>
      <c r="Y28" s="9">
        <v>4532</v>
      </c>
      <c r="Z28" s="9">
        <v>4741</v>
      </c>
      <c r="AA28" s="9">
        <v>4766</v>
      </c>
      <c r="AB28" s="9">
        <v>4814</v>
      </c>
      <c r="AC28" s="9"/>
      <c r="AE28" s="1" t="s">
        <v>38</v>
      </c>
      <c r="AF28" s="9">
        <v>0</v>
      </c>
      <c r="AG28" s="9">
        <v>0</v>
      </c>
      <c r="AH28" s="9">
        <v>0</v>
      </c>
      <c r="AI28" s="9">
        <v>0</v>
      </c>
      <c r="AJ28" s="9">
        <v>0</v>
      </c>
    </row>
    <row r="29" spans="1:36" x14ac:dyDescent="0.3">
      <c r="A29" s="1" t="s">
        <v>39</v>
      </c>
      <c r="B29" s="9">
        <f>9467+39964</f>
        <v>49431</v>
      </c>
      <c r="C29" s="9">
        <f>7510+3039</f>
        <v>10549</v>
      </c>
      <c r="D29" s="9">
        <f>18345+25118</f>
        <v>43463</v>
      </c>
      <c r="E29" s="9">
        <f>3415+12044</f>
        <v>15459</v>
      </c>
      <c r="F29" s="9">
        <f>2487+10297</f>
        <v>12784</v>
      </c>
      <c r="H29" s="1" t="s">
        <v>39</v>
      </c>
      <c r="I29" s="9">
        <f>9775+7413</f>
        <v>17188</v>
      </c>
      <c r="J29" s="9">
        <f>14063+4800</f>
        <v>18863</v>
      </c>
      <c r="K29" s="9">
        <f>8616+4948</f>
        <v>13564</v>
      </c>
      <c r="L29" s="9">
        <f>6181+4443</f>
        <v>10624</v>
      </c>
      <c r="M29" s="9">
        <f>11854+8490</f>
        <v>20344</v>
      </c>
      <c r="O29" s="1" t="s">
        <v>39</v>
      </c>
      <c r="P29" s="9">
        <f>12094+125</f>
        <v>12219</v>
      </c>
      <c r="Q29" s="9">
        <v>12146</v>
      </c>
      <c r="R29" s="9">
        <v>19311</v>
      </c>
      <c r="S29" s="9">
        <v>21938</v>
      </c>
      <c r="T29" s="9">
        <v>29660</v>
      </c>
      <c r="U29" s="9"/>
      <c r="V29" s="1"/>
      <c r="W29" s="1" t="s">
        <v>39</v>
      </c>
      <c r="X29" s="9">
        <v>18777</v>
      </c>
      <c r="Y29" s="9">
        <v>11498</v>
      </c>
      <c r="Z29" s="9">
        <v>2307</v>
      </c>
      <c r="AA29" s="9">
        <f>660+4015</f>
        <v>4675</v>
      </c>
      <c r="AB29" s="9">
        <v>3573</v>
      </c>
      <c r="AC29" s="9"/>
      <c r="AE29" s="1" t="s">
        <v>39</v>
      </c>
      <c r="AF29" s="9">
        <f>481+20416+18929+82</f>
        <v>39908</v>
      </c>
      <c r="AG29" s="9">
        <f>184+11100+116</f>
        <v>11400</v>
      </c>
      <c r="AH29" s="9">
        <f>5556</f>
        <v>5556</v>
      </c>
      <c r="AI29" s="9">
        <v>5051</v>
      </c>
      <c r="AJ29" s="9">
        <v>5073</v>
      </c>
    </row>
    <row r="32" spans="1:36" x14ac:dyDescent="0.3">
      <c r="O32" s="1" t="s">
        <v>11</v>
      </c>
      <c r="P32" s="3" t="s">
        <v>12</v>
      </c>
      <c r="Q32" s="3" t="s">
        <v>13</v>
      </c>
      <c r="R32" s="3" t="s">
        <v>14</v>
      </c>
      <c r="S32" s="3" t="s">
        <v>15</v>
      </c>
      <c r="T32" s="3" t="s">
        <v>16</v>
      </c>
      <c r="U32" s="1"/>
      <c r="W32" s="1" t="s">
        <v>11</v>
      </c>
      <c r="X32" s="3" t="s">
        <v>12</v>
      </c>
      <c r="Y32" s="3" t="s">
        <v>13</v>
      </c>
      <c r="Z32" s="3" t="s">
        <v>14</v>
      </c>
      <c r="AA32" s="3" t="s">
        <v>15</v>
      </c>
      <c r="AB32" s="3" t="s">
        <v>16</v>
      </c>
      <c r="AE32" s="1" t="s">
        <v>11</v>
      </c>
      <c r="AF32" s="3" t="s">
        <v>12</v>
      </c>
      <c r="AG32" s="3" t="s">
        <v>13</v>
      </c>
      <c r="AH32" s="3" t="s">
        <v>14</v>
      </c>
      <c r="AI32" s="3" t="s">
        <v>15</v>
      </c>
      <c r="AJ32" s="3" t="s">
        <v>16</v>
      </c>
    </row>
    <row r="33" spans="15:37" x14ac:dyDescent="0.3">
      <c r="O33" s="1" t="s">
        <v>17</v>
      </c>
      <c r="P33" s="59">
        <f>P3</f>
        <v>48097</v>
      </c>
      <c r="Q33" s="59">
        <f t="shared" ref="Q33:T33" si="10">Q3</f>
        <v>51682</v>
      </c>
      <c r="R33" s="59">
        <f t="shared" si="10"/>
        <v>54022</v>
      </c>
      <c r="S33" s="59">
        <f t="shared" si="10"/>
        <v>54607</v>
      </c>
      <c r="T33" s="59">
        <f t="shared" si="10"/>
        <v>55085</v>
      </c>
      <c r="W33" s="1" t="s">
        <v>17</v>
      </c>
      <c r="X33" s="59">
        <f>X3</f>
        <v>103564</v>
      </c>
      <c r="Y33" s="59">
        <f t="shared" ref="Y33:AB33" si="11">Y3</f>
        <v>116385</v>
      </c>
      <c r="Z33" s="59">
        <f t="shared" si="11"/>
        <v>121427</v>
      </c>
      <c r="AA33" s="59">
        <f t="shared" si="11"/>
        <v>121572</v>
      </c>
      <c r="AB33" s="59">
        <f t="shared" si="11"/>
        <v>123731</v>
      </c>
      <c r="AC33" s="3"/>
      <c r="AE33" s="1" t="s">
        <v>17</v>
      </c>
      <c r="AF33" s="59">
        <f>AF3</f>
        <v>68397</v>
      </c>
      <c r="AG33" s="59">
        <f t="shared" ref="AG33:AJ33" si="12">AG3</f>
        <v>80118</v>
      </c>
      <c r="AH33" s="59">
        <f t="shared" si="12"/>
        <v>79571</v>
      </c>
      <c r="AI33" s="59">
        <f t="shared" si="12"/>
        <v>78558</v>
      </c>
      <c r="AJ33" s="59">
        <f t="shared" si="12"/>
        <v>81400</v>
      </c>
      <c r="AK33" s="3"/>
    </row>
    <row r="34" spans="15:37" x14ac:dyDescent="0.3">
      <c r="O34" s="1" t="s">
        <v>118</v>
      </c>
      <c r="P34" s="59">
        <f>P6</f>
        <v>17854</v>
      </c>
      <c r="Q34" s="59">
        <f t="shared" ref="Q34:T34" si="13">Q6</f>
        <v>19770</v>
      </c>
      <c r="R34" s="59">
        <f t="shared" si="13"/>
        <v>20921</v>
      </c>
      <c r="S34" s="59">
        <f t="shared" si="13"/>
        <v>20738</v>
      </c>
      <c r="T34" s="59">
        <f t="shared" si="13"/>
        <v>21404</v>
      </c>
      <c r="W34" s="1" t="s">
        <v>118</v>
      </c>
      <c r="X34" s="59">
        <f>X6</f>
        <v>31753</v>
      </c>
      <c r="Y34" s="59">
        <f t="shared" ref="Y34:AB34" si="14">Y6</f>
        <v>37178</v>
      </c>
      <c r="Z34" s="59">
        <f t="shared" si="14"/>
        <v>27002</v>
      </c>
      <c r="AA34" s="59">
        <f t="shared" si="14"/>
        <v>27938</v>
      </c>
      <c r="AB34" s="59">
        <f t="shared" si="14"/>
        <v>37608</v>
      </c>
      <c r="AC34" s="3"/>
      <c r="AE34" s="1" t="s">
        <v>118</v>
      </c>
      <c r="AF34" s="59">
        <f>AF6</f>
        <v>20411</v>
      </c>
      <c r="AG34" s="59">
        <f t="shared" ref="AG34:AJ34" si="15">AG6</f>
        <v>23076</v>
      </c>
      <c r="AH34" s="59">
        <f t="shared" si="15"/>
        <v>20161</v>
      </c>
      <c r="AI34" s="59">
        <f t="shared" si="15"/>
        <v>27152</v>
      </c>
      <c r="AJ34" s="59">
        <f t="shared" si="15"/>
        <v>31042</v>
      </c>
      <c r="AK34" s="3"/>
    </row>
    <row r="35" spans="15:37" x14ac:dyDescent="0.3">
      <c r="O35" s="1" t="s">
        <v>95</v>
      </c>
      <c r="P35" s="59">
        <f>P10</f>
        <v>3676</v>
      </c>
      <c r="Q35" s="59">
        <f t="shared" ref="Q35:T35" si="16">Q10</f>
        <v>5320</v>
      </c>
      <c r="R35" s="59">
        <f t="shared" si="16"/>
        <v>5849</v>
      </c>
      <c r="S35" s="59">
        <f t="shared" si="16"/>
        <v>5261</v>
      </c>
      <c r="T35" s="59">
        <f t="shared" si="16"/>
        <v>5853</v>
      </c>
      <c r="W35" s="1" t="s">
        <v>95</v>
      </c>
      <c r="X35" s="59">
        <f>X10</f>
        <v>10701</v>
      </c>
      <c r="Y35" s="59">
        <f t="shared" ref="Y35:AB35" si="17">Y10</f>
        <v>13834</v>
      </c>
      <c r="Z35" s="59">
        <f t="shared" si="17"/>
        <v>4926</v>
      </c>
      <c r="AA35" s="59">
        <f t="shared" si="17"/>
        <v>4144</v>
      </c>
      <c r="AB35" s="59">
        <f t="shared" si="17"/>
        <v>15877</v>
      </c>
      <c r="AC35" s="3"/>
      <c r="AE35" s="1" t="s">
        <v>95</v>
      </c>
      <c r="AF35" s="59">
        <f>AF10</f>
        <v>2744</v>
      </c>
      <c r="AG35" s="59">
        <f t="shared" ref="AG35:AJ35" si="18">AG10</f>
        <v>3024</v>
      </c>
      <c r="AH35" s="59">
        <f t="shared" si="18"/>
        <v>2590</v>
      </c>
      <c r="AI35" s="59">
        <f t="shared" si="18"/>
        <v>8317</v>
      </c>
      <c r="AJ35" s="59">
        <f t="shared" si="18"/>
        <v>11339</v>
      </c>
      <c r="AK35" s="3"/>
    </row>
    <row r="36" spans="15:37" x14ac:dyDescent="0.3">
      <c r="Y36" s="3"/>
      <c r="Z36" s="3"/>
      <c r="AA36" s="3"/>
      <c r="AB36" s="3"/>
      <c r="AC36" s="3"/>
      <c r="AG36" s="3"/>
      <c r="AH36" s="3"/>
      <c r="AI36" s="3"/>
      <c r="AJ36" s="3"/>
      <c r="AK36" s="3"/>
    </row>
    <row r="37" spans="15:37" x14ac:dyDescent="0.3">
      <c r="O37" s="1" t="s">
        <v>11</v>
      </c>
      <c r="P37" s="3" t="s">
        <v>47</v>
      </c>
      <c r="Q37" s="3" t="s">
        <v>48</v>
      </c>
      <c r="R37" s="3" t="s">
        <v>49</v>
      </c>
      <c r="S37" s="3" t="s">
        <v>50</v>
      </c>
      <c r="T37" s="3" t="s">
        <v>51</v>
      </c>
      <c r="U37" s="3" t="s">
        <v>52</v>
      </c>
      <c r="W37" s="1" t="s">
        <v>11</v>
      </c>
      <c r="X37" s="3" t="s">
        <v>47</v>
      </c>
      <c r="Y37" s="3" t="s">
        <v>48</v>
      </c>
      <c r="Z37" s="3" t="s">
        <v>49</v>
      </c>
      <c r="AA37" s="3" t="s">
        <v>50</v>
      </c>
      <c r="AB37" s="3" t="s">
        <v>51</v>
      </c>
      <c r="AC37" s="3" t="s">
        <v>52</v>
      </c>
      <c r="AE37" s="1" t="s">
        <v>11</v>
      </c>
      <c r="AF37" s="3" t="s">
        <v>47</v>
      </c>
      <c r="AG37" s="3" t="s">
        <v>48</v>
      </c>
      <c r="AH37" s="3" t="s">
        <v>49</v>
      </c>
      <c r="AI37" s="3" t="s">
        <v>50</v>
      </c>
      <c r="AJ37" s="3" t="s">
        <v>51</v>
      </c>
      <c r="AK37" s="3" t="s">
        <v>52</v>
      </c>
    </row>
    <row r="38" spans="15:37" x14ac:dyDescent="0.3">
      <c r="O38" s="1" t="s">
        <v>17</v>
      </c>
      <c r="P38" s="59">
        <f>DCF!R3</f>
        <v>56599.999429497249</v>
      </c>
      <c r="Q38" s="59">
        <f>DCF!S3</f>
        <v>58156.665796842863</v>
      </c>
      <c r="R38" s="59">
        <f>DCF!T3</f>
        <v>59756.14506531303</v>
      </c>
      <c r="S38" s="59">
        <f>DCF!U3</f>
        <v>61399.614715542753</v>
      </c>
      <c r="T38" s="59">
        <f>DCF!V3</f>
        <v>63088.284612345844</v>
      </c>
      <c r="U38" s="59">
        <f>DCF!W3</f>
        <v>64823.397895375056</v>
      </c>
      <c r="W38" s="1" t="s">
        <v>17</v>
      </c>
      <c r="X38" s="59">
        <f>DCF!Z3</f>
        <v>128213.11871881719</v>
      </c>
      <c r="Y38" s="59">
        <f>DCF!AA3</f>
        <v>132857.60085674172</v>
      </c>
      <c r="Z38" s="59">
        <f>DCF!AB3</f>
        <v>137670.32798039823</v>
      </c>
      <c r="AA38" s="59">
        <f>DCF!AC3</f>
        <v>142657.39471441513</v>
      </c>
      <c r="AB38" s="59">
        <f>DCF!AD3</f>
        <v>147825.11645938747</v>
      </c>
      <c r="AC38" s="59">
        <f>DCF!AE3</f>
        <v>153180.03738942079</v>
      </c>
      <c r="AE38" s="1" t="s">
        <v>17</v>
      </c>
      <c r="AF38" s="59">
        <f>DCF!AH3</f>
        <v>84283.366705225242</v>
      </c>
      <c r="AG38" s="59">
        <f>DCF!AI3</f>
        <v>87268.868589280974</v>
      </c>
      <c r="AH38" s="59">
        <f>DCF!AJ3</f>
        <v>90360.123504428513</v>
      </c>
      <c r="AI38" s="59">
        <f>DCF!AK3</f>
        <v>93560.877455198904</v>
      </c>
      <c r="AJ38" s="59">
        <f>DCF!AL3</f>
        <v>96875.009137827656</v>
      </c>
      <c r="AK38" s="59">
        <f>DCF!AM3</f>
        <v>100306.53464048618</v>
      </c>
    </row>
    <row r="39" spans="15:37" x14ac:dyDescent="0.3">
      <c r="O39" s="1" t="s">
        <v>118</v>
      </c>
      <c r="P39" s="59">
        <f>DCF!R4</f>
        <v>21628.218368449219</v>
      </c>
      <c r="Q39" s="59">
        <f>DCF!S4</f>
        <v>22223.057952532774</v>
      </c>
      <c r="R39" s="59">
        <f>DCF!T4</f>
        <v>22834.257373786681</v>
      </c>
      <c r="S39" s="59">
        <f>DCF!U4</f>
        <v>23462.26657582499</v>
      </c>
      <c r="T39" s="59">
        <f>DCF!V4</f>
        <v>24107.547877033798</v>
      </c>
      <c r="U39" s="59">
        <f>DCF!W4</f>
        <v>24770.576310913872</v>
      </c>
      <c r="W39" s="1" t="s">
        <v>118</v>
      </c>
      <c r="X39" s="59">
        <f>DCF!Z4</f>
        <v>35289.700496516627</v>
      </c>
      <c r="Y39" s="59">
        <f>DCF!AA4</f>
        <v>36568.059413658564</v>
      </c>
      <c r="Z39" s="59">
        <f>DCF!AB4</f>
        <v>37892.726502817939</v>
      </c>
      <c r="AA39" s="59">
        <f>DCF!AC4</f>
        <v>39265.379263769522</v>
      </c>
      <c r="AB39" s="59">
        <f>DCF!AD4</f>
        <v>40687.755963219119</v>
      </c>
      <c r="AC39" s="59">
        <f>DCF!AE4</f>
        <v>42161.657836067556</v>
      </c>
      <c r="AE39" s="1" t="s">
        <v>118</v>
      </c>
      <c r="AF39" s="59">
        <f>DCF!AH4</f>
        <v>26464.148308176533</v>
      </c>
      <c r="AG39" s="59">
        <f>DCF!AI4</f>
        <v>27401.566540534506</v>
      </c>
      <c r="AH39" s="59">
        <f>DCF!AJ4</f>
        <v>28372.190184686733</v>
      </c>
      <c r="AI39" s="59">
        <f>DCF!AK4</f>
        <v>29377.19544921799</v>
      </c>
      <c r="AJ39" s="59">
        <f>DCF!AL4</f>
        <v>30417.80020660337</v>
      </c>
      <c r="AK39" s="59">
        <f>DCF!AM4</f>
        <v>31495.265469034741</v>
      </c>
    </row>
    <row r="40" spans="15:37" x14ac:dyDescent="0.3">
      <c r="O40" s="1" t="s">
        <v>24</v>
      </c>
      <c r="P40" s="59">
        <f>DCF!R5</f>
        <v>16653.728143705899</v>
      </c>
      <c r="Q40" s="59">
        <f>DCF!S5</f>
        <v>17111.754623450237</v>
      </c>
      <c r="R40" s="59">
        <f>DCF!T5</f>
        <v>17582.378177815743</v>
      </c>
      <c r="S40" s="59">
        <f>DCF!U5</f>
        <v>18065.945263385242</v>
      </c>
      <c r="T40" s="59">
        <f>DCF!V5</f>
        <v>18562.811865316024</v>
      </c>
      <c r="U40" s="59">
        <f>DCF!W5</f>
        <v>19073.34375940368</v>
      </c>
      <c r="W40" s="1" t="s">
        <v>24</v>
      </c>
      <c r="X40" s="59">
        <f>DCF!Z5</f>
        <v>27173.069382317804</v>
      </c>
      <c r="Y40" s="59">
        <f>DCF!AA5</f>
        <v>28157.405748517096</v>
      </c>
      <c r="Z40" s="59">
        <f>DCF!AB5</f>
        <v>29177.399407169814</v>
      </c>
      <c r="AA40" s="59">
        <f>DCF!AC5</f>
        <v>30234.342033102534</v>
      </c>
      <c r="AB40" s="59">
        <f>DCF!AD5</f>
        <v>31329.572091678721</v>
      </c>
      <c r="AC40" s="59">
        <f>DCF!AE5</f>
        <v>32464.47653377202</v>
      </c>
      <c r="AE40" s="1" t="s">
        <v>24</v>
      </c>
      <c r="AF40" s="59">
        <f>DCF!AH5</f>
        <v>20377.394197295929</v>
      </c>
      <c r="AG40" s="59">
        <f>DCF!AI5</f>
        <v>21099.206236211568</v>
      </c>
      <c r="AH40" s="59">
        <f>DCF!AJ5</f>
        <v>21846.586442208783</v>
      </c>
      <c r="AI40" s="59">
        <f>DCF!AK5</f>
        <v>22620.440495897852</v>
      </c>
      <c r="AJ40" s="59">
        <f>DCF!AL5</f>
        <v>23421.706159084595</v>
      </c>
      <c r="AK40" s="59">
        <f>DCF!AM5</f>
        <v>24251.35441115675</v>
      </c>
    </row>
  </sheetData>
  <pageMargins left="0.7" right="0.7" top="0.75" bottom="0.75" header="0.3" footer="0.3"/>
  <tableParts count="2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B9D2E-1E70-4708-8800-449B7E2DADB0}">
  <dimension ref="A1:N26"/>
  <sheetViews>
    <sheetView workbookViewId="0">
      <selection activeCell="H22" sqref="H22"/>
    </sheetView>
  </sheetViews>
  <sheetFormatPr defaultRowHeight="14.4" x14ac:dyDescent="0.3"/>
  <cols>
    <col min="1" max="1" width="27" bestFit="1" customWidth="1"/>
    <col min="2" max="3" width="10.88671875" bestFit="1" customWidth="1"/>
    <col min="4" max="6" width="10.88671875" style="89" bestFit="1" customWidth="1"/>
    <col min="8" max="8" width="13.109375" bestFit="1" customWidth="1"/>
    <col min="9" max="14" width="10.5546875" bestFit="1" customWidth="1"/>
  </cols>
  <sheetData>
    <row r="1" spans="1:14" x14ac:dyDescent="0.3">
      <c r="A1" s="6" t="s">
        <v>40</v>
      </c>
      <c r="B1" s="3"/>
      <c r="C1" s="3"/>
      <c r="D1" s="3"/>
      <c r="E1" s="3"/>
      <c r="F1" s="3"/>
      <c r="G1" s="1"/>
      <c r="H1" s="1"/>
      <c r="I1" s="1"/>
      <c r="J1" s="1"/>
      <c r="K1" s="1"/>
      <c r="L1" s="1"/>
      <c r="M1" s="1"/>
      <c r="N1" s="1" t="s">
        <v>41</v>
      </c>
    </row>
    <row r="2" spans="1:14" x14ac:dyDescent="0.3">
      <c r="A2" s="92" t="s">
        <v>42</v>
      </c>
      <c r="B2" s="93" t="str">
        <f>Relative!H13</f>
        <v>AT&amp;T</v>
      </c>
      <c r="C2" s="93" t="str">
        <f>Relative!H14</f>
        <v>Verizon</v>
      </c>
      <c r="D2" s="93" t="s">
        <v>121</v>
      </c>
      <c r="E2" s="93" t="s">
        <v>122</v>
      </c>
      <c r="F2" s="94" t="s">
        <v>123</v>
      </c>
      <c r="G2" s="1"/>
      <c r="H2" s="23" t="s">
        <v>99</v>
      </c>
      <c r="I2" s="24" t="s">
        <v>12</v>
      </c>
      <c r="J2" s="24" t="s">
        <v>13</v>
      </c>
      <c r="K2" s="24" t="s">
        <v>14</v>
      </c>
      <c r="L2" s="24" t="s">
        <v>15</v>
      </c>
      <c r="M2" s="25" t="s">
        <v>16</v>
      </c>
      <c r="N2" s="1"/>
    </row>
    <row r="3" spans="1:14" x14ac:dyDescent="0.3">
      <c r="A3" s="90" t="s">
        <v>43</v>
      </c>
      <c r="B3" s="91">
        <f>(Table1[[#This Row],[2024]]/Table1[[#This Row],[2020]])^(1/5)-1</f>
        <v>-6.5613728387193815E-2</v>
      </c>
      <c r="C3" s="91">
        <f>(Table18[[#This Row],[2024]]/Table18[[#This Row],[2020]])^(1/5)-1</f>
        <v>9.9278085192266996E-3</v>
      </c>
      <c r="D3" s="27">
        <f>(Table141[[#This Row],[2024]]/Table141[[#This Row],[2020]])^(1/5)-1</f>
        <v>2.7502939629613365E-2</v>
      </c>
      <c r="E3" s="27">
        <f>(Table1844[[#This Row],[2024]]/Table1844[[#This Row],[2020]])^(1/5)-1</f>
        <v>3.6224702934730901E-2</v>
      </c>
      <c r="F3" s="27">
        <f>(Table184447[[#This Row],[2024]]/Table184447[[#This Row],[2020]])^(1/5)-1</f>
        <v>3.5422195395887535E-2</v>
      </c>
      <c r="G3" s="1"/>
      <c r="H3" s="28" t="str">
        <f>Relative!H13</f>
        <v>AT&amp;T</v>
      </c>
      <c r="I3" s="29">
        <f>Financials!B17-Financials!B20</f>
        <v>-11430</v>
      </c>
      <c r="J3" s="29">
        <f>Financials!C17-Financials!C20</f>
        <v>64538</v>
      </c>
      <c r="K3" s="29">
        <f>Financials!D17-Financials!D20</f>
        <v>-23065</v>
      </c>
      <c r="L3" s="29">
        <f>Financials!E17-Financials!E20</f>
        <v>-14669</v>
      </c>
      <c r="M3" s="29">
        <f>Financials!F17-Financials!F20</f>
        <v>-15704</v>
      </c>
      <c r="N3" s="1"/>
    </row>
    <row r="4" spans="1:14" x14ac:dyDescent="0.3">
      <c r="A4" s="26" t="s">
        <v>44</v>
      </c>
      <c r="B4" s="27">
        <f>(AVERAGE(Financials!B6:F6)/AVERAGE(Financials!B3:F3))</f>
        <v>0.25915421203242051</v>
      </c>
      <c r="C4" s="27">
        <f>AVERAGE(Financials!I6:M6)/AVERAGE(Financials!I3:M3)</f>
        <v>0.34279597664126854</v>
      </c>
      <c r="D4" s="27">
        <f>AVERAGE(Financials!P6:T6)/AVERAGE(Financials!P3:T3)</f>
        <v>0.38212400329420521</v>
      </c>
      <c r="E4" s="27">
        <f>AVERAGE(Financials!X6:AB6)/AVERAGE(Financials!X3:AB3)</f>
        <v>0.27524250910634263</v>
      </c>
      <c r="F4" s="27">
        <f>AVERAGE(Financials!AF6:AJ6)/AVERAGE(Financials!AF3:AJ3)</f>
        <v>0.31399016606364227</v>
      </c>
      <c r="G4" s="1"/>
      <c r="H4" s="28" t="str">
        <f>Relative!H14</f>
        <v>Verizon</v>
      </c>
      <c r="I4" s="31">
        <f>Financials!I17-Financials!I20</f>
        <v>14934</v>
      </c>
      <c r="J4" s="31">
        <f>Financials!J17-Financials!J20</f>
        <v>-10432</v>
      </c>
      <c r="K4" s="31">
        <f>Financials!K17-Financials!K20</f>
        <v>-12314</v>
      </c>
      <c r="L4" s="31">
        <f>Financials!L17-Financials!L20</f>
        <v>-16409</v>
      </c>
      <c r="M4" s="31">
        <f>Financials!M17-Financials!M20</f>
        <v>-24248</v>
      </c>
      <c r="N4" s="1"/>
    </row>
    <row r="5" spans="1:14" x14ac:dyDescent="0.3">
      <c r="A5" s="26" t="s">
        <v>45</v>
      </c>
      <c r="B5" s="27">
        <f>AVERAGE(Financials!B7:F7)/AVERAGE(Financials!B3:F3)</f>
        <v>0.15454422220666375</v>
      </c>
      <c r="C5" s="27">
        <f>AVERAGE(Financials!I7:M7)/AVERAGE(Financials!I3:M3)</f>
        <v>0.12815092688860857</v>
      </c>
      <c r="D5" s="27">
        <f>AVERAGE(Financials!P7:T7)/AVERAGE(Financials!P3:T3)</f>
        <v>0.17200077421411578</v>
      </c>
      <c r="E5" s="27">
        <f>AVERAGE(Financials!X7:AB7)/AVERAGE(Financials!X3:AB3)</f>
        <v>0.11908045114960651</v>
      </c>
      <c r="F5" s="27">
        <f>AVERAGE(Financials!AF7:AJ7)/AVERAGE(Financials!AF3:AJ3)</f>
        <v>0.18019090618589642</v>
      </c>
      <c r="G5" s="1"/>
      <c r="H5" s="95" t="str">
        <f>Relative!H15</f>
        <v>Charter</v>
      </c>
      <c r="I5" s="78">
        <f>Financials!P17-Financials!P20</f>
        <v>-5969</v>
      </c>
      <c r="J5" s="78">
        <f>Financials!Q17-Financials!Q20</f>
        <v>-8892</v>
      </c>
      <c r="K5" s="78">
        <f>Financials!R17-Financials!R20</f>
        <v>-8048</v>
      </c>
      <c r="L5" s="78">
        <f>Financials!S17-Financials!S20</f>
        <v>-9082</v>
      </c>
      <c r="M5" s="78">
        <f>Financials!T17-Financials!T20</f>
        <v>-9253</v>
      </c>
      <c r="N5" s="1"/>
    </row>
    <row r="6" spans="1:14" x14ac:dyDescent="0.3">
      <c r="A6" s="26" t="s">
        <v>46</v>
      </c>
      <c r="B6" s="27">
        <f>AVERAGE(Financials!B27:F27)/AVERAGE(Financials!B3:F3)</f>
        <v>0.13252138006235634</v>
      </c>
      <c r="C6" s="27">
        <f>AVERAGE(Financials!I27:M27)/AVERAGE(Financials!I3:M3)</f>
        <v>0.14595012449400901</v>
      </c>
      <c r="D6" s="27">
        <f>AVERAGE(Financials!P27:T27)/AVERAGE(Financials!P3:T3)</f>
        <v>0.17765177822560752</v>
      </c>
      <c r="E6" s="27">
        <f>AVERAGE(Financials!X27:AB27)/AVERAGE(Financials!X3:AB3)</f>
        <v>9.1024222786225517E-2</v>
      </c>
      <c r="F6" s="27">
        <f>AVERAGE(Financials!AF27:AJ27)/AVERAGE(Financials!AF3:AJ3)</f>
        <v>0.1442387976621208</v>
      </c>
      <c r="G6" s="1"/>
      <c r="H6" s="95" t="str">
        <f>Relative!H16</f>
        <v>Comcast</v>
      </c>
      <c r="I6" s="78">
        <f>Financials!X17-Financials!X20</f>
        <v>-2055</v>
      </c>
      <c r="J6" s="78">
        <f>Financials!Y17-Financials!Y20</f>
        <v>-4541</v>
      </c>
      <c r="K6" s="78">
        <f>Financials!Z17-Financials!Z20</f>
        <v>-6061</v>
      </c>
      <c r="L6" s="78">
        <f>Financials!AA17-Financials!AA20</f>
        <v>-16211</v>
      </c>
      <c r="M6" s="78">
        <f>Financials!AB17-Financials!AB20</f>
        <v>-12780</v>
      </c>
    </row>
    <row r="7" spans="1:14" x14ac:dyDescent="0.3">
      <c r="A7" s="26" t="s">
        <v>53</v>
      </c>
      <c r="B7" s="27">
        <f>AVERAGE(K3:M3)/AVERAGE(Financials!D3:F3)</f>
        <v>-0.14620319831466055</v>
      </c>
      <c r="C7" s="27">
        <f>AVERAGE(J4:M4)/AVERAGE(Financials!J3:M3)</f>
        <v>-0.11758498544166465</v>
      </c>
      <c r="D7" s="27">
        <f>AVERAGE(I5:M5)/AVERAGE(Financials!P3:T3)</f>
        <v>-0.15652787740091767</v>
      </c>
      <c r="E7" s="27">
        <f>AVERAGE(I6:M6)/AVERAGE(Financials!X3:AB3)</f>
        <v>-7.0989416699762567E-2</v>
      </c>
      <c r="F7" s="27">
        <f>AVERAGE(Table19[[#This Row],[2020]:[2024]])/AVERAGE(Financials!AF3:AJ3)</f>
        <v>-2.5213635567100635E-2</v>
      </c>
      <c r="G7" s="1"/>
      <c r="H7" s="30" t="str">
        <f>Relative!H17</f>
        <v>T-Mobile</v>
      </c>
      <c r="I7" s="31">
        <f>Financials!AF17-Financials!AF20</f>
        <v>2182</v>
      </c>
      <c r="J7" s="31">
        <f>Financials!AG17-Financials!AG20</f>
        <v>-2608</v>
      </c>
      <c r="K7" s="31">
        <f>Financials!AH17-Financials!AH20</f>
        <v>-5675</v>
      </c>
      <c r="L7" s="31">
        <f>Financials!AI17-Financials!AI20</f>
        <v>-1913</v>
      </c>
      <c r="M7" s="31">
        <f>Financials!AJ17-Financials!AJ20</f>
        <v>-1770</v>
      </c>
    </row>
    <row r="8" spans="1:14" x14ac:dyDescent="0.3">
      <c r="A8" s="26" t="s">
        <v>54</v>
      </c>
      <c r="B8" s="33">
        <v>6</v>
      </c>
      <c r="C8" s="33">
        <v>6</v>
      </c>
      <c r="D8" s="33">
        <v>6</v>
      </c>
      <c r="E8" s="33">
        <v>6</v>
      </c>
      <c r="F8" s="33">
        <v>6</v>
      </c>
      <c r="G8" s="1"/>
    </row>
    <row r="9" spans="1:14" x14ac:dyDescent="0.3">
      <c r="A9" s="26" t="s">
        <v>55</v>
      </c>
      <c r="B9" s="27">
        <f ca="1">$H$20</f>
        <v>4.1056999999999996E-2</v>
      </c>
      <c r="C9" s="27">
        <f t="shared" ref="C9:F9" ca="1" si="0">$H$20</f>
        <v>4.1056999999999996E-2</v>
      </c>
      <c r="D9" s="27">
        <f t="shared" ca="1" si="0"/>
        <v>4.1056999999999996E-2</v>
      </c>
      <c r="E9" s="27">
        <f t="shared" ca="1" si="0"/>
        <v>4.1056999999999996E-2</v>
      </c>
      <c r="F9" s="27">
        <f t="shared" ca="1" si="0"/>
        <v>4.1056999999999996E-2</v>
      </c>
      <c r="G9" s="1"/>
      <c r="H9" s="1"/>
      <c r="I9" s="1"/>
      <c r="J9" s="1"/>
      <c r="K9" s="1"/>
      <c r="L9" s="1"/>
      <c r="M9" s="1"/>
      <c r="N9" s="1"/>
    </row>
    <row r="10" spans="1:14" x14ac:dyDescent="0.3">
      <c r="A10" s="26" t="s">
        <v>56</v>
      </c>
      <c r="B10" s="27">
        <v>4.8000000000000001E-2</v>
      </c>
      <c r="C10" s="27">
        <v>4.8000000000000001E-2</v>
      </c>
      <c r="D10" s="27">
        <v>4.8000000000000001E-2</v>
      </c>
      <c r="E10" s="27">
        <v>4.8000000000000001E-2</v>
      </c>
      <c r="F10" s="27">
        <v>4.8000000000000001E-2</v>
      </c>
      <c r="G10" s="1"/>
      <c r="H10" s="23" t="s">
        <v>100</v>
      </c>
      <c r="I10" s="24" t="s">
        <v>47</v>
      </c>
      <c r="J10" s="24" t="s">
        <v>48</v>
      </c>
      <c r="K10" s="24" t="s">
        <v>49</v>
      </c>
      <c r="L10" s="24" t="s">
        <v>50</v>
      </c>
      <c r="M10" s="24" t="s">
        <v>51</v>
      </c>
      <c r="N10" s="25" t="s">
        <v>52</v>
      </c>
    </row>
    <row r="11" spans="1:14" x14ac:dyDescent="0.3">
      <c r="A11" s="26" t="s">
        <v>7</v>
      </c>
      <c r="B11" s="35">
        <f ca="1">Profile!B9</f>
        <v>0.35470000000000002</v>
      </c>
      <c r="C11" s="35">
        <f ca="1">Profile!C9</f>
        <v>0.30480000000000002</v>
      </c>
      <c r="D11" s="35">
        <f ca="1">Profile!D9</f>
        <v>1.0825</v>
      </c>
      <c r="E11" s="35">
        <f ca="1">Profile!E9</f>
        <v>0.81969999999999998</v>
      </c>
      <c r="F11" s="35">
        <f ca="1">Profile!F9</f>
        <v>0.42809999999999998</v>
      </c>
      <c r="G11" s="1"/>
      <c r="H11" s="28" t="str">
        <f>H3</f>
        <v>AT&amp;T</v>
      </c>
      <c r="I11" s="32">
        <f>DCF!B3*'Assumptions &amp; WACC'!$B$7</f>
        <v>-16712.352935095303</v>
      </c>
      <c r="J11" s="32">
        <f>DCF!C3*'Assumptions &amp; WACC'!$B$7</f>
        <v>-15615.793148901039</v>
      </c>
      <c r="K11" s="32">
        <f>DCF!D3*'Assumptions &amp; WACC'!$B$7</f>
        <v>-14591.182738678444</v>
      </c>
      <c r="L11" s="32">
        <f>DCF!E3*'Assumptions &amp; WACC'!$B$7</f>
        <v>-13633.800837614886</v>
      </c>
      <c r="M11" s="32">
        <f>DCF!F3*'Assumptions &amp; WACC'!$B$7</f>
        <v>-12739.236332570528</v>
      </c>
      <c r="N11" s="32">
        <f>DCF!G3*'Assumptions &amp; WACC'!$B$7</f>
        <v>-11903.367539984974</v>
      </c>
    </row>
    <row r="12" spans="1:14" x14ac:dyDescent="0.3">
      <c r="A12" s="36" t="s">
        <v>57</v>
      </c>
      <c r="B12" s="37">
        <f ca="1">B9+(B10*B11)</f>
        <v>5.8082599999999998E-2</v>
      </c>
      <c r="C12" s="37">
        <f ca="1">C9+(C10*C11)</f>
        <v>5.5687399999999998E-2</v>
      </c>
      <c r="D12" s="37">
        <f t="shared" ref="D12:F12" ca="1" si="1">D9+(D10*D11)</f>
        <v>9.3016999999999989E-2</v>
      </c>
      <c r="E12" s="37">
        <f t="shared" ca="1" si="1"/>
        <v>8.0402599999999991E-2</v>
      </c>
      <c r="F12" s="37">
        <f t="shared" ca="1" si="1"/>
        <v>6.1605799999999995E-2</v>
      </c>
      <c r="G12" s="1"/>
      <c r="H12" s="30" t="str">
        <f>H4</f>
        <v>Verizon</v>
      </c>
      <c r="I12" s="34">
        <f>DCF!J3*'Assumptions &amp; WACC'!$C$7</f>
        <v>-16006.391301859534</v>
      </c>
      <c r="J12" s="34">
        <f>DCF!K3*'Assumptions &amp; WACC'!$C$7</f>
        <v>-16165.299689788213</v>
      </c>
      <c r="K12" s="34">
        <f>DCF!L3*'Assumptions &amp; WACC'!$C$7</f>
        <v>-16325.785689764345</v>
      </c>
      <c r="L12" s="34">
        <f>DCF!M3*'Assumptions &amp; WACC'!$C$7</f>
        <v>-16487.864964018256</v>
      </c>
      <c r="M12" s="34">
        <f>DCF!N3*'Assumptions &amp; WACC'!$C$7</f>
        <v>-16651.553330271898</v>
      </c>
      <c r="N12" s="34">
        <f>DCF!O3*'Assumptions &amp; WACC'!$C$7</f>
        <v>-16816.866763282527</v>
      </c>
    </row>
    <row r="13" spans="1:14" x14ac:dyDescent="0.3">
      <c r="A13" s="26" t="s">
        <v>58</v>
      </c>
      <c r="B13" s="27">
        <f>AVERAGE(Financials!B8:F8)/AVERAGE(Financials!B21:F21)</f>
        <v>4.6889583610300579E-2</v>
      </c>
      <c r="C13" s="27">
        <f>AVERAGE(Financials!I8:M8)/AVERAGE(Financials!I21:M21)</f>
        <v>3.2427125832635885E-2</v>
      </c>
      <c r="D13" s="27">
        <f>AVERAGE(Financials!P8:T8)/AVERAGE(Financials!P21:T21)</f>
        <v>4.9302670687148699E-2</v>
      </c>
      <c r="E13" s="27">
        <f>AVERAGE(Financials!X8:AB8)/AVERAGE(Financials!X21:AB21)</f>
        <v>4.286321190186354E-2</v>
      </c>
      <c r="F13" s="27">
        <f>AVERAGE(Financials!AF8:AJ8)/AVERAGE(Financials!AF21:AJ21)</f>
        <v>4.3668923605020497E-2</v>
      </c>
      <c r="G13" s="1"/>
      <c r="H13" s="95" t="str">
        <f t="shared" ref="H13:H15" si="2">H5</f>
        <v>Charter</v>
      </c>
      <c r="I13" s="74">
        <f>DCF!R3*'Assumptions &amp; WACC'!$D$7</f>
        <v>-8859.4777715923556</v>
      </c>
      <c r="J13" s="74">
        <f>DCF!S3*'Assumptions &amp; WACC'!$D$7</f>
        <v>-9103.1394538943623</v>
      </c>
      <c r="K13" s="74">
        <f>DCF!T3*'Assumptions &amp; WACC'!$D$7</f>
        <v>-9353.5025487347702</v>
      </c>
      <c r="L13" s="74">
        <f>DCF!U3*'Assumptions &amp; WACC'!$D$7</f>
        <v>-9610.7513646580574</v>
      </c>
      <c r="M13" s="74">
        <f>DCF!V3*'Assumptions &amp; WACC'!$D$7</f>
        <v>-9875.0752792354706</v>
      </c>
      <c r="N13" s="74">
        <f>DCF!W3*'Assumptions &amp; WACC'!$D$7</f>
        <v>-10146.668878478171</v>
      </c>
    </row>
    <row r="14" spans="1:14" x14ac:dyDescent="0.3">
      <c r="A14" s="26" t="s">
        <v>59</v>
      </c>
      <c r="B14" s="27">
        <v>0.23</v>
      </c>
      <c r="C14" s="27">
        <v>0.23</v>
      </c>
      <c r="D14" s="27">
        <v>0.23</v>
      </c>
      <c r="E14" s="27">
        <v>0.23</v>
      </c>
      <c r="F14" s="27">
        <v>0.23</v>
      </c>
      <c r="G14" s="1"/>
      <c r="H14" s="95" t="str">
        <f t="shared" si="2"/>
        <v>Comcast</v>
      </c>
      <c r="I14" s="74">
        <f>DCF!Z3*'Assumptions &amp; WACC'!$E$7</f>
        <v>-9101.7745111062413</v>
      </c>
      <c r="J14" s="74">
        <f>DCF!AA3*'Assumptions &amp; WACC'!$E$7</f>
        <v>-9431.48358894997</v>
      </c>
      <c r="K14" s="74">
        <f>DCF!AB3*'Assumptions &amp; WACC'!$E$7</f>
        <v>-9773.136280193472</v>
      </c>
      <c r="L14" s="74">
        <f>DCF!AC3*'Assumptions &amp; WACC'!$E$7</f>
        <v>-10127.165238684122</v>
      </c>
      <c r="M14" s="74">
        <f>DCF!AD3*'Assumptions &amp; WACC'!$E$7</f>
        <v>-10494.018791026387</v>
      </c>
      <c r="N14" s="74">
        <f>DCF!AE3*'Assumptions &amp; WACC'!$E$7</f>
        <v>-10874.161504322803</v>
      </c>
    </row>
    <row r="15" spans="1:14" x14ac:dyDescent="0.3">
      <c r="A15" s="36" t="s">
        <v>60</v>
      </c>
      <c r="B15" s="37">
        <f>B13*(1-B14)</f>
        <v>3.610497937993145E-2</v>
      </c>
      <c r="C15" s="37">
        <f>C13*(1-C14)</f>
        <v>2.4968886891129631E-2</v>
      </c>
      <c r="D15" s="37">
        <f t="shared" ref="D15:F15" si="3">D13*(1-D14)</f>
        <v>3.7963056429104497E-2</v>
      </c>
      <c r="E15" s="37">
        <f t="shared" si="3"/>
        <v>3.3004673164434929E-2</v>
      </c>
      <c r="F15" s="37">
        <f t="shared" si="3"/>
        <v>3.3625071175865787E-2</v>
      </c>
      <c r="G15" s="1"/>
      <c r="H15" s="30" t="str">
        <f t="shared" si="2"/>
        <v>T-Mobile</v>
      </c>
      <c r="I15" s="34">
        <f>DCF!AH3*'Assumptions &amp; WACC'!$F$7</f>
        <v>-2125.0900924738526</v>
      </c>
      <c r="J15" s="34">
        <f>DCF!AI3*'Assumptions &amp; WACC'!$F$7</f>
        <v>-2200.3654489633263</v>
      </c>
      <c r="K15" s="34">
        <f>DCF!AJ3*'Assumptions &amp; WACC'!$F$7</f>
        <v>-2278.307223838865</v>
      </c>
      <c r="L15" s="34">
        <f>DCF!AK3*'Assumptions &amp; WACC'!$F$7</f>
        <v>-2359.0098674935471</v>
      </c>
      <c r="M15" s="34">
        <f>DCF!AL3*'Assumptions &amp; WACC'!$F$7</f>
        <v>-2442.5711759607302</v>
      </c>
      <c r="N15" s="34">
        <f>DCF!AM3*'Assumptions &amp; WACC'!$F$7</f>
        <v>-2529.0924094239745</v>
      </c>
    </row>
    <row r="16" spans="1:14" x14ac:dyDescent="0.3">
      <c r="A16" s="26" t="s">
        <v>33</v>
      </c>
      <c r="B16" s="38">
        <f>Financials!F21</f>
        <v>123532</v>
      </c>
      <c r="C16" s="38">
        <f>Financials!M21</f>
        <v>144014</v>
      </c>
      <c r="D16" s="96">
        <f>Financials!T21</f>
        <v>93933</v>
      </c>
      <c r="E16" s="96">
        <f>Financials!AB21</f>
        <v>99093</v>
      </c>
      <c r="F16" s="96">
        <f>Financials!AJ21</f>
        <v>78265</v>
      </c>
      <c r="G16" s="1"/>
      <c r="H16" s="1"/>
      <c r="I16" s="1"/>
      <c r="J16" s="1"/>
      <c r="K16" s="1"/>
      <c r="L16" s="1"/>
      <c r="M16" s="1"/>
      <c r="N16" s="1"/>
    </row>
    <row r="17" spans="1:14" x14ac:dyDescent="0.3">
      <c r="A17" s="26" t="s">
        <v>6</v>
      </c>
      <c r="B17" s="38">
        <f ca="1">Profile!B8</f>
        <v>178618.69274999999</v>
      </c>
      <c r="C17" s="38">
        <f ca="1">Profile!C8</f>
        <v>173336.388465</v>
      </c>
      <c r="D17" s="38">
        <f ca="1">Profile!D8</f>
        <v>25249.068034</v>
      </c>
      <c r="E17" s="38">
        <f ca="1">Profile!E8</f>
        <v>98038.994974999994</v>
      </c>
      <c r="F17" s="38">
        <f ca="1">Profile!F8</f>
        <v>235770.09052999999</v>
      </c>
      <c r="G17" s="1"/>
      <c r="H17" s="1"/>
      <c r="I17" s="1"/>
      <c r="J17" s="1"/>
      <c r="K17" s="1"/>
      <c r="L17" s="1"/>
      <c r="M17" s="1"/>
      <c r="N17" s="1"/>
    </row>
    <row r="18" spans="1:14" x14ac:dyDescent="0.3">
      <c r="A18" s="26" t="s">
        <v>61</v>
      </c>
      <c r="B18" s="38">
        <f ca="1">B16+B17</f>
        <v>302150.69274999999</v>
      </c>
      <c r="C18" s="38">
        <f ca="1">C16+C17</f>
        <v>317350.38846499997</v>
      </c>
      <c r="D18" s="38">
        <f t="shared" ref="D18:F18" ca="1" si="4">D16+D17</f>
        <v>119182.068034</v>
      </c>
      <c r="E18" s="38">
        <f t="shared" ca="1" si="4"/>
        <v>197131.99497499998</v>
      </c>
      <c r="F18" s="38">
        <f t="shared" ca="1" si="4"/>
        <v>314035.09052999999</v>
      </c>
      <c r="G18" s="1"/>
      <c r="H18" s="1"/>
      <c r="I18" s="1"/>
      <c r="J18" s="1"/>
      <c r="K18" s="1"/>
      <c r="L18" s="1"/>
      <c r="M18" s="1"/>
      <c r="N18" s="1"/>
    </row>
    <row r="19" spans="1:14" x14ac:dyDescent="0.3">
      <c r="A19" s="26" t="s">
        <v>62</v>
      </c>
      <c r="B19" s="27">
        <f ca="1">B16/B18</f>
        <v>0.40884235238941052</v>
      </c>
      <c r="C19" s="27">
        <f ca="1">C16/C18</f>
        <v>0.45380124063053751</v>
      </c>
      <c r="D19" s="27">
        <f t="shared" ref="D19:F19" ca="1" si="5">D16/D18</f>
        <v>0.78814708915105414</v>
      </c>
      <c r="E19" s="27">
        <f t="shared" ca="1" si="5"/>
        <v>0.50267334844638911</v>
      </c>
      <c r="F19" s="27">
        <f t="shared" ca="1" si="5"/>
        <v>0.24922374078613768</v>
      </c>
      <c r="G19" s="1"/>
      <c r="H19" s="1" t="e" vm="6">
        <v>#VALUE!</v>
      </c>
      <c r="I19" s="1"/>
      <c r="J19" s="1"/>
      <c r="K19" s="1"/>
      <c r="L19" s="1"/>
      <c r="M19" s="1"/>
      <c r="N19" s="1"/>
    </row>
    <row r="20" spans="1:14" x14ac:dyDescent="0.3">
      <c r="A20" s="26" t="s">
        <v>63</v>
      </c>
      <c r="B20" s="27">
        <f ca="1">B17/B18</f>
        <v>0.59115764761058953</v>
      </c>
      <c r="C20" s="27">
        <f ca="1">C17/C18</f>
        <v>0.54619875936946261</v>
      </c>
      <c r="D20" s="27">
        <f t="shared" ref="D20:F20" ca="1" si="6">D17/D18</f>
        <v>0.21185291084894584</v>
      </c>
      <c r="E20" s="27">
        <f t="shared" ca="1" si="6"/>
        <v>0.49732665155361094</v>
      </c>
      <c r="F20" s="27">
        <f t="shared" ca="1" si="6"/>
        <v>0.75077625921386226</v>
      </c>
      <c r="G20" s="1"/>
      <c r="H20" s="41" cm="1">
        <f t="array" aca="1" ref="H20" ca="1">(_FV(H19,"Price"))/100</f>
        <v>4.1056999999999996E-2</v>
      </c>
      <c r="I20" s="1"/>
      <c r="J20" s="1"/>
      <c r="K20" s="1"/>
      <c r="L20" s="1"/>
      <c r="M20" s="1"/>
      <c r="N20" s="1"/>
    </row>
    <row r="21" spans="1:14" x14ac:dyDescent="0.3">
      <c r="A21" s="36" t="s">
        <v>64</v>
      </c>
      <c r="B21" s="37">
        <f ca="1">(B12*B20)+(B15*B19)</f>
        <v>4.9097217885769165E-2</v>
      </c>
      <c r="C21" s="37">
        <f ca="1">(C12*C20)+(C15*C19)</f>
        <v>4.1747300640869206E-2</v>
      </c>
      <c r="D21" s="37">
        <f t="shared" ref="D21:F21" ca="1" si="7">(D12*D20)+(D15*D19)</f>
        <v>4.9626394628312316E-2</v>
      </c>
      <c r="E21" s="37">
        <f t="shared" ca="1" si="7"/>
        <v>5.6576925408149542E-2</v>
      </c>
      <c r="F21" s="37">
        <f t="shared" ca="1" si="7"/>
        <v>5.463233809252676E-2</v>
      </c>
      <c r="G21" s="1"/>
      <c r="H21" s="100"/>
      <c r="I21" s="1"/>
      <c r="J21" s="1"/>
      <c r="K21" s="1"/>
      <c r="L21" s="1"/>
      <c r="M21" s="1"/>
      <c r="N21" s="1"/>
    </row>
    <row r="22" spans="1:14" x14ac:dyDescent="0.3">
      <c r="A22" s="26" t="s">
        <v>65</v>
      </c>
      <c r="B22" s="33">
        <v>2030</v>
      </c>
      <c r="C22" s="33">
        <v>2030</v>
      </c>
      <c r="D22" s="33">
        <v>2030</v>
      </c>
      <c r="E22" s="33">
        <v>2030</v>
      </c>
      <c r="F22" s="33">
        <v>2030</v>
      </c>
      <c r="G22" s="1"/>
      <c r="H22" s="1"/>
      <c r="I22" s="1"/>
      <c r="J22" s="1"/>
      <c r="K22" s="1"/>
      <c r="L22" s="1"/>
      <c r="M22" s="1"/>
      <c r="N22" s="1"/>
    </row>
    <row r="23" spans="1:14" x14ac:dyDescent="0.3">
      <c r="A23" s="26" t="s">
        <v>66</v>
      </c>
      <c r="B23" s="27">
        <f ca="1">1/(1+B21)^6</f>
        <v>0.75007654993760853</v>
      </c>
      <c r="C23" s="27">
        <f ca="1">1/(1+C21)^6</f>
        <v>0.78239433499380373</v>
      </c>
      <c r="D23" s="27">
        <f t="shared" ref="D23:F23" ca="1" si="8">1/(1+D21)^6</f>
        <v>0.74781046864739664</v>
      </c>
      <c r="E23" s="27">
        <f t="shared" ca="1" si="8"/>
        <v>0.71877550529546119</v>
      </c>
      <c r="F23" s="27">
        <f t="shared" ca="1" si="8"/>
        <v>0.7267641503959229</v>
      </c>
      <c r="G23" s="1"/>
      <c r="H23" s="1"/>
      <c r="I23" s="1"/>
      <c r="J23" s="1"/>
      <c r="K23" s="1"/>
      <c r="L23" s="1"/>
      <c r="M23" s="1"/>
      <c r="N23" s="1"/>
    </row>
    <row r="24" spans="1:14" x14ac:dyDescent="0.3">
      <c r="A24" s="26" t="s">
        <v>67</v>
      </c>
      <c r="B24" s="38">
        <f>Financials!F14</f>
        <v>3298</v>
      </c>
      <c r="C24" s="38">
        <f>Financials!M14</f>
        <v>4194</v>
      </c>
      <c r="D24" s="96">
        <f>Financials!T14</f>
        <v>459</v>
      </c>
      <c r="E24" s="96">
        <f>Financials!AB14</f>
        <v>7322</v>
      </c>
      <c r="F24" s="96">
        <f>Financials!AJ14</f>
        <v>5409</v>
      </c>
      <c r="G24" s="1"/>
      <c r="H24" s="1"/>
      <c r="I24" s="1"/>
      <c r="J24" s="1"/>
      <c r="K24" s="1"/>
      <c r="L24" s="1"/>
      <c r="M24" s="1"/>
      <c r="N24" s="1"/>
    </row>
    <row r="25" spans="1:14" x14ac:dyDescent="0.3">
      <c r="A25" s="26" t="s">
        <v>68</v>
      </c>
      <c r="B25" s="27">
        <v>5.0000000000000001E-3</v>
      </c>
      <c r="C25" s="27">
        <v>5.0000000000000001E-3</v>
      </c>
      <c r="D25" s="27">
        <v>5.0000000000000001E-3</v>
      </c>
      <c r="E25" s="27">
        <v>5.0000000000000001E-3</v>
      </c>
      <c r="F25" s="27">
        <v>5.0000000000000001E-3</v>
      </c>
      <c r="G25" s="1"/>
      <c r="H25" s="1"/>
      <c r="I25" s="1"/>
      <c r="J25" s="1"/>
      <c r="K25" s="1"/>
      <c r="L25" s="1"/>
      <c r="M25" s="1"/>
      <c r="N25" s="1"/>
    </row>
    <row r="26" spans="1:14" x14ac:dyDescent="0.3">
      <c r="A26" s="26" t="s">
        <v>4</v>
      </c>
      <c r="B26" s="38">
        <f ca="1">Profile!B6</f>
        <v>7089.45</v>
      </c>
      <c r="C26" s="38">
        <f ca="1">Profile!C6</f>
        <v>4216.4250000000002</v>
      </c>
      <c r="D26" s="38">
        <f ca="1">Profile!D6</f>
        <v>129.40940000000001</v>
      </c>
      <c r="E26" s="38">
        <f ca="1">Profile!E6</f>
        <v>3643.895</v>
      </c>
      <c r="F26" s="38">
        <f ca="1">Profile!F6</f>
        <v>1118.5070000000001</v>
      </c>
      <c r="G26" s="1"/>
      <c r="H26" s="1"/>
      <c r="I26" s="1"/>
      <c r="J26" s="1"/>
      <c r="K26" s="1"/>
      <c r="L26" s="1"/>
      <c r="M26" s="1"/>
      <c r="N26" s="1"/>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93068-3C2C-421B-A37B-BD4D68B8CD3F}">
  <dimension ref="A1:AM22"/>
  <sheetViews>
    <sheetView topLeftCell="Y1" workbookViewId="0">
      <selection activeCell="AK15" sqref="AK15"/>
    </sheetView>
  </sheetViews>
  <sheetFormatPr defaultRowHeight="14.4" x14ac:dyDescent="0.3"/>
  <cols>
    <col min="1" max="1" width="22.77734375" bestFit="1" customWidth="1"/>
    <col min="2" max="2" width="12.33203125" bestFit="1" customWidth="1"/>
    <col min="3" max="7" width="10.88671875" bestFit="1" customWidth="1"/>
    <col min="9" max="9" width="22.77734375" bestFit="1" customWidth="1"/>
    <col min="10" max="10" width="12.33203125" bestFit="1" customWidth="1"/>
    <col min="11" max="15" width="10.88671875" bestFit="1" customWidth="1"/>
    <col min="17" max="17" width="22.77734375" bestFit="1" customWidth="1"/>
    <col min="18" max="18" width="12.33203125" bestFit="1" customWidth="1"/>
    <col min="19" max="23" width="10.88671875" bestFit="1" customWidth="1"/>
    <col min="25" max="25" width="22.77734375" bestFit="1" customWidth="1"/>
    <col min="26" max="26" width="12.33203125" bestFit="1" customWidth="1"/>
    <col min="27" max="31" width="10.88671875" bestFit="1" customWidth="1"/>
    <col min="33" max="33" width="22.77734375" bestFit="1" customWidth="1"/>
    <col min="34" max="34" width="12.33203125" style="89" bestFit="1" customWidth="1"/>
    <col min="35" max="39" width="10.88671875" style="89" bestFit="1" customWidth="1"/>
  </cols>
  <sheetData>
    <row r="1" spans="1:39" x14ac:dyDescent="0.3">
      <c r="A1" s="6" t="s">
        <v>69</v>
      </c>
      <c r="B1" s="1"/>
      <c r="C1" s="1"/>
      <c r="D1" s="1"/>
      <c r="E1" s="1"/>
      <c r="F1" s="1"/>
      <c r="G1" s="20" t="s">
        <v>97</v>
      </c>
      <c r="H1" s="1"/>
      <c r="I1" s="1"/>
      <c r="J1" s="21"/>
      <c r="K1" s="21"/>
      <c r="L1" s="21"/>
      <c r="M1" s="21"/>
      <c r="N1" s="21"/>
      <c r="O1" s="20" t="s">
        <v>98</v>
      </c>
      <c r="Q1" s="6" t="s">
        <v>69</v>
      </c>
      <c r="R1" s="1"/>
      <c r="S1" s="1"/>
      <c r="T1" s="1"/>
      <c r="U1" s="1"/>
      <c r="V1" s="1"/>
      <c r="W1" s="20" t="s">
        <v>121</v>
      </c>
      <c r="X1" s="1"/>
      <c r="Y1" s="1"/>
      <c r="Z1" s="21"/>
      <c r="AA1" s="21"/>
      <c r="AB1" s="21"/>
      <c r="AC1" s="21"/>
      <c r="AD1" s="21"/>
      <c r="AE1" s="20" t="s">
        <v>122</v>
      </c>
      <c r="AG1" s="6" t="s">
        <v>69</v>
      </c>
      <c r="AH1" s="3"/>
      <c r="AI1" s="3"/>
      <c r="AJ1" s="3"/>
      <c r="AK1" s="3"/>
      <c r="AL1" s="3"/>
      <c r="AM1" s="70" t="s">
        <v>123</v>
      </c>
    </row>
    <row r="2" spans="1:39" x14ac:dyDescent="0.3">
      <c r="A2" s="1" t="s">
        <v>11</v>
      </c>
      <c r="B2" s="39" t="s">
        <v>47</v>
      </c>
      <c r="C2" s="39" t="s">
        <v>48</v>
      </c>
      <c r="D2" s="39" t="s">
        <v>49</v>
      </c>
      <c r="E2" s="39" t="s">
        <v>50</v>
      </c>
      <c r="F2" s="39" t="s">
        <v>51</v>
      </c>
      <c r="G2" s="39" t="s">
        <v>52</v>
      </c>
      <c r="H2" s="1"/>
      <c r="I2" s="1" t="s">
        <v>11</v>
      </c>
      <c r="J2" s="40" t="s">
        <v>47</v>
      </c>
      <c r="K2" s="40" t="s">
        <v>48</v>
      </c>
      <c r="L2" s="40" t="s">
        <v>49</v>
      </c>
      <c r="M2" s="40" t="s">
        <v>50</v>
      </c>
      <c r="N2" s="40" t="s">
        <v>51</v>
      </c>
      <c r="O2" s="40" t="s">
        <v>52</v>
      </c>
      <c r="Q2" s="1" t="s">
        <v>11</v>
      </c>
      <c r="R2" s="39" t="s">
        <v>47</v>
      </c>
      <c r="S2" s="39" t="s">
        <v>48</v>
      </c>
      <c r="T2" s="39" t="s">
        <v>49</v>
      </c>
      <c r="U2" s="39" t="s">
        <v>50</v>
      </c>
      <c r="V2" s="39" t="s">
        <v>51</v>
      </c>
      <c r="W2" s="39" t="s">
        <v>52</v>
      </c>
      <c r="X2" s="1"/>
      <c r="Y2" s="1" t="s">
        <v>11</v>
      </c>
      <c r="Z2" s="40" t="s">
        <v>47</v>
      </c>
      <c r="AA2" s="40" t="s">
        <v>48</v>
      </c>
      <c r="AB2" s="40" t="s">
        <v>49</v>
      </c>
      <c r="AC2" s="40" t="s">
        <v>50</v>
      </c>
      <c r="AD2" s="40" t="s">
        <v>51</v>
      </c>
      <c r="AE2" s="40" t="s">
        <v>52</v>
      </c>
      <c r="AG2" s="1" t="s">
        <v>11</v>
      </c>
      <c r="AH2" s="98" t="s">
        <v>47</v>
      </c>
      <c r="AI2" s="98" t="s">
        <v>48</v>
      </c>
      <c r="AJ2" s="98" t="s">
        <v>49</v>
      </c>
      <c r="AK2" s="98" t="s">
        <v>50</v>
      </c>
      <c r="AL2" s="98" t="s">
        <v>51</v>
      </c>
      <c r="AM2" s="98" t="s">
        <v>52</v>
      </c>
    </row>
    <row r="3" spans="1:39" x14ac:dyDescent="0.3">
      <c r="A3" s="1" t="s">
        <v>17</v>
      </c>
      <c r="B3" s="41">
        <f>Table1[[#This Row],[2024]]*(1+'Assumptions &amp; WACC'!B3)</f>
        <v>114309.07892402426</v>
      </c>
      <c r="C3" s="41">
        <f>Table9[[#This Row],[2025]]*(1+'Assumptions &amp; WACC'!$B$3)</f>
        <v>106808.83406731303</v>
      </c>
      <c r="D3" s="41">
        <f>Table9[[#This Row],[2026]]*(1+'Assumptions &amp; WACC'!$B$3)</f>
        <v>99800.708239467494</v>
      </c>
      <c r="E3" s="41">
        <f>Table9[[#This Row],[2027]]*(1+'Assumptions &amp; WACC'!$B$3)</f>
        <v>93252.4116761935</v>
      </c>
      <c r="F3" s="41">
        <f>Table9[[#This Row],[2028]]*(1+'Assumptions &amp; WACC'!$B$3)</f>
        <v>87133.773265020965</v>
      </c>
      <c r="G3" s="41">
        <f>Table9[[#This Row],[2029]]*(1+'Assumptions &amp; WACC'!$B$3)</f>
        <v>81416.601532658548</v>
      </c>
      <c r="H3" s="1"/>
      <c r="I3" s="10" t="s">
        <v>17</v>
      </c>
      <c r="J3" s="15">
        <f>Table18[[#This Row],[2024]]*(1+'Assumptions &amp; WACC'!C3)</f>
        <v>136126.14945468953</v>
      </c>
      <c r="K3" s="15">
        <f>Table10[[#This Row],[2025]]*(1+'Assumptions &amp; WACC'!$C$3)</f>
        <v>137477.58380093533</v>
      </c>
      <c r="L3" s="15">
        <f>Table10[[#This Row],[2026]]*(1+'Assumptions &amp; WACC'!$C$3)</f>
        <v>138842.43492859695</v>
      </c>
      <c r="M3" s="15">
        <f>Table10[[#This Row],[2027]]*(1+'Assumptions &amp; WACC'!$C$3)</f>
        <v>140220.83603691126</v>
      </c>
      <c r="N3" s="15">
        <f>Table10[[#This Row],[2028]]*(1+'Assumptions &amp; WACC'!$C$3)</f>
        <v>141612.9216474916</v>
      </c>
      <c r="O3" s="15">
        <f>Table10[[#This Row],[2029]]*(1+'Assumptions &amp; WACC'!$C$3)</f>
        <v>143018.82761745615</v>
      </c>
      <c r="Q3" s="1" t="s">
        <v>17</v>
      </c>
      <c r="R3" s="41">
        <f>Table141[[#This Row],[2024]]*(1+'Assumptions &amp; WACC'!D3)</f>
        <v>56599.999429497249</v>
      </c>
      <c r="S3" s="41">
        <f>Table919[[#This Row],[2025]]*(1+'Assumptions &amp; WACC'!$D$3)</f>
        <v>58156.665796842863</v>
      </c>
      <c r="T3" s="41">
        <f>Table919[[#This Row],[2026]]*(1+'Assumptions &amp; WACC'!$D$3)</f>
        <v>59756.14506531303</v>
      </c>
      <c r="U3" s="41">
        <f>Table919[[#This Row],[2027]]*(1+'Assumptions &amp; WACC'!$D$3)</f>
        <v>61399.614715542753</v>
      </c>
      <c r="V3" s="41">
        <f>Table919[[#This Row],[2028]]*(1+'Assumptions &amp; WACC'!$D$3)</f>
        <v>63088.284612345844</v>
      </c>
      <c r="W3" s="41">
        <f>Table919[[#This Row],[2029]]*(1+'Assumptions &amp; WACC'!$D$3)</f>
        <v>64823.397895375056</v>
      </c>
      <c r="X3" s="1"/>
      <c r="Y3" s="10" t="s">
        <v>17</v>
      </c>
      <c r="Z3" s="15">
        <f>Table1844[[#This Row],[2024]]*(1+'Assumptions &amp; WACC'!E3)</f>
        <v>128213.11871881719</v>
      </c>
      <c r="AA3" s="15">
        <f>Table1024[[#This Row],[2025]]*(1+'Assumptions &amp; WACC'!$E$3)</f>
        <v>132857.60085674172</v>
      </c>
      <c r="AB3" s="15">
        <f>Table1024[[#This Row],[2026]]*(1+'Assumptions &amp; WACC'!$E$3)</f>
        <v>137670.32798039823</v>
      </c>
      <c r="AC3" s="15">
        <f>Table1024[[#This Row],[2027]]*(1+'Assumptions &amp; WACC'!$E$3)</f>
        <v>142657.39471441513</v>
      </c>
      <c r="AD3" s="15">
        <f>Table1024[[#This Row],[2028]]*(1+'Assumptions &amp; WACC'!$E$3)</f>
        <v>147825.11645938747</v>
      </c>
      <c r="AE3" s="15">
        <f>Table1024[[#This Row],[2029]]*(1+'Assumptions &amp; WACC'!$E$3)</f>
        <v>153180.03738942079</v>
      </c>
      <c r="AG3" s="1" t="s">
        <v>17</v>
      </c>
      <c r="AH3" s="9">
        <f>Table184447[[#This Row],[2024]]*(1+'Assumptions &amp; WACC'!F3)</f>
        <v>84283.366705225242</v>
      </c>
      <c r="AI3" s="9">
        <f>Table91934[[#This Row],[2025]]*(1+'Assumptions &amp; WACC'!$F$3)</f>
        <v>87268.868589280974</v>
      </c>
      <c r="AJ3" s="9">
        <f>Table91934[[#This Row],[2026]]*(1+'Assumptions &amp; WACC'!$F$3)</f>
        <v>90360.123504428513</v>
      </c>
      <c r="AK3" s="9">
        <f>Table91934[[#This Row],[2027]]*(1+'Assumptions &amp; WACC'!$F$3)</f>
        <v>93560.877455198904</v>
      </c>
      <c r="AL3" s="9">
        <f>Table91934[[#This Row],[2028]]*(1+'Assumptions &amp; WACC'!$F$3)</f>
        <v>96875.009137827656</v>
      </c>
      <c r="AM3" s="9">
        <f>Table91934[[#This Row],[2029]]*(1+'Assumptions &amp; WACC'!$F$3)</f>
        <v>100306.53464048618</v>
      </c>
    </row>
    <row r="4" spans="1:39" x14ac:dyDescent="0.3">
      <c r="A4" s="1" t="s">
        <v>70</v>
      </c>
      <c r="B4" s="41">
        <f>B3*'Assumptions &amp; WACC'!$B$4</f>
        <v>29623.679276707273</v>
      </c>
      <c r="C4" s="41">
        <f>C3*'Assumptions &amp; WACC'!$B$4</f>
        <v>27679.959230816061</v>
      </c>
      <c r="D4" s="41">
        <f>D3*'Assumptions &amp; WACC'!$B$4</f>
        <v>25863.773904076694</v>
      </c>
      <c r="E4" s="41">
        <f>E3*'Assumptions &amp; WACC'!$B$4</f>
        <v>24166.755268066816</v>
      </c>
      <c r="F4" s="41">
        <f>F3*'Assumptions &amp; WACC'!$B$4</f>
        <v>22581.084351908095</v>
      </c>
      <c r="G4" s="41">
        <f>G3*'Assumptions &amp; WACC'!$B$4</f>
        <v>21099.455216553684</v>
      </c>
      <c r="H4" s="1"/>
      <c r="I4" s="10" t="s">
        <v>70</v>
      </c>
      <c r="J4" s="15">
        <f>J3*'Assumptions &amp; WACC'!$C$4</f>
        <v>46663.496348735578</v>
      </c>
      <c r="K4" s="15">
        <f>K3*'Assumptions &amp; WACC'!$C$4</f>
        <v>47126.762605323464</v>
      </c>
      <c r="L4" s="15">
        <f>L3*'Assumptions &amp; WACC'!$C$4</f>
        <v>47594.628080600167</v>
      </c>
      <c r="M4" s="15">
        <f>M3*'Assumptions &amp; WACC'!$C$4</f>
        <v>48067.138434728178</v>
      </c>
      <c r="N4" s="15">
        <f>N3*'Assumptions &amp; WACC'!$C$4</f>
        <v>48544.339781175324</v>
      </c>
      <c r="O4" s="15">
        <f>O3*'Assumptions &amp; WACC'!$C$4</f>
        <v>49026.278691215106</v>
      </c>
      <c r="Q4" s="1" t="s">
        <v>70</v>
      </c>
      <c r="R4" s="41">
        <f>R3*'Assumptions &amp; WACC'!$D$4</f>
        <v>21628.218368449219</v>
      </c>
      <c r="S4" s="41">
        <f>S3*'Assumptions &amp; WACC'!$D$4</f>
        <v>22223.057952532774</v>
      </c>
      <c r="T4" s="41">
        <f>T3*'Assumptions &amp; WACC'!$D$4</f>
        <v>22834.257373786681</v>
      </c>
      <c r="U4" s="41">
        <f>U3*'Assumptions &amp; WACC'!$D$4</f>
        <v>23462.26657582499</v>
      </c>
      <c r="V4" s="41">
        <f>V3*'Assumptions &amp; WACC'!$D$4</f>
        <v>24107.547877033798</v>
      </c>
      <c r="W4" s="41">
        <f>W3*'Assumptions &amp; WACC'!$D$4</f>
        <v>24770.576310913872</v>
      </c>
      <c r="X4" s="1"/>
      <c r="Y4" s="10" t="s">
        <v>70</v>
      </c>
      <c r="Z4" s="15">
        <f>Z3*'Assumptions &amp; WACC'!$E$4</f>
        <v>35289.700496516627</v>
      </c>
      <c r="AA4" s="15">
        <f>AA3*'Assumptions &amp; WACC'!$E$4</f>
        <v>36568.059413658564</v>
      </c>
      <c r="AB4" s="15">
        <f>AB3*'Assumptions &amp; WACC'!$E$4</f>
        <v>37892.726502817939</v>
      </c>
      <c r="AC4" s="15">
        <f>AC3*'Assumptions &amp; WACC'!$E$4</f>
        <v>39265.379263769522</v>
      </c>
      <c r="AD4" s="15">
        <f>AD3*'Assumptions &amp; WACC'!$E$4</f>
        <v>40687.755963219119</v>
      </c>
      <c r="AE4" s="15">
        <f>AE3*'Assumptions &amp; WACC'!$E$4</f>
        <v>42161.657836067556</v>
      </c>
      <c r="AG4" s="1" t="s">
        <v>70</v>
      </c>
      <c r="AH4" s="9">
        <f>AH3*'Assumptions &amp; WACC'!$F$4</f>
        <v>26464.148308176533</v>
      </c>
      <c r="AI4" s="9">
        <f>AI3*'Assumptions &amp; WACC'!$F$4</f>
        <v>27401.566540534506</v>
      </c>
      <c r="AJ4" s="9">
        <f>AJ3*'Assumptions &amp; WACC'!$F$4</f>
        <v>28372.190184686733</v>
      </c>
      <c r="AK4" s="9">
        <f>AK3*'Assumptions &amp; WACC'!$F$4</f>
        <v>29377.19544921799</v>
      </c>
      <c r="AL4" s="9">
        <f>AL3*'Assumptions &amp; WACC'!$F$4</f>
        <v>30417.80020660337</v>
      </c>
      <c r="AM4" s="9">
        <f>AM3*'Assumptions &amp; WACC'!$F$4</f>
        <v>31495.265469034741</v>
      </c>
    </row>
    <row r="5" spans="1:39" s="87" customFormat="1" x14ac:dyDescent="0.3">
      <c r="A5" s="6" t="s">
        <v>71</v>
      </c>
      <c r="B5" s="43">
        <f>B4*(1-'Assumptions &amp; WACC'!$B$14)</f>
        <v>22810.2330430646</v>
      </c>
      <c r="C5" s="43">
        <f>C4*(1-'Assumptions &amp; WACC'!$B$14)</f>
        <v>21313.568607728368</v>
      </c>
      <c r="D5" s="43">
        <f>D4*(1-'Assumptions &amp; WACC'!$B$14)</f>
        <v>19915.105906139055</v>
      </c>
      <c r="E5" s="43">
        <f>E4*(1-'Assumptions &amp; WACC'!$B$14)</f>
        <v>18608.401556411449</v>
      </c>
      <c r="F5" s="43">
        <f>F4*(1-'Assumptions &amp; WACC'!$B$14)</f>
        <v>17387.434950969233</v>
      </c>
      <c r="G5" s="43">
        <f>G4*(1-'Assumptions &amp; WACC'!$B$14)</f>
        <v>16246.580516746337</v>
      </c>
      <c r="H5" s="6"/>
      <c r="I5" s="85" t="s">
        <v>71</v>
      </c>
      <c r="J5" s="86">
        <f>J4*(1-'Assumptions &amp; WACC'!$C$14)</f>
        <v>35930.892188526399</v>
      </c>
      <c r="K5" s="86">
        <f>K4*(1-'Assumptions &amp; WACC'!$C$14)</f>
        <v>36287.60720609907</v>
      </c>
      <c r="L5" s="86">
        <f>L4*(1-'Assumptions &amp; WACC'!$C$14)</f>
        <v>36647.863622062127</v>
      </c>
      <c r="M5" s="86">
        <f>M4*(1-'Assumptions &amp; WACC'!$C$14)</f>
        <v>37011.696594740701</v>
      </c>
      <c r="N5" s="86">
        <f>N4*(1-'Assumptions &amp; WACC'!$C$14)</f>
        <v>37379.141631505001</v>
      </c>
      <c r="O5" s="86">
        <f>O4*(1-'Assumptions &amp; WACC'!$C$14)</f>
        <v>37750.234592235633</v>
      </c>
      <c r="Q5" s="6" t="s">
        <v>71</v>
      </c>
      <c r="R5" s="43">
        <f>R4*(1-'Assumptions &amp; WACC'!$B$14)</f>
        <v>16653.728143705899</v>
      </c>
      <c r="S5" s="43">
        <f>S4*(1-'Assumptions &amp; WACC'!$B$14)</f>
        <v>17111.754623450237</v>
      </c>
      <c r="T5" s="43">
        <f>T4*(1-'Assumptions &amp; WACC'!$B$14)</f>
        <v>17582.378177815743</v>
      </c>
      <c r="U5" s="43">
        <f>U4*(1-'Assumptions &amp; WACC'!$B$14)</f>
        <v>18065.945263385242</v>
      </c>
      <c r="V5" s="43">
        <f>V4*(1-'Assumptions &amp; WACC'!$B$14)</f>
        <v>18562.811865316024</v>
      </c>
      <c r="W5" s="43">
        <f>W4*(1-'Assumptions &amp; WACC'!$B$14)</f>
        <v>19073.34375940368</v>
      </c>
      <c r="X5" s="6"/>
      <c r="Y5" s="85" t="s">
        <v>71</v>
      </c>
      <c r="Z5" s="86">
        <f>Z4*(1-'Assumptions &amp; WACC'!$C$14)</f>
        <v>27173.069382317804</v>
      </c>
      <c r="AA5" s="86">
        <f>AA4*(1-'Assumptions &amp; WACC'!$C$14)</f>
        <v>28157.405748517096</v>
      </c>
      <c r="AB5" s="86">
        <f>AB4*(1-'Assumptions &amp; WACC'!$C$14)</f>
        <v>29177.399407169814</v>
      </c>
      <c r="AC5" s="86">
        <f>AC4*(1-'Assumptions &amp; WACC'!$C$14)</f>
        <v>30234.342033102534</v>
      </c>
      <c r="AD5" s="86">
        <f>AD4*(1-'Assumptions &amp; WACC'!$C$14)</f>
        <v>31329.572091678721</v>
      </c>
      <c r="AE5" s="86">
        <f>AE4*(1-'Assumptions &amp; WACC'!$C$14)</f>
        <v>32464.47653377202</v>
      </c>
      <c r="AG5" s="6" t="s">
        <v>71</v>
      </c>
      <c r="AH5" s="22">
        <f>AH4*(1-'Assumptions &amp; WACC'!$B$14)</f>
        <v>20377.394197295929</v>
      </c>
      <c r="AI5" s="22">
        <f>AI4*(1-'Assumptions &amp; WACC'!$B$14)</f>
        <v>21099.206236211568</v>
      </c>
      <c r="AJ5" s="22">
        <f>AJ4*(1-'Assumptions &amp; WACC'!$B$14)</f>
        <v>21846.586442208783</v>
      </c>
      <c r="AK5" s="22">
        <f>AK4*(1-'Assumptions &amp; WACC'!$B$14)</f>
        <v>22620.440495897852</v>
      </c>
      <c r="AL5" s="22">
        <f>AL4*(1-'Assumptions &amp; WACC'!$B$14)</f>
        <v>23421.706159084595</v>
      </c>
      <c r="AM5" s="22">
        <f>AM4*(1-'Assumptions &amp; WACC'!$B$14)</f>
        <v>24251.35441115675</v>
      </c>
    </row>
    <row r="6" spans="1:39" x14ac:dyDescent="0.3">
      <c r="A6" s="1" t="s">
        <v>72</v>
      </c>
      <c r="B6" s="41">
        <f>B3*'Assumptions &amp; WACC'!$B$5</f>
        <v>17665.807693473471</v>
      </c>
      <c r="C6" s="41">
        <f>C3*'Assumptions &amp; WACC'!$B$5</f>
        <v>16506.688185733503</v>
      </c>
      <c r="D6" s="41">
        <f>D3*'Assumptions &amp; WACC'!$B$5</f>
        <v>15423.622830542683</v>
      </c>
      <c r="E6" s="41">
        <f>E3*'Assumptions &amp; WACC'!$B$5</f>
        <v>14411.621431392934</v>
      </c>
      <c r="F6" s="41">
        <f>F3*'Assumptions &amp; WACC'!$B$5</f>
        <v>13466.021217174457</v>
      </c>
      <c r="G6" s="41">
        <f>G3*'Assumptions &amp; WACC'!$B$5</f>
        <v>12582.465358574584</v>
      </c>
      <c r="H6" s="1"/>
      <c r="I6" s="10" t="s">
        <v>72</v>
      </c>
      <c r="J6" s="15">
        <f>J3*'Assumptions &amp; WACC'!$C$5</f>
        <v>17444.69222639572</v>
      </c>
      <c r="K6" s="15">
        <f>K3*'Assumptions &amp; WACC'!$C$5</f>
        <v>17617.879790496223</v>
      </c>
      <c r="L6" s="15">
        <f>L3*'Assumptions &amp; WACC'!$C$5</f>
        <v>17792.78672757102</v>
      </c>
      <c r="M6" s="15">
        <f>M3*'Assumptions &amp; WACC'!$C$5</f>
        <v>17969.430107225784</v>
      </c>
      <c r="N6" s="15">
        <f>N3*'Assumptions &amp; WACC'!$C$5</f>
        <v>18147.827168529951</v>
      </c>
      <c r="O6" s="15">
        <f>O3*'Assumptions &amp; WACC'!$C$5</f>
        <v>18327.995321699134</v>
      </c>
      <c r="Q6" s="1" t="s">
        <v>72</v>
      </c>
      <c r="R6" s="41">
        <f>R3*'Assumptions &amp; WACC'!$D$5</f>
        <v>9735.2437223920388</v>
      </c>
      <c r="S6" s="41">
        <f>S3*'Assumptions &amp; WACC'!$D$5</f>
        <v>10002.991542768559</v>
      </c>
      <c r="T6" s="41">
        <f>T3*'Assumptions &amp; WACC'!$D$5</f>
        <v>10278.103215284855</v>
      </c>
      <c r="U6" s="41">
        <f>U3*'Assumptions &amp; WACC'!$D$5</f>
        <v>10560.78126752177</v>
      </c>
      <c r="V6" s="41">
        <f>V3*'Assumptions &amp; WACC'!$D$5</f>
        <v>10851.233797163972</v>
      </c>
      <c r="W6" s="41">
        <f>W3*'Assumptions &amp; WACC'!$D$5</f>
        <v>11149.674625194193</v>
      </c>
      <c r="X6" s="1"/>
      <c r="Y6" s="10" t="s">
        <v>72</v>
      </c>
      <c r="Z6" s="15">
        <f>Z3*'Assumptions &amp; WACC'!$E$5</f>
        <v>15267.676020334811</v>
      </c>
      <c r="AA6" s="15">
        <f>AA3*'Assumptions &amp; WACC'!$E$5</f>
        <v>15820.743048675153</v>
      </c>
      <c r="AB6" s="15">
        <f>AB3*'Assumptions &amp; WACC'!$E$5</f>
        <v>16393.844765820118</v>
      </c>
      <c r="AC6" s="15">
        <f>AC3*'Assumptions &amp; WACC'!$E$5</f>
        <v>16987.706922420046</v>
      </c>
      <c r="AD6" s="15">
        <f>AD3*'Assumptions &amp; WACC'!$E$5</f>
        <v>17603.081559226983</v>
      </c>
      <c r="AE6" s="15">
        <f>AE3*'Assumptions &amp; WACC'!$E$5</f>
        <v>18240.74795944582</v>
      </c>
      <c r="AG6" s="1" t="s">
        <v>72</v>
      </c>
      <c r="AH6" s="9">
        <f>AH3*'Assumptions &amp; WACC'!$F$5</f>
        <v>15187.096223012748</v>
      </c>
      <c r="AI6" s="9">
        <f>AI3*'Assumptions &amp; WACC'!$F$5</f>
        <v>15725.056512920451</v>
      </c>
      <c r="AJ6" s="9">
        <f>AJ3*'Assumptions &amp; WACC'!$F$5</f>
        <v>16282.072537332493</v>
      </c>
      <c r="AK6" s="9">
        <f>AK3*'Assumptions &amp; WACC'!$F$5</f>
        <v>16858.819292199896</v>
      </c>
      <c r="AL6" s="9">
        <f>AL3*'Assumptions &amp; WACC'!$F$5</f>
        <v>17455.995683312161</v>
      </c>
      <c r="AM6" s="9">
        <f>AM3*'Assumptions &amp; WACC'!$F$5</f>
        <v>18074.325373236214</v>
      </c>
    </row>
    <row r="7" spans="1:39" x14ac:dyDescent="0.3">
      <c r="A7" s="1" t="s">
        <v>37</v>
      </c>
      <c r="B7" s="41">
        <f>B3*'Assumptions &amp; WACC'!$B$6</f>
        <v>15148.396892668505</v>
      </c>
      <c r="C7" s="41">
        <f>C3*'Assumptions &amp; WACC'!$B$6</f>
        <v>14154.454093451543</v>
      </c>
      <c r="D7" s="41">
        <f>D3*'Assumptions &amp; WACC'!$B$6</f>
        <v>13225.727587094809</v>
      </c>
      <c r="E7" s="41">
        <f>E3*'Assumptions &amp; WACC'!$B$6</f>
        <v>12357.938289472155</v>
      </c>
      <c r="F7" s="41">
        <f>F3*'Assumptions &amp; WACC'!$B$6</f>
        <v>11547.087883121027</v>
      </c>
      <c r="G7" s="41">
        <f>G3*'Assumptions &amp; WACC'!$B$6</f>
        <v>10789.440395094867</v>
      </c>
      <c r="H7" s="1"/>
      <c r="I7" s="10" t="s">
        <v>37</v>
      </c>
      <c r="J7" s="15">
        <f>J3*'Assumptions &amp; WACC'!$C$6</f>
        <v>19867.628459802014</v>
      </c>
      <c r="K7" s="15">
        <f>K3*'Assumptions &amp; WACC'!$C$6</f>
        <v>20064.87047088207</v>
      </c>
      <c r="L7" s="15">
        <f>L3*'Assumptions &amp; WACC'!$C$6</f>
        <v>20264.070662880069</v>
      </c>
      <c r="M7" s="15">
        <f>M3*'Assumptions &amp; WACC'!$C$6</f>
        <v>20465.248476241224</v>
      </c>
      <c r="N7" s="15">
        <f>N3*'Assumptions &amp; WACC'!$C$6</f>
        <v>20668.423544411744</v>
      </c>
      <c r="O7" s="15">
        <f>O3*'Assumptions &amp; WACC'!$C$6</f>
        <v>20873.615695754939</v>
      </c>
      <c r="Q7" s="1" t="s">
        <v>37</v>
      </c>
      <c r="R7" s="41">
        <f>R3*'Assumptions &amp; WACC'!$D$6</f>
        <v>10055.090546218556</v>
      </c>
      <c r="S7" s="41">
        <f>S3*'Assumptions &amp; WACC'!$D$6</f>
        <v>10331.635094481502</v>
      </c>
      <c r="T7" s="41">
        <f>T3*'Assumptions &amp; WACC'!$D$6</f>
        <v>10615.785430760221</v>
      </c>
      <c r="U7" s="41">
        <f>U3*'Assumptions &amp; WACC'!$D$6</f>
        <v>10907.750736583348</v>
      </c>
      <c r="V7" s="41">
        <f>V3*'Assumptions &amp; WACC'!$D$6</f>
        <v>11207.74594658647</v>
      </c>
      <c r="W7" s="41">
        <f>W3*'Assumptions &amp; WACC'!$D$6</f>
        <v>11515.991906739482</v>
      </c>
      <c r="X7" s="1"/>
      <c r="Y7" s="10" t="s">
        <v>37</v>
      </c>
      <c r="Z7" s="15">
        <f>Z3*'Assumptions &amp; WACC'!$E$6</f>
        <v>11670.499482378396</v>
      </c>
      <c r="AA7" s="15">
        <f>AA3*'Assumptions &amp; WACC'!$E$6</f>
        <v>12093.259859227484</v>
      </c>
      <c r="AB7" s="15">
        <f>AB3*'Assumptions &amp; WACC'!$E$6</f>
        <v>12531.334605140504</v>
      </c>
      <c r="AC7" s="15">
        <f>AC3*'Assumptions &amp; WACC'!$E$6</f>
        <v>12985.278478587434</v>
      </c>
      <c r="AD7" s="15">
        <f>AD3*'Assumptions &amp; WACC'!$E$6</f>
        <v>13455.666333999017</v>
      </c>
      <c r="AE7" s="15">
        <f>AE3*'Assumptions &amp; WACC'!$E$6</f>
        <v>13943.093849736992</v>
      </c>
      <c r="AG7" s="1" t="s">
        <v>37</v>
      </c>
      <c r="AH7" s="9">
        <f>AH3*'Assumptions &amp; WACC'!$F$6</f>
        <v>12156.931476477313</v>
      </c>
      <c r="AI7" s="9">
        <f>AI3*'Assumptions &amp; WACC'!$F$6</f>
        <v>12587.556678651508</v>
      </c>
      <c r="AJ7" s="9">
        <f>AJ3*'Assumptions &amp; WACC'!$F$6</f>
        <v>13033.43557087951</v>
      </c>
      <c r="AK7" s="9">
        <f>AK3*'Assumptions &amp; WACC'!$F$6</f>
        <v>13495.108472350916</v>
      </c>
      <c r="AL7" s="9">
        <f>AL3*'Assumptions &amp; WACC'!$F$6</f>
        <v>13973.134841547228</v>
      </c>
      <c r="AM7" s="9">
        <f>AM3*'Assumptions &amp; WACC'!$F$6</f>
        <v>14468.093954197597</v>
      </c>
    </row>
    <row r="8" spans="1:39" x14ac:dyDescent="0.3">
      <c r="A8" s="42" t="s">
        <v>73</v>
      </c>
      <c r="B8" s="41">
        <f>'Assumptions &amp; WACC'!I11-'Assumptions &amp; WACC'!M3</f>
        <v>-1008.3529350953031</v>
      </c>
      <c r="C8" s="41">
        <f>'Assumptions &amp; WACC'!J11-'Assumptions &amp; WACC'!I11</f>
        <v>1096.5597861942642</v>
      </c>
      <c r="D8" s="41">
        <f>'Assumptions &amp; WACC'!K11-'Assumptions &amp; WACC'!J11</f>
        <v>1024.6104102225945</v>
      </c>
      <c r="E8" s="41">
        <f>'Assumptions &amp; WACC'!L11-'Assumptions &amp; WACC'!K11</f>
        <v>957.38190106355796</v>
      </c>
      <c r="F8" s="41">
        <f>'Assumptions &amp; WACC'!M11-'Assumptions &amp; WACC'!L11</f>
        <v>894.56450504435816</v>
      </c>
      <c r="G8" s="41">
        <f>'Assumptions &amp; WACC'!N11-'Assumptions &amp; WACC'!M11</f>
        <v>835.86879258555382</v>
      </c>
      <c r="H8" s="1"/>
      <c r="I8" s="10" t="s">
        <v>73</v>
      </c>
      <c r="J8" s="15">
        <f>'Assumptions &amp; WACC'!I12-'Assumptions &amp; WACC'!M4</f>
        <v>8241.608698140466</v>
      </c>
      <c r="K8" s="15">
        <f>'Assumptions &amp; WACC'!J12-'Assumptions &amp; WACC'!I12</f>
        <v>-158.90838792867908</v>
      </c>
      <c r="L8" s="15">
        <f>'Assumptions &amp; WACC'!K12-'Assumptions &amp; WACC'!J12</f>
        <v>-160.48599997613201</v>
      </c>
      <c r="M8" s="15">
        <f>'Assumptions &amp; WACC'!L12-'Assumptions &amp; WACC'!K12</f>
        <v>-162.07927425391063</v>
      </c>
      <c r="N8" s="15">
        <f>'Assumptions &amp; WACC'!M12-'Assumptions &amp; WACC'!L12</f>
        <v>-163.68836625364202</v>
      </c>
      <c r="O8" s="15">
        <f>'Assumptions &amp; WACC'!N12-'Assumptions &amp; WACC'!M12</f>
        <v>-165.31343301062952</v>
      </c>
      <c r="Q8" s="42" t="s">
        <v>73</v>
      </c>
      <c r="R8" s="41">
        <f>'Assumptions &amp; WACC'!I13-'Assumptions &amp; WACC'!M5</f>
        <v>393.52222840764443</v>
      </c>
      <c r="S8" s="41">
        <f>'Assumptions &amp; WACC'!J13-'Assumptions &amp; WACC'!I13</f>
        <v>-243.66168230200674</v>
      </c>
      <c r="T8" s="41">
        <f>'Assumptions &amp; WACC'!K13-'Assumptions &amp; WACC'!J13</f>
        <v>-250.36309484040794</v>
      </c>
      <c r="U8" s="41">
        <f>'Assumptions &amp; WACC'!L13-'Assumptions &amp; WACC'!K13</f>
        <v>-257.24881592328711</v>
      </c>
      <c r="V8" s="41">
        <f>'Assumptions &amp; WACC'!M13-'Assumptions &amp; WACC'!L13</f>
        <v>-264.32391457741323</v>
      </c>
      <c r="W8" s="41">
        <f>'Assumptions &amp; WACC'!N13-'Assumptions &amp; WACC'!M13</f>
        <v>-271.59359924270029</v>
      </c>
      <c r="X8" s="1"/>
      <c r="Y8" s="10" t="s">
        <v>73</v>
      </c>
      <c r="Z8" s="15">
        <f>'Assumptions &amp; WACC'!I14-'Assumptions &amp; WACC'!M6</f>
        <v>3678.2254888937587</v>
      </c>
      <c r="AA8" s="15">
        <f>'Assumptions &amp; WACC'!J14-'Assumptions &amp; WACC'!I14</f>
        <v>-329.70907784372866</v>
      </c>
      <c r="AB8" s="15">
        <f>'Assumptions &amp; WACC'!K14-'Assumptions &amp; WACC'!J14</f>
        <v>-341.65269124350198</v>
      </c>
      <c r="AC8" s="15">
        <f>'Assumptions &amp; WACC'!L14-'Assumptions &amp; WACC'!K14</f>
        <v>-354.02895849064953</v>
      </c>
      <c r="AD8" s="15">
        <f>'Assumptions &amp; WACC'!M14-'Assumptions &amp; WACC'!L14</f>
        <v>-366.85355234226517</v>
      </c>
      <c r="AE8" s="15">
        <f>'Assumptions &amp; WACC'!N14-'Assumptions &amp; WACC'!M14</f>
        <v>-380.14271329641633</v>
      </c>
      <c r="AG8" s="42" t="s">
        <v>73</v>
      </c>
      <c r="AH8" s="9">
        <f>'Assumptions &amp; WACC'!I15-'Assumptions &amp; WACC'!M7</f>
        <v>-355.09009247385256</v>
      </c>
      <c r="AI8" s="9">
        <f>'Assumptions &amp; WACC'!J15-'Assumptions &amp; WACC'!I15</f>
        <v>-75.275356489473779</v>
      </c>
      <c r="AJ8" s="9">
        <f>'Assumptions &amp; WACC'!K15-'Assumptions &amp; WACC'!J15</f>
        <v>-77.941774875538613</v>
      </c>
      <c r="AK8" s="9">
        <f>'Assumptions &amp; WACC'!L15-'Assumptions &amp; WACC'!K15</f>
        <v>-80.702643654682106</v>
      </c>
      <c r="AL8" s="9">
        <f>'Assumptions &amp; WACC'!M15-'Assumptions &amp; WACC'!L15</f>
        <v>-83.561308467183153</v>
      </c>
      <c r="AM8" s="9">
        <f>'Assumptions &amp; WACC'!N15-'Assumptions &amp; WACC'!M15</f>
        <v>-86.521233463244243</v>
      </c>
    </row>
    <row r="9" spans="1:39" x14ac:dyDescent="0.3">
      <c r="A9" s="6" t="s">
        <v>74</v>
      </c>
      <c r="B9" s="43">
        <f>B5+B6-B7-B8</f>
        <v>26335.996778964865</v>
      </c>
      <c r="C9" s="43">
        <f t="shared" ref="C9:G9" si="0">C5+C6-C7-C8</f>
        <v>22569.242913816066</v>
      </c>
      <c r="D9" s="43">
        <f t="shared" si="0"/>
        <v>21088.390739364339</v>
      </c>
      <c r="E9" s="43">
        <f t="shared" si="0"/>
        <v>19704.70279726867</v>
      </c>
      <c r="F9" s="43">
        <f t="shared" si="0"/>
        <v>18411.803779978305</v>
      </c>
      <c r="G9" s="43">
        <f t="shared" si="0"/>
        <v>17203.736687640499</v>
      </c>
      <c r="H9" s="1"/>
      <c r="I9" s="44" t="s">
        <v>74</v>
      </c>
      <c r="J9" s="45">
        <f>J5+J6-J7-J8</f>
        <v>25266.347256979643</v>
      </c>
      <c r="K9" s="45">
        <f t="shared" ref="K9:O9" si="1">K5+K6-K7-K8</f>
        <v>33999.524913641901</v>
      </c>
      <c r="L9" s="45">
        <f t="shared" si="1"/>
        <v>34337.065686729205</v>
      </c>
      <c r="M9" s="45">
        <f t="shared" si="1"/>
        <v>34677.957499979173</v>
      </c>
      <c r="N9" s="45">
        <f t="shared" si="1"/>
        <v>35022.233621876854</v>
      </c>
      <c r="O9" s="45">
        <f t="shared" si="1"/>
        <v>35369.927651190461</v>
      </c>
      <c r="Q9" s="6" t="s">
        <v>74</v>
      </c>
      <c r="R9" s="43">
        <f>R5+R6-R7-R8</f>
        <v>15940.359091471737</v>
      </c>
      <c r="S9" s="43">
        <f t="shared" ref="S9:W9" si="2">S5+S6-S7-S8</f>
        <v>17026.772754039303</v>
      </c>
      <c r="T9" s="43">
        <f t="shared" si="2"/>
        <v>17495.059057180784</v>
      </c>
      <c r="U9" s="43">
        <f t="shared" si="2"/>
        <v>17976.224610246951</v>
      </c>
      <c r="V9" s="43">
        <f t="shared" si="2"/>
        <v>18470.623630470938</v>
      </c>
      <c r="W9" s="43">
        <f t="shared" si="2"/>
        <v>18978.620077101095</v>
      </c>
      <c r="X9" s="1"/>
      <c r="Y9" s="44" t="s">
        <v>74</v>
      </c>
      <c r="Z9" s="45">
        <f>Z5+Z6-Z7-Z8</f>
        <v>27092.020431380464</v>
      </c>
      <c r="AA9" s="45">
        <f t="shared" ref="AA9:AE9" si="3">AA5+AA6-AA7-AA8</f>
        <v>32214.598015808493</v>
      </c>
      <c r="AB9" s="45">
        <f t="shared" si="3"/>
        <v>33381.562259092927</v>
      </c>
      <c r="AC9" s="45">
        <f t="shared" si="3"/>
        <v>34590.799435425797</v>
      </c>
      <c r="AD9" s="45">
        <f t="shared" si="3"/>
        <v>35843.840869248947</v>
      </c>
      <c r="AE9" s="45">
        <f t="shared" si="3"/>
        <v>37142.273356777267</v>
      </c>
      <c r="AG9" s="6" t="s">
        <v>74</v>
      </c>
      <c r="AH9" s="22">
        <f>AH5+AH6-AH7-AH8</f>
        <v>23762.649036305214</v>
      </c>
      <c r="AI9" s="22">
        <f t="shared" ref="AI9:AM9" si="4">AI5+AI6-AI7-AI8</f>
        <v>24311.981426969982</v>
      </c>
      <c r="AJ9" s="22">
        <f t="shared" si="4"/>
        <v>25173.165183537298</v>
      </c>
      <c r="AK9" s="22">
        <f t="shared" si="4"/>
        <v>26064.853959401516</v>
      </c>
      <c r="AL9" s="22">
        <f t="shared" si="4"/>
        <v>26988.128309316708</v>
      </c>
      <c r="AM9" s="22">
        <f t="shared" si="4"/>
        <v>27944.107063658616</v>
      </c>
    </row>
    <row r="10" spans="1:39" x14ac:dyDescent="0.3">
      <c r="A10" s="20"/>
      <c r="B10" s="46"/>
      <c r="C10" s="46"/>
      <c r="D10" s="46"/>
      <c r="E10" s="46"/>
      <c r="F10" s="46"/>
      <c r="G10" s="46"/>
      <c r="H10" s="6"/>
      <c r="I10" s="6"/>
      <c r="J10" s="47"/>
      <c r="K10" s="47"/>
      <c r="L10" s="47"/>
      <c r="M10" s="47"/>
      <c r="N10" s="47"/>
      <c r="O10" s="47"/>
      <c r="Q10" s="20"/>
      <c r="R10" s="46"/>
      <c r="S10" s="46"/>
      <c r="T10" s="46"/>
      <c r="U10" s="46"/>
      <c r="V10" s="46"/>
      <c r="W10" s="46"/>
      <c r="X10" s="6"/>
      <c r="Y10" s="6"/>
      <c r="Z10" s="47"/>
      <c r="AA10" s="47"/>
      <c r="AB10" s="47"/>
      <c r="AC10" s="47"/>
      <c r="AD10" s="47"/>
      <c r="AE10" s="47"/>
      <c r="AG10" s="20"/>
      <c r="AH10" s="71"/>
      <c r="AI10" s="71"/>
      <c r="AJ10" s="71"/>
      <c r="AK10" s="71"/>
      <c r="AL10" s="71"/>
      <c r="AM10" s="71"/>
    </row>
    <row r="11" spans="1:39" x14ac:dyDescent="0.3">
      <c r="A11" s="1"/>
      <c r="B11" s="1"/>
      <c r="C11" s="1"/>
      <c r="D11" s="1"/>
      <c r="E11" s="1"/>
      <c r="F11" s="1"/>
      <c r="G11" s="1"/>
      <c r="H11" s="1"/>
      <c r="I11" s="1"/>
      <c r="J11" s="21"/>
      <c r="K11" s="21"/>
      <c r="L11" s="21"/>
      <c r="M11" s="21"/>
      <c r="N11" s="21"/>
      <c r="O11" s="21"/>
      <c r="Q11" s="1"/>
      <c r="R11" s="1"/>
      <c r="S11" s="1"/>
      <c r="T11" s="1"/>
      <c r="U11" s="1"/>
      <c r="V11" s="1"/>
      <c r="W11" s="1"/>
      <c r="X11" s="1"/>
      <c r="Y11" s="1"/>
      <c r="Z11" s="21"/>
      <c r="AA11" s="21"/>
      <c r="AB11" s="21"/>
      <c r="AC11" s="21"/>
      <c r="AD11" s="21"/>
      <c r="AE11" s="21"/>
      <c r="AG11" s="1"/>
      <c r="AH11" s="3"/>
      <c r="AI11" s="3"/>
      <c r="AJ11" s="3"/>
      <c r="AK11" s="3"/>
      <c r="AL11" s="3"/>
      <c r="AM11" s="3"/>
    </row>
    <row r="12" spans="1:39" x14ac:dyDescent="0.3">
      <c r="A12" s="1" t="s">
        <v>75</v>
      </c>
      <c r="B12" s="21" t="s">
        <v>76</v>
      </c>
      <c r="C12" s="1"/>
      <c r="D12" s="1"/>
      <c r="E12" s="1"/>
      <c r="F12" s="1"/>
      <c r="G12" s="1"/>
      <c r="H12" s="1"/>
      <c r="I12" s="1" t="s">
        <v>75</v>
      </c>
      <c r="J12" s="21" t="s">
        <v>76</v>
      </c>
      <c r="K12" s="21"/>
      <c r="L12" s="21"/>
      <c r="M12" s="21"/>
      <c r="N12" s="21"/>
      <c r="O12" s="21"/>
      <c r="Q12" s="1" t="s">
        <v>75</v>
      </c>
      <c r="R12" s="21" t="s">
        <v>76</v>
      </c>
      <c r="S12" s="1"/>
      <c r="T12" s="1"/>
      <c r="U12" s="1"/>
      <c r="V12" s="1"/>
      <c r="W12" s="1"/>
      <c r="X12" s="1"/>
      <c r="Y12" s="1" t="s">
        <v>75</v>
      </c>
      <c r="Z12" s="21" t="s">
        <v>76</v>
      </c>
      <c r="AA12" s="21"/>
      <c r="AB12" s="21"/>
      <c r="AC12" s="21"/>
      <c r="AD12" s="21"/>
      <c r="AE12" s="21"/>
      <c r="AG12" s="1" t="s">
        <v>75</v>
      </c>
      <c r="AH12" s="3" t="s">
        <v>76</v>
      </c>
      <c r="AI12" s="3"/>
      <c r="AJ12" s="3"/>
      <c r="AK12" s="3"/>
      <c r="AL12" s="3"/>
      <c r="AM12" s="3"/>
    </row>
    <row r="13" spans="1:39" x14ac:dyDescent="0.3">
      <c r="A13" s="1" t="s">
        <v>77</v>
      </c>
      <c r="B13" s="9">
        <f ca="1">G9*(1+'Assumptions &amp; WACC'!B25)/('Assumptions &amp; WACC'!B21-'Assumptions &amp; WACC'!B25)</f>
        <v>392082.68004268728</v>
      </c>
      <c r="C13" s="1"/>
      <c r="D13" s="1"/>
      <c r="E13" s="1"/>
      <c r="F13" s="1"/>
      <c r="G13" s="1"/>
      <c r="H13" s="1"/>
      <c r="I13" s="10" t="s">
        <v>77</v>
      </c>
      <c r="J13" s="15">
        <f ca="1">O9*(1+'Assumptions &amp; WACC'!C25)/('Assumptions &amp; WACC'!C21-'Assumptions &amp; WACC'!C25)</f>
        <v>967330.29826719803</v>
      </c>
      <c r="K13" s="21"/>
      <c r="L13" s="21"/>
      <c r="M13" s="21"/>
      <c r="N13" s="21"/>
      <c r="O13" s="21"/>
      <c r="Q13" s="1" t="s">
        <v>77</v>
      </c>
      <c r="R13" s="9">
        <f ca="1">W9*(1+'Assumptions &amp; WACC'!D25)/('Assumptions &amp; WACC'!D21-'Assumptions &amp; WACC'!D25)</f>
        <v>427404.30492643453</v>
      </c>
      <c r="S13" s="1"/>
      <c r="T13" s="1"/>
      <c r="U13" s="1"/>
      <c r="V13" s="1"/>
      <c r="W13" s="1"/>
      <c r="X13" s="1"/>
      <c r="Y13" s="10" t="s">
        <v>77</v>
      </c>
      <c r="Z13" s="15">
        <f ca="1">AE9*(1+'Assumptions &amp; WACC'!E25)/('Assumptions &amp; WACC'!E21-'Assumptions &amp; WACC'!E25)</f>
        <v>723734.1975732242</v>
      </c>
      <c r="AA13" s="21"/>
      <c r="AB13" s="21"/>
      <c r="AC13" s="21"/>
      <c r="AD13" s="21"/>
      <c r="AE13" s="21"/>
      <c r="AG13" s="1" t="s">
        <v>77</v>
      </c>
      <c r="AH13" s="9">
        <f ca="1">AM9*(1+'Assumptions &amp; WACC'!F25)/('Assumptions &amp; WACC'!F21-'Assumptions &amp; WACC'!F25)</f>
        <v>565837.28831436101</v>
      </c>
      <c r="AI13" s="3"/>
      <c r="AJ13" s="3"/>
      <c r="AK13" s="3"/>
      <c r="AL13" s="3"/>
      <c r="AM13" s="3"/>
    </row>
    <row r="14" spans="1:39" x14ac:dyDescent="0.3">
      <c r="A14" s="1" t="s">
        <v>78</v>
      </c>
      <c r="B14" s="9">
        <f ca="1">B13*'Assumptions &amp; WACC'!B23</f>
        <v>294092.02393671009</v>
      </c>
      <c r="C14" s="1"/>
      <c r="D14" s="1"/>
      <c r="E14" s="1"/>
      <c r="F14" s="1"/>
      <c r="G14" s="1"/>
      <c r="H14" s="1"/>
      <c r="I14" s="10" t="s">
        <v>78</v>
      </c>
      <c r="J14" s="15">
        <f ca="1">J13*'Assumptions &amp; WACC'!C23</f>
        <v>756833.74543212226</v>
      </c>
      <c r="K14" s="21"/>
      <c r="L14" s="21"/>
      <c r="M14" s="21"/>
      <c r="N14" s="21"/>
      <c r="O14" s="21"/>
      <c r="Q14" s="1" t="s">
        <v>78</v>
      </c>
      <c r="R14" s="9">
        <f ca="1">R13*'Assumptions &amp; WACC'!D23</f>
        <v>319617.41356895183</v>
      </c>
      <c r="S14" s="1"/>
      <c r="T14" s="1"/>
      <c r="U14" s="1"/>
      <c r="V14" s="1"/>
      <c r="W14" s="1"/>
      <c r="X14" s="1"/>
      <c r="Y14" s="10" t="s">
        <v>78</v>
      </c>
      <c r="Z14" s="15">
        <f ca="1">Z13*'Assumptions &amp; WACC'!E23</f>
        <v>520202.41356029938</v>
      </c>
      <c r="AA14" s="21"/>
      <c r="AB14" s="21"/>
      <c r="AC14" s="21"/>
      <c r="AD14" s="21"/>
      <c r="AE14" s="21"/>
      <c r="AG14" s="1" t="s">
        <v>78</v>
      </c>
      <c r="AH14" s="9">
        <f ca="1">AH13*'Assumptions &amp; WACC'!F23</f>
        <v>411230.25610411947</v>
      </c>
      <c r="AI14" s="3"/>
      <c r="AJ14" s="3"/>
      <c r="AK14" s="3"/>
      <c r="AL14" s="3"/>
      <c r="AM14" s="3"/>
    </row>
    <row r="15" spans="1:39" x14ac:dyDescent="0.3">
      <c r="A15" s="1" t="s">
        <v>79</v>
      </c>
      <c r="B15" s="9">
        <f ca="1">NPV('Assumptions &amp; WACC'!B21,DCF!B9:G9)</f>
        <v>107533.12297008622</v>
      </c>
      <c r="C15" s="1"/>
      <c r="D15" s="1"/>
      <c r="E15" s="1"/>
      <c r="F15" s="1"/>
      <c r="G15" s="1"/>
      <c r="H15" s="1"/>
      <c r="I15" s="10" t="s">
        <v>79</v>
      </c>
      <c r="J15" s="15">
        <f ca="1">NPV('Assumptions &amp; WACC'!C21,DCF!J9:O9)</f>
        <v>171617.9520430727</v>
      </c>
      <c r="K15" s="21"/>
      <c r="L15" s="21"/>
      <c r="M15" s="21"/>
      <c r="N15" s="21"/>
      <c r="O15" s="21"/>
      <c r="Q15" s="1" t="s">
        <v>79</v>
      </c>
      <c r="R15" s="9">
        <f ca="1">NPV('Assumptions &amp; WACC'!D21,DCF!R9:W9)</f>
        <v>89271.066644130624</v>
      </c>
      <c r="S15" s="1"/>
      <c r="T15" s="1"/>
      <c r="U15" s="1"/>
      <c r="V15" s="1"/>
      <c r="W15" s="1"/>
      <c r="X15" s="1"/>
      <c r="Y15" s="10" t="s">
        <v>79</v>
      </c>
      <c r="Z15" s="15">
        <f ca="1">NPV('Assumptions &amp; WACC'!E21,DCF!Z9:AE9)</f>
        <v>164473.57683546856</v>
      </c>
      <c r="AA15" s="21"/>
      <c r="AB15" s="21"/>
      <c r="AC15" s="21"/>
      <c r="AD15" s="21"/>
      <c r="AE15" s="21"/>
      <c r="AG15" s="1" t="s">
        <v>79</v>
      </c>
      <c r="AH15" s="9">
        <f ca="1">NPV('Assumptions &amp; WACC'!F21,DCF!AH9:AM9)</f>
        <v>127914.00061138326</v>
      </c>
      <c r="AI15" s="3"/>
      <c r="AJ15" s="3"/>
      <c r="AK15" s="3"/>
      <c r="AL15" s="3"/>
      <c r="AM15" s="3"/>
    </row>
    <row r="16" spans="1:39" x14ac:dyDescent="0.3">
      <c r="A16" s="1" t="s">
        <v>80</v>
      </c>
      <c r="B16" s="9">
        <f ca="1">B14+B15</f>
        <v>401625.14690679632</v>
      </c>
      <c r="C16" s="1"/>
      <c r="D16" s="1"/>
      <c r="E16" s="1"/>
      <c r="F16" s="1"/>
      <c r="G16" s="1"/>
      <c r="H16" s="1"/>
      <c r="I16" s="10" t="s">
        <v>80</v>
      </c>
      <c r="J16" s="15">
        <f ca="1">J14+J15</f>
        <v>928451.69747519493</v>
      </c>
      <c r="K16" s="21"/>
      <c r="L16" s="21"/>
      <c r="M16" s="21"/>
      <c r="N16" s="21"/>
      <c r="O16" s="21"/>
      <c r="Q16" s="1" t="s">
        <v>80</v>
      </c>
      <c r="R16" s="9">
        <f ca="1">R14+R15</f>
        <v>408888.48021308245</v>
      </c>
      <c r="S16" s="1"/>
      <c r="T16" s="1"/>
      <c r="U16" s="1"/>
      <c r="V16" s="1"/>
      <c r="W16" s="1"/>
      <c r="X16" s="1"/>
      <c r="Y16" s="10" t="s">
        <v>80</v>
      </c>
      <c r="Z16" s="15">
        <f ca="1">Z14+Z15</f>
        <v>684675.99039576796</v>
      </c>
      <c r="AA16" s="21"/>
      <c r="AB16" s="21"/>
      <c r="AC16" s="21"/>
      <c r="AD16" s="21"/>
      <c r="AE16" s="21"/>
      <c r="AG16" s="1" t="s">
        <v>80</v>
      </c>
      <c r="AH16" s="9">
        <f ca="1">AH14+AH15</f>
        <v>539144.25671550271</v>
      </c>
      <c r="AI16" s="3"/>
      <c r="AJ16" s="3"/>
      <c r="AK16" s="3"/>
      <c r="AL16" s="3"/>
      <c r="AM16" s="3"/>
    </row>
    <row r="17" spans="1:39" x14ac:dyDescent="0.3">
      <c r="A17" s="1" t="s">
        <v>81</v>
      </c>
      <c r="B17" s="9">
        <f>'Assumptions &amp; WACC'!B16-'Assumptions &amp; WACC'!B24</f>
        <v>120234</v>
      </c>
      <c r="C17" s="1"/>
      <c r="D17" s="1"/>
      <c r="E17" s="1"/>
      <c r="F17" s="1"/>
      <c r="G17" s="1"/>
      <c r="H17" s="1"/>
      <c r="I17" s="10" t="s">
        <v>81</v>
      </c>
      <c r="J17" s="15">
        <f>'Assumptions &amp; WACC'!C16-'Assumptions &amp; WACC'!C24</f>
        <v>139820</v>
      </c>
      <c r="K17" s="21"/>
      <c r="L17" s="21"/>
      <c r="M17" s="21"/>
      <c r="N17" s="21"/>
      <c r="O17" s="21"/>
      <c r="Q17" s="1" t="s">
        <v>81</v>
      </c>
      <c r="R17" s="9">
        <f>'Assumptions &amp; WACC'!D16-'Assumptions &amp; WACC'!D24</f>
        <v>93474</v>
      </c>
      <c r="S17" s="1"/>
      <c r="T17" s="1"/>
      <c r="U17" s="1"/>
      <c r="V17" s="1"/>
      <c r="W17" s="1"/>
      <c r="X17" s="1"/>
      <c r="Y17" s="10" t="s">
        <v>81</v>
      </c>
      <c r="Z17" s="15">
        <f>'Assumptions &amp; WACC'!E16-'Assumptions &amp; WACC'!E24</f>
        <v>91771</v>
      </c>
      <c r="AA17" s="21"/>
      <c r="AB17" s="21"/>
      <c r="AC17" s="21"/>
      <c r="AD17" s="21"/>
      <c r="AE17" s="21"/>
      <c r="AG17" s="1" t="s">
        <v>81</v>
      </c>
      <c r="AH17" s="9">
        <f>'Assumptions &amp; WACC'!F16-'Assumptions &amp; WACC'!F24</f>
        <v>72856</v>
      </c>
      <c r="AI17" s="3"/>
      <c r="AJ17" s="3"/>
      <c r="AK17" s="3"/>
      <c r="AL17" s="3"/>
      <c r="AM17" s="3"/>
    </row>
    <row r="18" spans="1:39" x14ac:dyDescent="0.3">
      <c r="A18" s="1" t="s">
        <v>82</v>
      </c>
      <c r="B18" s="9">
        <f ca="1">B16-B17</f>
        <v>281391.14690679632</v>
      </c>
      <c r="C18" s="1"/>
      <c r="D18" s="1"/>
      <c r="E18" s="1"/>
      <c r="F18" s="1"/>
      <c r="G18" s="1"/>
      <c r="H18" s="1"/>
      <c r="I18" s="10" t="s">
        <v>82</v>
      </c>
      <c r="J18" s="15">
        <f ca="1">J16-J17</f>
        <v>788631.69747519493</v>
      </c>
      <c r="K18" s="21"/>
      <c r="L18" s="21"/>
      <c r="M18" s="21"/>
      <c r="N18" s="21"/>
      <c r="O18" s="21"/>
      <c r="Q18" s="1" t="s">
        <v>82</v>
      </c>
      <c r="R18" s="9">
        <f ca="1">R16-R17</f>
        <v>315414.48021308245</v>
      </c>
      <c r="S18" s="1"/>
      <c r="T18" s="1"/>
      <c r="U18" s="1"/>
      <c r="V18" s="1"/>
      <c r="W18" s="1"/>
      <c r="X18" s="1"/>
      <c r="Y18" s="10" t="s">
        <v>82</v>
      </c>
      <c r="Z18" s="15">
        <f ca="1">Z16-Z17</f>
        <v>592904.99039576796</v>
      </c>
      <c r="AA18" s="21"/>
      <c r="AB18" s="21"/>
      <c r="AC18" s="21"/>
      <c r="AD18" s="21"/>
      <c r="AE18" s="21"/>
      <c r="AG18" s="1" t="s">
        <v>82</v>
      </c>
      <c r="AH18" s="9">
        <f ca="1">AH16-AH17</f>
        <v>466288.25671550271</v>
      </c>
      <c r="AI18" s="3"/>
      <c r="AJ18" s="3"/>
      <c r="AK18" s="3"/>
      <c r="AL18" s="3"/>
      <c r="AM18" s="3"/>
    </row>
    <row r="19" spans="1:39" x14ac:dyDescent="0.3">
      <c r="A19" s="1" t="s">
        <v>83</v>
      </c>
      <c r="B19" s="9">
        <f ca="1">'Assumptions &amp; WACC'!B26</f>
        <v>7089.45</v>
      </c>
      <c r="C19" s="1"/>
      <c r="D19" s="1"/>
      <c r="E19" s="1"/>
      <c r="F19" s="1"/>
      <c r="G19" s="1"/>
      <c r="H19" s="1"/>
      <c r="I19" s="10" t="s">
        <v>83</v>
      </c>
      <c r="J19" s="15">
        <f ca="1">'Assumptions &amp; WACC'!C26</f>
        <v>4216.4250000000002</v>
      </c>
      <c r="K19" s="21"/>
      <c r="L19" s="21"/>
      <c r="M19" s="21"/>
      <c r="N19" s="21"/>
      <c r="O19" s="21"/>
      <c r="Q19" s="1" t="s">
        <v>83</v>
      </c>
      <c r="R19" s="9">
        <f ca="1">'Assumptions &amp; WACC'!D26</f>
        <v>129.40940000000001</v>
      </c>
      <c r="S19" s="1"/>
      <c r="T19" s="1"/>
      <c r="U19" s="1"/>
      <c r="V19" s="1"/>
      <c r="W19" s="1"/>
      <c r="X19" s="1"/>
      <c r="Y19" s="10" t="s">
        <v>83</v>
      </c>
      <c r="Z19" s="15">
        <f ca="1">'Assumptions &amp; WACC'!E26</f>
        <v>3643.895</v>
      </c>
      <c r="AA19" s="21"/>
      <c r="AB19" s="21"/>
      <c r="AC19" s="21"/>
      <c r="AD19" s="21"/>
      <c r="AE19" s="21"/>
      <c r="AG19" s="1" t="s">
        <v>83</v>
      </c>
      <c r="AH19" s="9">
        <f ca="1">'Assumptions &amp; WACC'!F26</f>
        <v>1118.5070000000001</v>
      </c>
      <c r="AI19" s="3"/>
      <c r="AJ19" s="3"/>
      <c r="AK19" s="3"/>
      <c r="AL19" s="3"/>
      <c r="AM19" s="3"/>
    </row>
    <row r="20" spans="1:39" x14ac:dyDescent="0.3">
      <c r="A20" s="1" t="s">
        <v>84</v>
      </c>
      <c r="B20" s="9">
        <f ca="1">B18/B19</f>
        <v>39.691534167925063</v>
      </c>
      <c r="C20" s="1"/>
      <c r="D20" s="1"/>
      <c r="E20" s="1"/>
      <c r="F20" s="1"/>
      <c r="G20" s="1"/>
      <c r="H20" s="1"/>
      <c r="I20" s="10" t="s">
        <v>84</v>
      </c>
      <c r="J20" s="15">
        <f ca="1">J18/J19</f>
        <v>187.03799960279025</v>
      </c>
      <c r="K20" s="21"/>
      <c r="L20" s="21"/>
      <c r="M20" s="21"/>
      <c r="N20" s="21"/>
      <c r="O20" s="21"/>
      <c r="Q20" s="1" t="s">
        <v>84</v>
      </c>
      <c r="R20" s="9">
        <f ca="1">R18/R19</f>
        <v>2437.3382475545241</v>
      </c>
      <c r="S20" s="1"/>
      <c r="T20" s="1"/>
      <c r="U20" s="1"/>
      <c r="V20" s="1"/>
      <c r="W20" s="1"/>
      <c r="X20" s="1"/>
      <c r="Y20" s="10" t="s">
        <v>84</v>
      </c>
      <c r="Z20" s="15">
        <f ca="1">Z18/Z19</f>
        <v>162.71187572522479</v>
      </c>
      <c r="AA20" s="21"/>
      <c r="AB20" s="21"/>
      <c r="AC20" s="21"/>
      <c r="AD20" s="21"/>
      <c r="AE20" s="21"/>
      <c r="AG20" s="1" t="s">
        <v>84</v>
      </c>
      <c r="AH20" s="9">
        <f ca="1">AH18/AH19</f>
        <v>416.88452259619538</v>
      </c>
      <c r="AI20" s="3"/>
      <c r="AJ20" s="3"/>
      <c r="AK20" s="3"/>
      <c r="AL20" s="3"/>
      <c r="AM20" s="3"/>
    </row>
    <row r="21" spans="1:39" x14ac:dyDescent="0.3">
      <c r="A21" s="1" t="s">
        <v>85</v>
      </c>
      <c r="B21" s="9">
        <f ca="1">Profile!B3</f>
        <v>25.195</v>
      </c>
      <c r="C21" s="1"/>
      <c r="D21" s="1"/>
      <c r="E21" s="1"/>
      <c r="F21" s="1"/>
      <c r="G21" s="1"/>
      <c r="H21" s="1"/>
      <c r="I21" s="10" t="s">
        <v>85</v>
      </c>
      <c r="J21" s="15">
        <f ca="1">Profile!C3</f>
        <v>41.1098</v>
      </c>
      <c r="K21" s="21"/>
      <c r="L21" s="21"/>
      <c r="M21" s="21"/>
      <c r="N21" s="21"/>
      <c r="O21" s="21"/>
      <c r="Q21" s="1" t="s">
        <v>85</v>
      </c>
      <c r="R21" s="9">
        <f ca="1">Profile!D3</f>
        <v>195.11</v>
      </c>
      <c r="S21" s="1"/>
      <c r="T21" s="1"/>
      <c r="U21" s="1"/>
      <c r="V21" s="1"/>
      <c r="W21" s="1"/>
      <c r="X21" s="1"/>
      <c r="Y21" s="10" t="s">
        <v>85</v>
      </c>
      <c r="Z21" s="15">
        <f ca="1">Profile!E3</f>
        <v>26.905000000000001</v>
      </c>
      <c r="AA21" s="21"/>
      <c r="AB21" s="21"/>
      <c r="AC21" s="21"/>
      <c r="AD21" s="21"/>
      <c r="AE21" s="21"/>
      <c r="AG21" s="1" t="s">
        <v>85</v>
      </c>
      <c r="AH21" s="9">
        <f ca="1">Profile!F3</f>
        <v>210.79</v>
      </c>
      <c r="AI21" s="3"/>
      <c r="AJ21" s="3"/>
      <c r="AK21" s="3"/>
      <c r="AL21" s="3"/>
      <c r="AM21" s="3"/>
    </row>
    <row r="22" spans="1:39" x14ac:dyDescent="0.3">
      <c r="A22" s="1" t="s">
        <v>86</v>
      </c>
      <c r="B22" s="48">
        <f ca="1">(B20-B21)/B21</f>
        <v>0.57537345377753768</v>
      </c>
      <c r="C22" s="1"/>
      <c r="D22" s="1"/>
      <c r="E22" s="1"/>
      <c r="F22" s="1"/>
      <c r="G22" s="1"/>
      <c r="H22" s="1"/>
      <c r="I22" s="10" t="s">
        <v>86</v>
      </c>
      <c r="J22" s="49">
        <f ca="1">(J20-J21)/J21</f>
        <v>3.5497180624276994</v>
      </c>
      <c r="K22" s="21"/>
      <c r="L22" s="21"/>
      <c r="M22" s="21"/>
      <c r="N22" s="21"/>
      <c r="O22" s="21"/>
      <c r="Q22" s="1" t="s">
        <v>86</v>
      </c>
      <c r="R22" s="48">
        <f ca="1">(R20-R21)/R21</f>
        <v>11.492123661291188</v>
      </c>
      <c r="S22" s="1"/>
      <c r="T22" s="1"/>
      <c r="U22" s="1"/>
      <c r="V22" s="1"/>
      <c r="W22" s="1"/>
      <c r="X22" s="1"/>
      <c r="Y22" s="10" t="s">
        <v>86</v>
      </c>
      <c r="Z22" s="49">
        <f ca="1">(Z20-Z21)/Z21</f>
        <v>5.0476445168267894</v>
      </c>
      <c r="AA22" s="21"/>
      <c r="AB22" s="21"/>
      <c r="AC22" s="21"/>
      <c r="AD22" s="21"/>
      <c r="AE22" s="21"/>
      <c r="AG22" s="1" t="s">
        <v>86</v>
      </c>
      <c r="AH22" s="48">
        <f ca="1">(AH20-AH21)/AH21</f>
        <v>0.97772438254279326</v>
      </c>
      <c r="AI22" s="3"/>
      <c r="AJ22" s="3"/>
      <c r="AK22" s="3"/>
      <c r="AL22" s="3"/>
      <c r="AM22" s="3"/>
    </row>
  </sheetData>
  <conditionalFormatting sqref="B22">
    <cfRule type="cellIs" dxfId="64" priority="19" operator="lessThan">
      <formula>0</formula>
    </cfRule>
    <cfRule type="cellIs" dxfId="63" priority="20" operator="greaterThan">
      <formula>0</formula>
    </cfRule>
  </conditionalFormatting>
  <conditionalFormatting sqref="J22">
    <cfRule type="cellIs" dxfId="62" priority="17" operator="lessThan">
      <formula>0</formula>
    </cfRule>
    <cfRule type="cellIs" dxfId="61" priority="18" operator="greaterThan">
      <formula>0</formula>
    </cfRule>
  </conditionalFormatting>
  <conditionalFormatting sqref="R22">
    <cfRule type="cellIs" dxfId="60" priority="11" operator="lessThan">
      <formula>0</formula>
    </cfRule>
    <cfRule type="cellIs" dxfId="59" priority="12" operator="greaterThan">
      <formula>0</formula>
    </cfRule>
  </conditionalFormatting>
  <conditionalFormatting sqref="Z22">
    <cfRule type="cellIs" dxfId="58" priority="9" operator="lessThan">
      <formula>0</formula>
    </cfRule>
    <cfRule type="cellIs" dxfId="57" priority="10" operator="greaterThan">
      <formula>0</formula>
    </cfRule>
  </conditionalFormatting>
  <conditionalFormatting sqref="AH22">
    <cfRule type="cellIs" dxfId="56" priority="1" operator="lessThan">
      <formula>0</formula>
    </cfRule>
    <cfRule type="cellIs" dxfId="55" priority="2" operator="greaterThan">
      <formula>0</formula>
    </cfRule>
  </conditionalFormatting>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2EE90-5779-4A83-BCEF-1775805BEB13}">
  <dimension ref="A1:N26"/>
  <sheetViews>
    <sheetView topLeftCell="D1" workbookViewId="0">
      <selection activeCell="L20" sqref="L20"/>
    </sheetView>
  </sheetViews>
  <sheetFormatPr defaultRowHeight="14.4" x14ac:dyDescent="0.3"/>
  <cols>
    <col min="1" max="1" width="66" style="1" bestFit="1" customWidth="1"/>
    <col min="2" max="2" width="10.21875" style="1" bestFit="1" customWidth="1"/>
    <col min="3" max="3" width="10.77734375" style="1" bestFit="1" customWidth="1"/>
    <col min="4" max="5" width="10.88671875" style="1" bestFit="1" customWidth="1"/>
    <col min="6" max="7" width="8.88671875" style="1"/>
    <col min="8" max="8" width="11" style="1" customWidth="1"/>
    <col min="9" max="11" width="10.88671875" style="1" bestFit="1" customWidth="1"/>
    <col min="12" max="12" width="12.33203125" style="1" bestFit="1" customWidth="1"/>
    <col min="13" max="13" width="8.88671875" style="1"/>
    <col min="14" max="14" width="8.88671875" style="3"/>
    <col min="15" max="16384" width="8.88671875" style="1"/>
  </cols>
  <sheetData>
    <row r="1" spans="1:14" x14ac:dyDescent="0.3">
      <c r="A1" s="50" t="s">
        <v>0</v>
      </c>
      <c r="B1" s="51" t="s">
        <v>87</v>
      </c>
      <c r="C1" s="51" t="s">
        <v>8</v>
      </c>
      <c r="D1" s="51" t="s">
        <v>88</v>
      </c>
      <c r="E1" s="51" t="s">
        <v>89</v>
      </c>
      <c r="H1" s="52"/>
      <c r="I1" s="3"/>
      <c r="J1" s="3"/>
      <c r="K1" s="3"/>
      <c r="L1" s="3" t="s">
        <v>41</v>
      </c>
    </row>
    <row r="2" spans="1:14" x14ac:dyDescent="0.3">
      <c r="A2" s="26" t="e" vm="5">
        <v>#VALUE!</v>
      </c>
      <c r="B2" s="38">
        <v>11.96</v>
      </c>
      <c r="C2" s="38" cm="1">
        <f t="array" aca="1" ref="C2" ca="1">_FV(A2,"P/E",TRUE)</f>
        <v>20.272400000000001</v>
      </c>
      <c r="D2" s="38">
        <v>3.27</v>
      </c>
      <c r="E2" s="38">
        <v>3.93</v>
      </c>
      <c r="H2" s="53" t="s">
        <v>0</v>
      </c>
      <c r="I2" s="54" t="s">
        <v>87</v>
      </c>
      <c r="J2" s="54" t="s">
        <v>8</v>
      </c>
      <c r="K2" s="54" t="s">
        <v>88</v>
      </c>
      <c r="L2" s="54" t="s">
        <v>89</v>
      </c>
      <c r="N2" s="3" t="s">
        <v>128</v>
      </c>
    </row>
    <row r="3" spans="1:14" x14ac:dyDescent="0.3">
      <c r="A3" s="26" t="e" vm="1">
        <v>#VALUE!</v>
      </c>
      <c r="B3" s="38">
        <v>7.47</v>
      </c>
      <c r="C3" s="38" cm="1">
        <f t="array" aca="1" ref="C3" ca="1">_FV(A3,"P/E",TRUE)</f>
        <v>8.1752000000000002</v>
      </c>
      <c r="D3" s="38">
        <v>1.34</v>
      </c>
      <c r="E3" s="38">
        <v>1.6</v>
      </c>
      <c r="H3" s="55" t="s">
        <v>97</v>
      </c>
      <c r="I3" s="15">
        <f ca="1">(B22*$B$19)/N3</f>
        <v>70.038733170415185</v>
      </c>
      <c r="J3" s="15">
        <f ca="1">(C22*$C$19)/N3</f>
        <v>21.844694607832764</v>
      </c>
      <c r="K3" s="15">
        <f ca="1">(D22*$D$19)/N3</f>
        <v>35.159229559415756</v>
      </c>
      <c r="L3" s="15">
        <f ca="1">(E22*$E$19)/N3</f>
        <v>65.027286143494905</v>
      </c>
      <c r="N3" s="59">
        <f ca="1">Profile!B6</f>
        <v>7089.45</v>
      </c>
    </row>
    <row r="4" spans="1:14" x14ac:dyDescent="0.3">
      <c r="A4" s="26" t="e" vm="2">
        <v>#VALUE!</v>
      </c>
      <c r="B4" s="38">
        <v>8.6300000000000008</v>
      </c>
      <c r="C4" s="38" cm="1">
        <f t="array" aca="1" ref="C4" ca="1">_FV(A4,"P/E",TRUE)</f>
        <v>8.7640999999999991</v>
      </c>
      <c r="D4" s="38">
        <v>1.26</v>
      </c>
      <c r="E4" s="38">
        <v>1.75</v>
      </c>
      <c r="H4" s="55" t="s">
        <v>98</v>
      </c>
      <c r="I4" s="15">
        <f t="shared" ref="I4:I7" ca="1" si="0">(B23*$B$19)/N4</f>
        <v>126.09640424055924</v>
      </c>
      <c r="J4" s="15">
        <f t="shared" ref="J4:J7" ca="1" si="1">(C23*$C$19)/N4</f>
        <v>79.624901038794704</v>
      </c>
      <c r="K4" s="15">
        <f t="shared" ref="K4:K7" ca="1" si="2">(D23*$D$19)/N4</f>
        <v>65.133507651624299</v>
      </c>
      <c r="L4" s="15">
        <f t="shared" ref="L4:L7" ca="1" si="3">(E23*$E$19)/N4</f>
        <v>92.997451929063118</v>
      </c>
      <c r="N4" s="59">
        <f ca="1">Profile!C6</f>
        <v>4216.4250000000002</v>
      </c>
    </row>
    <row r="5" spans="1:14" x14ac:dyDescent="0.3">
      <c r="A5" s="26" t="e" vm="7">
        <v>#VALUE!</v>
      </c>
      <c r="B5" s="38">
        <v>7.35</v>
      </c>
      <c r="C5" s="38">
        <v>78.739999999999995</v>
      </c>
      <c r="D5" s="38">
        <v>1.92</v>
      </c>
      <c r="E5" s="38">
        <v>1.23</v>
      </c>
      <c r="H5" s="55" t="str">
        <f>A24</f>
        <v>Charter</v>
      </c>
      <c r="I5" s="15">
        <f t="shared" ca="1" si="0"/>
        <v>1916.7174824626338</v>
      </c>
      <c r="J5" s="15">
        <f t="shared" ca="1" si="1"/>
        <v>892.84952938117317</v>
      </c>
      <c r="K5" s="15">
        <f t="shared" ca="1" si="2"/>
        <v>867.2916148285982</v>
      </c>
      <c r="L5" s="15">
        <f t="shared" ca="1" si="3"/>
        <v>593.71781532098896</v>
      </c>
      <c r="N5" s="3">
        <f ca="1">Profile!D6</f>
        <v>129.40940000000001</v>
      </c>
    </row>
    <row r="6" spans="1:14" x14ac:dyDescent="0.3">
      <c r="A6" s="26" t="e" vm="8">
        <v>#VALUE!</v>
      </c>
      <c r="B6" s="38">
        <v>3.71</v>
      </c>
      <c r="C6" s="38" cm="1">
        <f t="array" aca="1" ref="C6" ca="1">_FV(A6,"P/E",TRUE)</f>
        <v>11.0162</v>
      </c>
      <c r="D6" s="38">
        <v>1.29</v>
      </c>
      <c r="E6" s="38">
        <v>2.41</v>
      </c>
      <c r="H6" s="55" t="str">
        <f t="shared" ref="H6:H7" si="4">A25</f>
        <v>Comcast</v>
      </c>
      <c r="I6" s="15">
        <f t="shared" ca="1" si="0"/>
        <v>118.61221903347928</v>
      </c>
      <c r="J6" s="15">
        <f t="shared" ca="1" si="1"/>
        <v>86.013805827967047</v>
      </c>
      <c r="K6" s="15">
        <f t="shared" ca="1" si="2"/>
        <v>69.184735701769668</v>
      </c>
      <c r="L6" s="15">
        <f t="shared" ca="1" si="3"/>
        <v>92.055520946679295</v>
      </c>
      <c r="N6" s="3">
        <f ca="1">Profile!E6</f>
        <v>3643.895</v>
      </c>
    </row>
    <row r="7" spans="1:14" x14ac:dyDescent="0.3">
      <c r="A7" s="26" t="e" vm="9">
        <v>#VALUE!</v>
      </c>
      <c r="B7" s="38">
        <v>14.93</v>
      </c>
      <c r="C7" s="38" cm="1">
        <f t="array" aca="1" ref="C7" ca="1">_FV(A7,"P/E",TRUE)</f>
        <v>32.31</v>
      </c>
      <c r="D7" s="38">
        <v>6.05</v>
      </c>
      <c r="E7" s="38">
        <v>11.09</v>
      </c>
      <c r="H7" s="55" t="str">
        <f t="shared" si="4"/>
        <v>T-Mobile</v>
      </c>
      <c r="I7" s="15">
        <f t="shared" ca="1" si="0"/>
        <v>324.12928294145672</v>
      </c>
      <c r="J7" s="15">
        <f t="shared" ca="1" si="1"/>
        <v>200.1251278825255</v>
      </c>
      <c r="K7" s="15">
        <f t="shared" ca="1" si="2"/>
        <v>148.28025215756361</v>
      </c>
      <c r="L7" s="15">
        <f t="shared" ca="1" si="3"/>
        <v>215.20895600116938</v>
      </c>
      <c r="N7" s="3">
        <f ca="1">Profile!F6</f>
        <v>1118.5070000000001</v>
      </c>
    </row>
    <row r="8" spans="1:14" x14ac:dyDescent="0.3">
      <c r="A8" s="26" t="e" vm="4">
        <v>#VALUE!</v>
      </c>
      <c r="B8" s="38">
        <v>6.22</v>
      </c>
      <c r="C8" s="38" cm="1">
        <f t="array" aca="1" ref="C8" ca="1">_FV(A8,"P/E",TRUE)</f>
        <v>4.4671000000000003</v>
      </c>
      <c r="D8" s="38">
        <v>1.21</v>
      </c>
      <c r="E8" s="38">
        <v>1.66</v>
      </c>
      <c r="H8" s="52"/>
      <c r="I8" s="56"/>
      <c r="J8" s="56"/>
      <c r="K8" s="56"/>
      <c r="L8" s="56"/>
    </row>
    <row r="9" spans="1:14" x14ac:dyDescent="0.3">
      <c r="A9" s="26" t="e" vm="10">
        <v>#VALUE!</v>
      </c>
      <c r="B9" s="38">
        <v>21.06</v>
      </c>
      <c r="C9" s="38" cm="1">
        <f t="array" aca="1" ref="C9" ca="1">_FV(A9,"P/E",TRUE)</f>
        <v>28.73</v>
      </c>
      <c r="D9" s="38">
        <v>7.68</v>
      </c>
      <c r="E9" s="38">
        <v>23.54</v>
      </c>
      <c r="H9" s="52"/>
      <c r="I9" s="3"/>
      <c r="J9" s="3"/>
      <c r="K9" s="3"/>
      <c r="L9" s="3"/>
    </row>
    <row r="10" spans="1:14" x14ac:dyDescent="0.3">
      <c r="A10" s="26" t="e" vm="11">
        <v>#VALUE!</v>
      </c>
      <c r="B10" s="38">
        <v>5.24</v>
      </c>
      <c r="C10" s="38">
        <v>13.76</v>
      </c>
      <c r="D10" s="38">
        <v>0.67</v>
      </c>
      <c r="E10" s="38">
        <v>0.44</v>
      </c>
      <c r="H10" s="52"/>
      <c r="I10" s="3"/>
      <c r="J10" s="3"/>
      <c r="K10" s="3"/>
      <c r="L10" s="3"/>
    </row>
    <row r="11" spans="1:14" x14ac:dyDescent="0.3">
      <c r="A11" s="26" t="e" vm="12">
        <v>#VALUE!</v>
      </c>
      <c r="B11" s="38">
        <v>1.58</v>
      </c>
      <c r="C11" s="38" cm="1">
        <f t="array" aca="1" ref="C11" ca="1">_FV(A11,"P/E",TRUE)</f>
        <v>43.524999999999999</v>
      </c>
      <c r="D11" s="38">
        <v>0.74</v>
      </c>
      <c r="E11" s="38">
        <v>1.2</v>
      </c>
      <c r="H11" s="52"/>
      <c r="I11" s="3"/>
      <c r="J11" s="3"/>
      <c r="K11" s="3"/>
      <c r="L11" s="3"/>
    </row>
    <row r="12" spans="1:14" x14ac:dyDescent="0.3">
      <c r="A12" s="26" t="e" vm="13">
        <v>#VALUE!</v>
      </c>
      <c r="B12" s="38">
        <v>16.46</v>
      </c>
      <c r="C12" s="38">
        <v>0</v>
      </c>
      <c r="D12" s="38">
        <v>1.58</v>
      </c>
      <c r="E12" s="38">
        <v>4.2</v>
      </c>
      <c r="H12" s="57" t="s">
        <v>0</v>
      </c>
      <c r="I12" s="58" t="s">
        <v>90</v>
      </c>
      <c r="J12" s="58" t="s">
        <v>91</v>
      </c>
      <c r="K12" s="58" t="s">
        <v>92</v>
      </c>
      <c r="L12" s="3"/>
    </row>
    <row r="13" spans="1:14" x14ac:dyDescent="0.3">
      <c r="A13" s="26" t="e" vm="14">
        <v>#VALUE!</v>
      </c>
      <c r="B13" s="38">
        <v>5.98</v>
      </c>
      <c r="C13" s="38" cm="1">
        <f t="array" aca="1" ref="C13" ca="1">_FV(A13,"P/E",TRUE)</f>
        <v>11.9771</v>
      </c>
      <c r="D13" s="38">
        <v>0.96</v>
      </c>
      <c r="E13" s="38">
        <v>1.29</v>
      </c>
      <c r="H13" s="52" t="str">
        <f>H3</f>
        <v>AT&amp;T</v>
      </c>
      <c r="I13" s="59">
        <f ca="1">AVERAGE(I3:L3)</f>
        <v>48.017485870289654</v>
      </c>
      <c r="J13" s="9">
        <f ca="1">Profile!B3</f>
        <v>25.195</v>
      </c>
      <c r="K13" s="48">
        <f ca="1">(Table24[[#This Row],[Target Price]]-J13)/J13</f>
        <v>0.90583393015636648</v>
      </c>
      <c r="L13" s="3"/>
    </row>
    <row r="14" spans="1:14" x14ac:dyDescent="0.3">
      <c r="A14" s="26" t="e" vm="15">
        <v>#VALUE!</v>
      </c>
      <c r="B14" s="38">
        <v>3.55</v>
      </c>
      <c r="C14" s="38" cm="1">
        <f t="array" aca="1" ref="C14" ca="1">_FV(A14,"P/E",TRUE)</f>
        <v>11.75</v>
      </c>
      <c r="D14" s="38">
        <v>0.84</v>
      </c>
      <c r="E14" s="38">
        <v>0.96</v>
      </c>
      <c r="H14" s="52" t="str">
        <f>H4</f>
        <v>Verizon</v>
      </c>
      <c r="I14" s="59">
        <f t="shared" ref="I14:I17" ca="1" si="5">AVERAGE(I4:L4)</f>
        <v>90.963066215010343</v>
      </c>
      <c r="J14" s="9">
        <f ca="1">Profile!C3</f>
        <v>41.1098</v>
      </c>
      <c r="K14" s="48">
        <f ca="1">(Table24[[#This Row],[Target Price]]-J14)/J14</f>
        <v>1.2126856908817445</v>
      </c>
      <c r="L14" s="3"/>
    </row>
    <row r="15" spans="1:14" x14ac:dyDescent="0.3">
      <c r="A15" s="26" t="e" vm="16">
        <v>#VALUE!</v>
      </c>
      <c r="B15" s="38">
        <v>8.41</v>
      </c>
      <c r="C15" s="38">
        <v>24.51</v>
      </c>
      <c r="D15" s="38">
        <v>2.4700000000000002</v>
      </c>
      <c r="E15" s="38">
        <v>3.97</v>
      </c>
      <c r="H15" s="52" t="str">
        <f t="shared" ref="H15:H17" si="6">H5</f>
        <v>Charter</v>
      </c>
      <c r="I15" s="59">
        <f t="shared" ca="1" si="5"/>
        <v>1067.6441104983485</v>
      </c>
      <c r="J15" s="9">
        <f ca="1">Profile!D3</f>
        <v>195.11</v>
      </c>
      <c r="K15" s="48">
        <f ca="1">(Table24[[#This Row],[Target Price]]-J15)/J15</f>
        <v>4.4720112269916887</v>
      </c>
      <c r="L15" s="3"/>
    </row>
    <row r="16" spans="1:14" x14ac:dyDescent="0.3">
      <c r="A16" s="26" t="e" vm="17">
        <v>#VALUE!</v>
      </c>
      <c r="B16" s="38">
        <v>2.63</v>
      </c>
      <c r="C16" s="38" cm="1">
        <f t="array" aca="1" ref="C16" ca="1">_FV(A16,"P/E",TRUE)</f>
        <v>12.583299999999999</v>
      </c>
      <c r="D16" s="38">
        <v>0.42</v>
      </c>
      <c r="E16" s="38">
        <v>0.64</v>
      </c>
      <c r="H16" s="52" t="str">
        <f t="shared" si="6"/>
        <v>Comcast</v>
      </c>
      <c r="I16" s="59">
        <f t="shared" ca="1" si="5"/>
        <v>91.466570377473815</v>
      </c>
      <c r="J16" s="9">
        <f ca="1">Profile!E3</f>
        <v>26.905000000000001</v>
      </c>
      <c r="K16" s="48">
        <f ca="1">(Table24[[#This Row],[Target Price]]-J16)/J16</f>
        <v>2.3996123537436835</v>
      </c>
      <c r="L16" s="3"/>
    </row>
    <row r="17" spans="1:12" x14ac:dyDescent="0.3">
      <c r="A17" s="26" t="e" vm="3">
        <v>#VALUE!</v>
      </c>
      <c r="B17" s="38">
        <v>6.77</v>
      </c>
      <c r="C17" s="38" cm="1">
        <f t="array" aca="1" ref="C17" ca="1">_FV(A17,"P/E",TRUE)</f>
        <v>5.2729999999999997</v>
      </c>
      <c r="D17" s="38">
        <v>0.9</v>
      </c>
      <c r="E17" s="38">
        <v>2.4700000000000002</v>
      </c>
      <c r="H17" s="52" t="str">
        <f t="shared" si="6"/>
        <v>T-Mobile</v>
      </c>
      <c r="I17" s="59">
        <f t="shared" ca="1" si="5"/>
        <v>221.93590474567878</v>
      </c>
      <c r="J17" s="9">
        <f ca="1">Profile!F3</f>
        <v>210.79</v>
      </c>
      <c r="K17" s="48">
        <f ca="1">(Table24[[#This Row],[Target Price]]-J17)/J17</f>
        <v>5.2876819325768737E-2</v>
      </c>
      <c r="L17" s="3"/>
    </row>
    <row r="18" spans="1:12" x14ac:dyDescent="0.3">
      <c r="A18" s="60"/>
      <c r="B18" s="61"/>
      <c r="C18" s="61"/>
      <c r="D18" s="61"/>
      <c r="E18" s="62"/>
      <c r="H18" s="52"/>
      <c r="I18" s="3"/>
      <c r="J18" s="3"/>
      <c r="K18" s="3"/>
      <c r="L18" s="3"/>
    </row>
    <row r="19" spans="1:12" x14ac:dyDescent="0.3">
      <c r="A19" s="36" t="s">
        <v>93</v>
      </c>
      <c r="B19" s="63">
        <f>AVERAGE(B2:B17)</f>
        <v>8.2468749999999993</v>
      </c>
      <c r="C19" s="63">
        <f t="shared" ref="C19:E19" ca="1" si="7">AVERAGE(C2:C17)</f>
        <v>19.740837499999998</v>
      </c>
      <c r="D19" s="63">
        <f t="shared" si="7"/>
        <v>2.0375000000000001</v>
      </c>
      <c r="E19" s="63">
        <f t="shared" si="7"/>
        <v>3.8987499999999997</v>
      </c>
      <c r="H19" s="52"/>
      <c r="I19" s="3"/>
      <c r="J19" s="3"/>
      <c r="K19" s="3"/>
      <c r="L19" s="3"/>
    </row>
    <row r="20" spans="1:12" x14ac:dyDescent="0.3">
      <c r="B20" s="3"/>
      <c r="C20" s="3"/>
      <c r="D20" s="3"/>
      <c r="E20" s="3"/>
      <c r="H20" s="52"/>
      <c r="I20" s="3"/>
      <c r="J20" s="3"/>
      <c r="K20" s="3"/>
      <c r="L20" s="3"/>
    </row>
    <row r="21" spans="1:12" x14ac:dyDescent="0.3">
      <c r="A21" s="64" t="s">
        <v>0</v>
      </c>
      <c r="B21" s="65" t="s">
        <v>94</v>
      </c>
      <c r="C21" s="65" t="s">
        <v>95</v>
      </c>
      <c r="D21" s="65" t="s">
        <v>17</v>
      </c>
      <c r="E21" s="65" t="s">
        <v>96</v>
      </c>
      <c r="F21" s="66"/>
      <c r="G21" s="66"/>
      <c r="H21" s="67"/>
      <c r="I21" s="2"/>
      <c r="J21" s="2"/>
      <c r="K21" s="2"/>
      <c r="L21" s="2"/>
    </row>
    <row r="22" spans="1:12" x14ac:dyDescent="0.3">
      <c r="A22" s="10" t="str">
        <f>H3</f>
        <v>AT&amp;T</v>
      </c>
      <c r="B22" s="68">
        <f>Financials!F6+Financials!F7</f>
        <v>60209</v>
      </c>
      <c r="C22" s="68">
        <f>Financials!F10</f>
        <v>7845</v>
      </c>
      <c r="D22" s="68">
        <f>Financials!F3</f>
        <v>122336</v>
      </c>
      <c r="E22" s="68">
        <f>Table2[[#This Row],[2024]]</f>
        <v>118245</v>
      </c>
      <c r="H22" s="52"/>
      <c r="I22" s="3"/>
      <c r="J22" s="3"/>
      <c r="K22" s="3"/>
      <c r="L22" s="3"/>
    </row>
    <row r="23" spans="1:12" x14ac:dyDescent="0.3">
      <c r="A23" s="10" t="str">
        <f>H4</f>
        <v>Verizon</v>
      </c>
      <c r="B23" s="68">
        <f>Financials!M6+Financials!M7</f>
        <v>64470</v>
      </c>
      <c r="C23" s="68">
        <f>Financials!M10</f>
        <v>17007</v>
      </c>
      <c r="D23" s="68">
        <f>Financials!M3</f>
        <v>134788</v>
      </c>
      <c r="E23" s="68">
        <f>Financials!M22</f>
        <v>100575</v>
      </c>
      <c r="H23" s="52"/>
      <c r="I23" s="3"/>
      <c r="J23" s="3"/>
      <c r="K23" s="3"/>
      <c r="L23" s="3"/>
    </row>
    <row r="24" spans="1:12" x14ac:dyDescent="0.3">
      <c r="A24" s="10" t="s">
        <v>121</v>
      </c>
      <c r="B24" s="68">
        <f>Financials!T6+Financials!T7</f>
        <v>30077</v>
      </c>
      <c r="C24" s="68">
        <f>Financials!T10</f>
        <v>5853</v>
      </c>
      <c r="D24" s="68">
        <f>Financials!T3</f>
        <v>55085</v>
      </c>
      <c r="E24" s="68">
        <f>Financials!T22</f>
        <v>19707</v>
      </c>
    </row>
    <row r="25" spans="1:12" x14ac:dyDescent="0.3">
      <c r="A25" s="10" t="s">
        <v>122</v>
      </c>
      <c r="B25" s="68">
        <f>Financials!AB6+Financials!AB7</f>
        <v>52409</v>
      </c>
      <c r="C25" s="68">
        <f>Financials!AB10</f>
        <v>15877</v>
      </c>
      <c r="D25" s="68">
        <f>Financials!AB3</f>
        <v>123731</v>
      </c>
      <c r="E25" s="68">
        <f>Financials!AB22</f>
        <v>86038</v>
      </c>
    </row>
    <row r="26" spans="1:12" x14ac:dyDescent="0.3">
      <c r="A26" s="88" t="s">
        <v>123</v>
      </c>
      <c r="B26" s="99">
        <f>Financials!AJ6+Financials!AJ7</f>
        <v>43961</v>
      </c>
      <c r="C26" s="99">
        <f>Financials!AJ10</f>
        <v>11339</v>
      </c>
      <c r="D26" s="99">
        <f>Financials!AJ3</f>
        <v>81400</v>
      </c>
      <c r="E26" s="99">
        <f>Financials!AJ22</f>
        <v>61741</v>
      </c>
    </row>
  </sheetData>
  <conditionalFormatting sqref="I8:L8">
    <cfRule type="cellIs" dxfId="54" priority="3" operator="lessThan">
      <formula>0</formula>
    </cfRule>
    <cfRule type="cellIs" dxfId="53" priority="4" operator="greaterThan">
      <formula>0</formula>
    </cfRule>
  </conditionalFormatting>
  <conditionalFormatting sqref="K13:K17">
    <cfRule type="cellIs" dxfId="52" priority="1" operator="greaterThan">
      <formula>0</formula>
    </cfRule>
    <cfRule type="cellIs" dxfId="51" priority="2" operator="lessThan">
      <formula>0</formula>
    </cfRule>
  </conditionalFormatting>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B1F9E-DA64-432E-B512-3313B2F4AC20}">
  <dimension ref="A1:AF73"/>
  <sheetViews>
    <sheetView topLeftCell="A17" workbookViewId="0">
      <selection activeCell="D73" sqref="D73"/>
    </sheetView>
  </sheetViews>
  <sheetFormatPr defaultRowHeight="14.4" x14ac:dyDescent="0.3"/>
  <cols>
    <col min="1" max="1" width="7.6640625" style="1" bestFit="1" customWidth="1"/>
    <col min="2" max="2" width="16.88671875" style="3" bestFit="1" customWidth="1"/>
    <col min="3" max="3" width="9.109375" style="3" bestFit="1" customWidth="1"/>
    <col min="4" max="4" width="10.88671875" style="3" bestFit="1" customWidth="1"/>
    <col min="5" max="5" width="8.88671875" style="1"/>
    <col min="6" max="6" width="15.5546875" style="1" customWidth="1"/>
    <col min="7" max="15" width="15.5546875" style="3" customWidth="1"/>
    <col min="16" max="17" width="8.88671875" style="1"/>
    <col min="18" max="23" width="10.88671875" style="1" bestFit="1" customWidth="1"/>
    <col min="24" max="16384" width="8.88671875" style="1"/>
  </cols>
  <sheetData>
    <row r="1" spans="1:32" s="66" customFormat="1" ht="28.8" x14ac:dyDescent="0.3">
      <c r="A1" s="66" t="s">
        <v>9</v>
      </c>
      <c r="B1" s="2" t="s">
        <v>11</v>
      </c>
      <c r="C1" s="2" t="s">
        <v>0</v>
      </c>
      <c r="D1" s="2" t="s">
        <v>76</v>
      </c>
      <c r="F1" s="66" t="s">
        <v>0</v>
      </c>
      <c r="G1" s="2" t="s">
        <v>106</v>
      </c>
      <c r="H1" s="2" t="s">
        <v>107</v>
      </c>
      <c r="I1" s="2" t="s">
        <v>108</v>
      </c>
      <c r="J1" s="2" t="s">
        <v>109</v>
      </c>
      <c r="K1" s="2" t="s">
        <v>37</v>
      </c>
      <c r="L1" s="2" t="s">
        <v>72</v>
      </c>
      <c r="M1" s="2" t="s">
        <v>110</v>
      </c>
      <c r="N1" s="2" t="s">
        <v>111</v>
      </c>
      <c r="O1" s="2" t="s">
        <v>112</v>
      </c>
      <c r="Q1" s="77" t="s">
        <v>11</v>
      </c>
      <c r="R1" s="80">
        <v>2020</v>
      </c>
      <c r="S1" s="80">
        <v>2021</v>
      </c>
      <c r="T1" s="80">
        <v>2022</v>
      </c>
      <c r="U1" s="80">
        <v>2023</v>
      </c>
      <c r="V1" s="80">
        <v>2024</v>
      </c>
      <c r="W1" s="1"/>
      <c r="X1" s="1"/>
      <c r="Y1" s="1"/>
      <c r="Z1" s="1"/>
      <c r="AA1" s="1"/>
      <c r="AB1" s="1"/>
      <c r="AC1" s="1"/>
      <c r="AD1" s="1"/>
      <c r="AE1" s="1"/>
      <c r="AF1" s="1"/>
    </row>
    <row r="2" spans="1:32" x14ac:dyDescent="0.3">
      <c r="A2" s="1" t="s">
        <v>101</v>
      </c>
      <c r="B2" s="3" t="s">
        <v>102</v>
      </c>
      <c r="C2" s="3" t="s">
        <v>97</v>
      </c>
      <c r="D2" s="59">
        <f>AVERAGE(Financials!B27:F27)</f>
        <v>17792.400000000001</v>
      </c>
      <c r="F2" s="1" t="str">
        <f>C2</f>
        <v>AT&amp;T</v>
      </c>
      <c r="G2" s="59">
        <f>Financials!F6-Financials!B6</f>
        <v>4708</v>
      </c>
      <c r="H2" s="9">
        <f>(394795-46872)-(525761-63438)</f>
        <v>-114400</v>
      </c>
      <c r="I2" s="48">
        <f>G2/H2</f>
        <v>-4.1153846153846152E-2</v>
      </c>
      <c r="J2" s="9">
        <f>DCF!G4-DCF!B4</f>
        <v>-8524.2240601535887</v>
      </c>
      <c r="K2" s="59">
        <f>D8</f>
        <v>12870.507523483817</v>
      </c>
      <c r="L2" s="9">
        <f>AVERAGE(DCF!B6:G6)</f>
        <v>15009.371119481939</v>
      </c>
      <c r="M2" s="9">
        <f>IF(K2-L2&lt;=0,K2,MAX(K2-L2,0.1*K2))</f>
        <v>12870.507523483817</v>
      </c>
      <c r="N2" s="48">
        <f>J2/M2</f>
        <v>-0.66230675399552796</v>
      </c>
      <c r="O2" s="5">
        <f>MIN(MAX(N2,0.05),0.15)</f>
        <v>0.05</v>
      </c>
      <c r="Q2" s="10" t="s">
        <v>17</v>
      </c>
      <c r="R2" s="15" cm="1">
        <f t="array" ref="R2:V2">Financials!B3:F3</f>
        <v>171760</v>
      </c>
      <c r="S2" s="15">
        <v>134038</v>
      </c>
      <c r="T2" s="15">
        <v>120741</v>
      </c>
      <c r="U2" s="15">
        <v>122428</v>
      </c>
      <c r="V2" s="15">
        <v>122336</v>
      </c>
    </row>
    <row r="3" spans="1:32" x14ac:dyDescent="0.3">
      <c r="A3" s="1" t="s">
        <v>101</v>
      </c>
      <c r="B3" s="3" t="s">
        <v>102</v>
      </c>
      <c r="C3" s="3" t="s">
        <v>98</v>
      </c>
      <c r="D3" s="59">
        <f>AVERAGE(Financials!I27:M27)</f>
        <v>19484.400000000001</v>
      </c>
      <c r="F3" s="1" t="str">
        <f t="shared" ref="F3:F6" si="0">C3</f>
        <v>Verizon</v>
      </c>
      <c r="G3" s="59">
        <f>Financials!M6-Financials!I6</f>
        <v>1060</v>
      </c>
      <c r="H3" s="9">
        <f>(384711-64771)-(316481-39660)</f>
        <v>43119</v>
      </c>
      <c r="I3" s="48">
        <f>G3/H3</f>
        <v>2.4583130406549317E-2</v>
      </c>
      <c r="J3" s="9">
        <f>DCF!O4-DCF!J4</f>
        <v>2362.7823424795279</v>
      </c>
      <c r="K3" s="59">
        <f>D9</f>
        <v>20367.309551662009</v>
      </c>
      <c r="L3" s="9">
        <f>AVERAGE(DCF!J6:O6)</f>
        <v>17883.43522365297</v>
      </c>
      <c r="M3" s="9">
        <f>IF(K3-L3&lt;=0,K3,MAX(K3-L3,0.1*K3))</f>
        <v>2483.8743280090384</v>
      </c>
      <c r="N3" s="48">
        <f t="shared" ref="N3:N6" si="1">J3/M3</f>
        <v>0.95124874710284857</v>
      </c>
      <c r="O3" s="5">
        <f>MIN(MAX(N3,0.05),0.15)</f>
        <v>0.15</v>
      </c>
      <c r="Q3" s="10" t="s">
        <v>117</v>
      </c>
      <c r="R3" s="15" cm="1">
        <f t="array" ref="R3:V3">Financials!B6:F6</f>
        <v>34921</v>
      </c>
      <c r="S3" s="15">
        <v>43749</v>
      </c>
      <c r="T3" s="15">
        <v>13434</v>
      </c>
      <c r="U3" s="15">
        <v>42238</v>
      </c>
      <c r="V3" s="15">
        <v>39629</v>
      </c>
    </row>
    <row r="4" spans="1:32" x14ac:dyDescent="0.3">
      <c r="A4" s="1" t="s">
        <v>101</v>
      </c>
      <c r="B4" s="3" t="s">
        <v>102</v>
      </c>
      <c r="C4" s="3" t="s">
        <v>121</v>
      </c>
      <c r="D4" s="59">
        <f>AVERAGE(Financials!P27:T27)</f>
        <v>9362</v>
      </c>
      <c r="F4" s="1" t="str">
        <f t="shared" si="0"/>
        <v>Charter</v>
      </c>
      <c r="G4" s="59">
        <f>Financials!T6-Financials!P6</f>
        <v>3550</v>
      </c>
      <c r="H4" s="59">
        <f>(Financials!T15-Financials!T20)-(Financials!P15-Financials!P20)</f>
        <v>2203</v>
      </c>
      <c r="I4" s="48">
        <f t="shared" ref="I4:I6" si="2">G4/H4</f>
        <v>1.6114389468906036</v>
      </c>
      <c r="J4" s="9">
        <f>Table919[[#This Row],[2030]]-Table919[[#This Row],[2025]]</f>
        <v>3142.3579424646523</v>
      </c>
      <c r="K4" s="59">
        <f t="shared" ref="K4:K6" si="3">D10</f>
        <v>10772.333276894931</v>
      </c>
      <c r="L4" s="9">
        <f>AVERAGE(DCF!R6:W6)</f>
        <v>10429.671361720899</v>
      </c>
      <c r="M4" s="9">
        <f t="shared" ref="M4:M6" si="4">IF(K4-L4&lt;=0,K4,MAX(K4-L4,0.1*K4))</f>
        <v>1077.2333276894931</v>
      </c>
      <c r="N4" s="48">
        <f t="shared" si="1"/>
        <v>2.9170634269221392</v>
      </c>
      <c r="O4" s="5">
        <f t="shared" ref="O4:O6" si="5">MIN(MAX(N4,0.05),0.15)</f>
        <v>0.15</v>
      </c>
      <c r="Q4" s="10" t="s">
        <v>95</v>
      </c>
      <c r="R4" s="15" cm="1">
        <f t="array" ref="R4:V4">Financials!B10:F10</f>
        <v>-2485</v>
      </c>
      <c r="S4" s="15">
        <v>13786</v>
      </c>
      <c r="T4" s="15">
        <v>-14475</v>
      </c>
      <c r="U4" s="15">
        <v>12532</v>
      </c>
      <c r="V4" s="15">
        <v>7845</v>
      </c>
    </row>
    <row r="5" spans="1:32" x14ac:dyDescent="0.3">
      <c r="A5" s="1" t="s">
        <v>101</v>
      </c>
      <c r="B5" s="3" t="s">
        <v>102</v>
      </c>
      <c r="C5" s="3" t="s">
        <v>122</v>
      </c>
      <c r="D5" s="59">
        <f>AVERAGE(Financials!X27:AB27)</f>
        <v>10680.4</v>
      </c>
      <c r="F5" s="1" t="str">
        <f t="shared" si="0"/>
        <v>Comcast</v>
      </c>
      <c r="G5" s="59">
        <f>Financials!AB6-Financials!X6</f>
        <v>5855</v>
      </c>
      <c r="H5" s="59">
        <f>(Financials!AB15-Financials!AB20)-(Financials!X15-Financials!X20)</f>
        <v>-18443</v>
      </c>
      <c r="I5" s="48">
        <f t="shared" si="2"/>
        <v>-0.31746462072330967</v>
      </c>
      <c r="J5" s="9">
        <f>DCF!AE4-DCF!Z4</f>
        <v>6871.9573395509287</v>
      </c>
      <c r="K5" s="59">
        <f t="shared" si="3"/>
        <v>12779.855434844971</v>
      </c>
      <c r="L5" s="9">
        <f>AVERAGE(DCF!Z6:AE6)</f>
        <v>16718.966712653822</v>
      </c>
      <c r="M5" s="9">
        <f t="shared" si="4"/>
        <v>12779.855434844971</v>
      </c>
      <c r="N5" s="48">
        <f t="shared" si="1"/>
        <v>0.53771792447778111</v>
      </c>
      <c r="O5" s="5">
        <f t="shared" si="5"/>
        <v>0.15</v>
      </c>
      <c r="R5" s="3"/>
      <c r="S5" s="3"/>
      <c r="T5" s="3"/>
      <c r="U5" s="3"/>
      <c r="V5" s="3"/>
    </row>
    <row r="6" spans="1:32" x14ac:dyDescent="0.3">
      <c r="A6" s="1" t="s">
        <v>101</v>
      </c>
      <c r="B6" s="3" t="s">
        <v>102</v>
      </c>
      <c r="C6" s="3" t="s">
        <v>123</v>
      </c>
      <c r="D6" s="59">
        <f>AVERAGE(Financials!AF27:AJ27)</f>
        <v>11194.2</v>
      </c>
      <c r="F6" s="1" t="str">
        <f t="shared" si="0"/>
        <v>T-Mobile</v>
      </c>
      <c r="G6" s="59">
        <f>Table184447[[#This Row],[2024]]-Table184447[[#This Row],[2020]]</f>
        <v>10631</v>
      </c>
      <c r="H6" s="59">
        <f>(Financials!AJ15-Financials!AJ20)-(Financials!AF15-Financials!AF20)</f>
        <v>9402</v>
      </c>
      <c r="I6" s="48">
        <f t="shared" si="2"/>
        <v>1.1307168687513296</v>
      </c>
      <c r="J6" s="9">
        <f>DCF!AM4-DCF!AH4</f>
        <v>5031.1171608582081</v>
      </c>
      <c r="K6" s="59">
        <f t="shared" si="3"/>
        <v>13285.710165684011</v>
      </c>
      <c r="L6" s="9">
        <f>AVERAGE(Table91934[[#This Row],[2025]:[2030]])</f>
        <v>16597.227603668991</v>
      </c>
      <c r="M6" s="9">
        <f t="shared" si="4"/>
        <v>13285.710165684011</v>
      </c>
      <c r="N6" s="48">
        <f t="shared" si="1"/>
        <v>0.37868635534841072</v>
      </c>
      <c r="O6" s="5">
        <f t="shared" si="5"/>
        <v>0.15</v>
      </c>
      <c r="Q6" s="77" t="s">
        <v>11</v>
      </c>
      <c r="R6" s="80">
        <v>2020</v>
      </c>
      <c r="S6" s="80">
        <v>2021</v>
      </c>
      <c r="T6" s="80">
        <v>2022</v>
      </c>
      <c r="U6" s="80">
        <v>2023</v>
      </c>
      <c r="V6" s="80">
        <v>2024</v>
      </c>
    </row>
    <row r="7" spans="1:32" x14ac:dyDescent="0.3">
      <c r="A7" s="6" t="s">
        <v>101</v>
      </c>
      <c r="B7" s="70" t="s">
        <v>102</v>
      </c>
      <c r="C7" s="70" t="s">
        <v>93</v>
      </c>
      <c r="D7" s="71">
        <f>AVERAGE(D2:D6)</f>
        <v>13702.680000000002</v>
      </c>
      <c r="H7" s="70" t="s">
        <v>93</v>
      </c>
      <c r="I7" s="73">
        <f>AVERAGE(I2:I6)</f>
        <v>0.48162409583426535</v>
      </c>
      <c r="J7" s="70"/>
      <c r="K7" s="71"/>
      <c r="L7" s="70"/>
      <c r="M7" s="70" t="s">
        <v>93</v>
      </c>
      <c r="N7" s="73">
        <f>AVERAGE(N2:N6)</f>
        <v>0.8244819399711304</v>
      </c>
      <c r="O7" s="73">
        <f>AVERAGE(O2:O6)</f>
        <v>0.13</v>
      </c>
      <c r="Q7" s="10" t="s">
        <v>17</v>
      </c>
      <c r="R7" s="15" cm="1">
        <f t="array" ref="R7:V7">Financials!I3:M3</f>
        <v>128292</v>
      </c>
      <c r="S7" s="15">
        <v>133613</v>
      </c>
      <c r="T7" s="15">
        <v>136835</v>
      </c>
      <c r="U7" s="15">
        <v>133974</v>
      </c>
      <c r="V7" s="15">
        <v>134788</v>
      </c>
      <c r="Z7" s="77" t="s">
        <v>0</v>
      </c>
      <c r="AA7" s="77" t="s">
        <v>64</v>
      </c>
      <c r="AB7" s="77" t="s">
        <v>119</v>
      </c>
      <c r="AC7" s="77" t="s">
        <v>57</v>
      </c>
      <c r="AD7" s="77" t="s">
        <v>120</v>
      </c>
      <c r="AE7" s="77" t="s">
        <v>2</v>
      </c>
      <c r="AF7" s="77" t="s">
        <v>86</v>
      </c>
    </row>
    <row r="8" spans="1:32" x14ac:dyDescent="0.3">
      <c r="A8" s="1" t="s">
        <v>103</v>
      </c>
      <c r="B8" s="3" t="s">
        <v>102</v>
      </c>
      <c r="C8" s="3" t="str">
        <f t="shared" ref="C8:D23" si="6">C2</f>
        <v>AT&amp;T</v>
      </c>
      <c r="D8" s="81">
        <f>AVERAGE(DCF!B7:G7)</f>
        <v>12870.507523483817</v>
      </c>
      <c r="Q8" s="10" t="s">
        <v>117</v>
      </c>
      <c r="R8" s="15" cm="1">
        <f t="array" ref="R8:V8">Financials!I6:M6</f>
        <v>45518</v>
      </c>
      <c r="S8" s="15">
        <v>48654</v>
      </c>
      <c r="T8" s="15">
        <v>47566</v>
      </c>
      <c r="U8" s="15">
        <v>40501</v>
      </c>
      <c r="V8" s="15">
        <v>46578</v>
      </c>
      <c r="Z8" s="10" t="s">
        <v>97</v>
      </c>
      <c r="AA8" s="76">
        <f ca="1">'Assumptions &amp; WACC'!B21</f>
        <v>4.9097217885769165E-2</v>
      </c>
      <c r="AB8" s="76">
        <f>'Assumptions &amp; WACC'!$B$25</f>
        <v>5.0000000000000001E-3</v>
      </c>
      <c r="AC8" s="76">
        <f ca="1">'Assumptions &amp; WACC'!B12</f>
        <v>5.8082599999999998E-2</v>
      </c>
      <c r="AD8" s="78">
        <f ca="1">DCF!B20</f>
        <v>39.691534167925063</v>
      </c>
      <c r="AE8" s="78">
        <f ca="1">DCF!B21</f>
        <v>25.195</v>
      </c>
      <c r="AF8" s="79">
        <f ca="1">(AD8-AE8)/AE8</f>
        <v>0.57537345377753768</v>
      </c>
    </row>
    <row r="9" spans="1:32" x14ac:dyDescent="0.3">
      <c r="A9" s="1" t="s">
        <v>103</v>
      </c>
      <c r="B9" s="3" t="s">
        <v>102</v>
      </c>
      <c r="C9" s="3" t="str">
        <f t="shared" si="6"/>
        <v>Verizon</v>
      </c>
      <c r="D9" s="81">
        <f>AVERAGE(DCF!J7:O7)</f>
        <v>20367.309551662009</v>
      </c>
      <c r="Q9" s="10" t="s">
        <v>95</v>
      </c>
      <c r="R9" s="15" cm="1">
        <f t="array" ref="R9:V9">Table18[[#This Row],[2020]:[2024]]</f>
        <v>5619</v>
      </c>
      <c r="S9" s="15">
        <v>6802</v>
      </c>
      <c r="T9" s="15">
        <v>6523</v>
      </c>
      <c r="U9" s="15">
        <v>4892</v>
      </c>
      <c r="V9" s="15">
        <v>5030</v>
      </c>
      <c r="Z9" s="10" t="s">
        <v>98</v>
      </c>
      <c r="AA9" s="76">
        <f ca="1">'Assumptions &amp; WACC'!C21</f>
        <v>4.1747300640869206E-2</v>
      </c>
      <c r="AB9" s="76">
        <f>'Assumptions &amp; WACC'!$B$25</f>
        <v>5.0000000000000001E-3</v>
      </c>
      <c r="AC9" s="76">
        <f ca="1">'Assumptions &amp; WACC'!C12</f>
        <v>5.5687399999999998E-2</v>
      </c>
      <c r="AD9" s="78">
        <f ca="1">DCF!J20</f>
        <v>187.03799960279025</v>
      </c>
      <c r="AE9" s="78">
        <f ca="1">DCF!J21</f>
        <v>41.1098</v>
      </c>
      <c r="AF9" s="79">
        <f ca="1">(AD9-AE9)/AE9</f>
        <v>3.5497180624276994</v>
      </c>
    </row>
    <row r="10" spans="1:32" x14ac:dyDescent="0.3">
      <c r="A10" s="1" t="s">
        <v>103</v>
      </c>
      <c r="B10" s="3" t="s">
        <v>102</v>
      </c>
      <c r="C10" s="3" t="str">
        <f t="shared" si="6"/>
        <v>Charter</v>
      </c>
      <c r="D10" s="59">
        <f>AVERAGE(DCF!R7:W7)</f>
        <v>10772.333276894931</v>
      </c>
      <c r="G10" s="3" t="s">
        <v>42</v>
      </c>
      <c r="H10" s="3" t="s">
        <v>101</v>
      </c>
      <c r="I10" s="3" t="s">
        <v>103</v>
      </c>
      <c r="J10" s="48"/>
      <c r="R10" s="3"/>
      <c r="S10" s="3"/>
      <c r="T10" s="3"/>
      <c r="U10" s="3"/>
      <c r="V10" s="3"/>
    </row>
    <row r="11" spans="1:32" x14ac:dyDescent="0.3">
      <c r="A11" s="1" t="s">
        <v>103</v>
      </c>
      <c r="B11" s="3" t="s">
        <v>102</v>
      </c>
      <c r="C11" s="3" t="str">
        <f t="shared" si="6"/>
        <v>Comcast</v>
      </c>
      <c r="D11" s="81">
        <f>AVERAGE(DCF!Z7:AE7)</f>
        <v>12779.855434844971</v>
      </c>
      <c r="G11" s="3" t="s">
        <v>114</v>
      </c>
      <c r="H11" s="48">
        <f>AVERAGE(-0.035,0.058)</f>
        <v>1.15E-2</v>
      </c>
      <c r="I11" s="48">
        <v>1.7999999999999999E-2</v>
      </c>
      <c r="J11" s="48"/>
      <c r="Q11" s="75"/>
      <c r="R11" s="3"/>
      <c r="S11" s="3"/>
      <c r="T11" s="3"/>
      <c r="U11" s="3"/>
      <c r="V11" s="3"/>
    </row>
    <row r="12" spans="1:32" x14ac:dyDescent="0.3">
      <c r="A12" s="1" t="s">
        <v>103</v>
      </c>
      <c r="B12" s="3" t="s">
        <v>102</v>
      </c>
      <c r="C12" s="3" t="str">
        <f t="shared" si="6"/>
        <v>T-Mobile</v>
      </c>
      <c r="D12" s="81">
        <f>AVERAGE(DCF!AH7:AM7)</f>
        <v>13285.710165684011</v>
      </c>
      <c r="G12" s="3" t="s">
        <v>114</v>
      </c>
      <c r="H12" s="48">
        <v>2.8000000000000001E-2</v>
      </c>
      <c r="I12" s="48">
        <v>2.5999999999999999E-2</v>
      </c>
      <c r="Q12" s="77" t="s">
        <v>11</v>
      </c>
      <c r="R12" s="80">
        <v>2025</v>
      </c>
      <c r="S12" s="80">
        <v>2026</v>
      </c>
      <c r="T12" s="80">
        <v>2027</v>
      </c>
      <c r="U12" s="80">
        <v>2028</v>
      </c>
      <c r="V12" s="80">
        <v>2029</v>
      </c>
      <c r="W12" s="80">
        <v>2030</v>
      </c>
    </row>
    <row r="13" spans="1:32" x14ac:dyDescent="0.3">
      <c r="A13" s="6" t="s">
        <v>103</v>
      </c>
      <c r="B13" s="70" t="s">
        <v>102</v>
      </c>
      <c r="C13" s="70" t="str">
        <f t="shared" si="6"/>
        <v>Average</v>
      </c>
      <c r="D13" s="22">
        <f>AVERAGE(D8:D12)</f>
        <v>14015.143190513947</v>
      </c>
      <c r="G13" s="3" t="s">
        <v>115</v>
      </c>
      <c r="H13" s="5">
        <f>H12-H11</f>
        <v>1.6500000000000001E-2</v>
      </c>
      <c r="I13" s="5">
        <f>I12-I11</f>
        <v>8.0000000000000002E-3</v>
      </c>
      <c r="Q13" s="10" t="s">
        <v>17</v>
      </c>
      <c r="R13" s="15" cm="1">
        <f t="array" ref="R13:W13">DCF!B3:G3</f>
        <v>114309.07892402426</v>
      </c>
      <c r="S13" s="15">
        <v>106808.83406731303</v>
      </c>
      <c r="T13" s="15">
        <v>99800.708239467494</v>
      </c>
      <c r="U13" s="15">
        <v>93252.4116761935</v>
      </c>
      <c r="V13" s="15">
        <v>87133.773265020965</v>
      </c>
      <c r="W13" s="74">
        <v>81416.601532658548</v>
      </c>
    </row>
    <row r="14" spans="1:32" x14ac:dyDescent="0.3">
      <c r="A14" s="1" t="s">
        <v>103</v>
      </c>
      <c r="B14" s="3" t="s">
        <v>104</v>
      </c>
      <c r="C14" s="3" t="str">
        <f t="shared" si="6"/>
        <v>AT&amp;T</v>
      </c>
      <c r="D14" s="82">
        <f>(DCF!G7/DCF!B7)^(1/6)-1</f>
        <v>-5.4984988103134569E-2</v>
      </c>
      <c r="G14" s="3" t="s">
        <v>116</v>
      </c>
      <c r="H14" s="9">
        <f>D61/H13</f>
        <v>100.16319394923526</v>
      </c>
      <c r="I14" s="9">
        <f>D67/I13</f>
        <v>7.3253593505463108</v>
      </c>
      <c r="Q14" s="10" t="s">
        <v>118</v>
      </c>
      <c r="R14" s="15" cm="1">
        <f t="array" ref="R14:W14">DCF!B4:G4</f>
        <v>29623.679276707273</v>
      </c>
      <c r="S14" s="15">
        <v>27679.959230816061</v>
      </c>
      <c r="T14" s="15">
        <v>25863.773904076694</v>
      </c>
      <c r="U14" s="15">
        <v>24166.755268066816</v>
      </c>
      <c r="V14" s="15">
        <v>22581.084351908095</v>
      </c>
      <c r="W14" s="74">
        <v>21099.455216553684</v>
      </c>
    </row>
    <row r="15" spans="1:32" x14ac:dyDescent="0.3">
      <c r="A15" s="1" t="s">
        <v>103</v>
      </c>
      <c r="B15" s="3" t="s">
        <v>104</v>
      </c>
      <c r="C15" s="3" t="str">
        <f t="shared" si="6"/>
        <v>Verizon</v>
      </c>
      <c r="D15" s="82">
        <f>(DCF!O7/DCF!J7)^(1/6)-1</f>
        <v>8.2663555098889674E-3</v>
      </c>
      <c r="Q15" s="10" t="s">
        <v>24</v>
      </c>
      <c r="R15" s="15" cm="1">
        <f t="array" ref="R15:W15">DCF!B5:G5</f>
        <v>22810.2330430646</v>
      </c>
      <c r="S15" s="15">
        <v>21313.568607728368</v>
      </c>
      <c r="T15" s="15">
        <v>19915.105906139055</v>
      </c>
      <c r="U15" s="15">
        <v>18608.401556411449</v>
      </c>
      <c r="V15" s="15">
        <v>17387.434950969233</v>
      </c>
      <c r="W15" s="74">
        <v>16246.580516746337</v>
      </c>
    </row>
    <row r="16" spans="1:32" x14ac:dyDescent="0.3">
      <c r="A16" s="1" t="s">
        <v>103</v>
      </c>
      <c r="B16" s="3" t="s">
        <v>104</v>
      </c>
      <c r="C16" s="3" t="str">
        <f t="shared" si="6"/>
        <v>Charter</v>
      </c>
      <c r="D16" s="5">
        <f>(DCF!W7/DCF!R7)^(1/6)-1</f>
        <v>2.2867141366005983E-2</v>
      </c>
      <c r="Q16" s="10" t="s">
        <v>74</v>
      </c>
      <c r="R16" s="15" cm="1">
        <f t="array" ref="R16:W16">DCF!B9:G9</f>
        <v>26335.996778964865</v>
      </c>
      <c r="S16" s="15">
        <v>22569.242913816066</v>
      </c>
      <c r="T16" s="15">
        <v>21088.390739364339</v>
      </c>
      <c r="U16" s="15">
        <v>19704.70279726867</v>
      </c>
      <c r="V16" s="15">
        <v>18411.803779978305</v>
      </c>
      <c r="W16" s="74">
        <v>17203.736687640499</v>
      </c>
    </row>
    <row r="17" spans="1:23" x14ac:dyDescent="0.3">
      <c r="A17" s="1" t="s">
        <v>103</v>
      </c>
      <c r="B17" s="3" t="s">
        <v>104</v>
      </c>
      <c r="C17" s="3" t="str">
        <f t="shared" si="6"/>
        <v>Comcast</v>
      </c>
      <c r="D17" s="82">
        <f>(DCF!AE7/DCF!Z7)^(1/6)-1</f>
        <v>3.0097384540501482E-2</v>
      </c>
      <c r="H17" s="48"/>
      <c r="R17" s="3"/>
      <c r="S17" s="3"/>
      <c r="T17" s="3"/>
      <c r="U17" s="3"/>
      <c r="V17" s="3"/>
    </row>
    <row r="18" spans="1:23" x14ac:dyDescent="0.3">
      <c r="A18" s="1" t="s">
        <v>103</v>
      </c>
      <c r="B18" s="3" t="s">
        <v>104</v>
      </c>
      <c r="C18" s="3" t="str">
        <f t="shared" si="6"/>
        <v>T-Mobile</v>
      </c>
      <c r="D18" s="82">
        <f>(DCF!AM7/DCF!AH7)^(1/6)-1</f>
        <v>2.9432539774834732E-2</v>
      </c>
      <c r="Q18" s="77" t="s">
        <v>11</v>
      </c>
      <c r="R18" s="80">
        <v>2025</v>
      </c>
      <c r="S18" s="80">
        <v>2026</v>
      </c>
      <c r="T18" s="80">
        <v>2027</v>
      </c>
      <c r="U18" s="80">
        <v>2028</v>
      </c>
      <c r="V18" s="80">
        <v>2029</v>
      </c>
      <c r="W18" s="80">
        <v>2030</v>
      </c>
    </row>
    <row r="19" spans="1:23" x14ac:dyDescent="0.3">
      <c r="A19" s="6" t="s">
        <v>103</v>
      </c>
      <c r="B19" s="70" t="s">
        <v>104</v>
      </c>
      <c r="C19" s="70" t="str">
        <f t="shared" si="6"/>
        <v>Average</v>
      </c>
      <c r="D19" s="72">
        <f>AVERAGE(D14:D18)</f>
        <v>7.135686617619319E-3</v>
      </c>
      <c r="Q19" s="10" t="s">
        <v>17</v>
      </c>
      <c r="R19" s="15" cm="1">
        <f t="array" ref="R19:W19">DCF!J3:O3</f>
        <v>136126.14945468953</v>
      </c>
      <c r="S19" s="15">
        <v>137477.58380093533</v>
      </c>
      <c r="T19" s="15">
        <v>138842.43492859695</v>
      </c>
      <c r="U19" s="15">
        <v>140220.83603691126</v>
      </c>
      <c r="V19" s="15">
        <v>141612.9216474916</v>
      </c>
      <c r="W19" s="74">
        <v>143018.82761745615</v>
      </c>
    </row>
    <row r="20" spans="1:23" x14ac:dyDescent="0.3">
      <c r="A20" s="1" t="str">
        <f t="shared" ref="A20:A31" si="7">A14</f>
        <v>2025-30</v>
      </c>
      <c r="B20" s="3" t="s">
        <v>105</v>
      </c>
      <c r="C20" s="3" t="str">
        <f t="shared" si="6"/>
        <v>AT&amp;T</v>
      </c>
      <c r="D20" s="82">
        <f>D14</f>
        <v>-5.4984988103134569E-2</v>
      </c>
      <c r="Q20" s="10" t="s">
        <v>118</v>
      </c>
      <c r="R20" s="15" cm="1">
        <f t="array" ref="R20:W20">DCF!J4:O4</f>
        <v>46663.496348735578</v>
      </c>
      <c r="S20" s="15">
        <v>47126.762605323464</v>
      </c>
      <c r="T20" s="15">
        <v>47594.628080600167</v>
      </c>
      <c r="U20" s="15">
        <v>48067.138434728178</v>
      </c>
      <c r="V20" s="15">
        <v>48544.339781175324</v>
      </c>
      <c r="W20" s="74">
        <v>49026.278691215106</v>
      </c>
    </row>
    <row r="21" spans="1:23" x14ac:dyDescent="0.3">
      <c r="A21" s="1" t="str">
        <f t="shared" si="7"/>
        <v>2025-30</v>
      </c>
      <c r="B21" s="3" t="s">
        <v>105</v>
      </c>
      <c r="C21" s="3" t="str">
        <f t="shared" si="6"/>
        <v>Verizon</v>
      </c>
      <c r="D21" s="82">
        <f>D15</f>
        <v>8.2663555098889674E-3</v>
      </c>
      <c r="Q21" s="10" t="s">
        <v>24</v>
      </c>
      <c r="R21" s="15" cm="1">
        <f t="array" ref="R21:W21">DCF!J5:O5</f>
        <v>35930.892188526399</v>
      </c>
      <c r="S21" s="15">
        <v>36287.60720609907</v>
      </c>
      <c r="T21" s="15">
        <v>36647.863622062127</v>
      </c>
      <c r="U21" s="15">
        <v>37011.696594740701</v>
      </c>
      <c r="V21" s="15">
        <v>37379.141631505001</v>
      </c>
      <c r="W21" s="74">
        <v>37750.234592235633</v>
      </c>
    </row>
    <row r="22" spans="1:23" x14ac:dyDescent="0.3">
      <c r="A22" s="1" t="str">
        <f t="shared" si="7"/>
        <v>2025-30</v>
      </c>
      <c r="B22" s="3" t="s">
        <v>105</v>
      </c>
      <c r="C22" s="3" t="str">
        <f t="shared" si="6"/>
        <v>Charter</v>
      </c>
      <c r="D22" s="82">
        <f t="shared" si="6"/>
        <v>2.2867141366005983E-2</v>
      </c>
      <c r="Q22" s="10" t="s">
        <v>74</v>
      </c>
      <c r="R22" s="15" cm="1">
        <f t="array" ref="R22:W22">DCF!J9:O9</f>
        <v>25266.347256979643</v>
      </c>
      <c r="S22" s="15">
        <v>33999.524913641901</v>
      </c>
      <c r="T22" s="15">
        <v>34337.065686729205</v>
      </c>
      <c r="U22" s="15">
        <v>34677.957499979173</v>
      </c>
      <c r="V22" s="15">
        <v>35022.233621876854</v>
      </c>
      <c r="W22" s="74">
        <v>35369.927651190461</v>
      </c>
    </row>
    <row r="23" spans="1:23" x14ac:dyDescent="0.3">
      <c r="A23" s="1" t="str">
        <f t="shared" si="7"/>
        <v>2025-30</v>
      </c>
      <c r="B23" s="3" t="s">
        <v>105</v>
      </c>
      <c r="C23" s="3" t="str">
        <f t="shared" si="6"/>
        <v>Comcast</v>
      </c>
      <c r="D23" s="82">
        <f t="shared" si="6"/>
        <v>3.0097384540501482E-2</v>
      </c>
    </row>
    <row r="24" spans="1:23" x14ac:dyDescent="0.3">
      <c r="A24" s="1" t="str">
        <f t="shared" si="7"/>
        <v>2025-30</v>
      </c>
      <c r="B24" s="3" t="s">
        <v>105</v>
      </c>
      <c r="C24" s="3" t="str">
        <f t="shared" ref="C24:D39" si="8">C18</f>
        <v>T-Mobile</v>
      </c>
      <c r="D24" s="82">
        <f t="shared" si="8"/>
        <v>2.9432539774834732E-2</v>
      </c>
    </row>
    <row r="25" spans="1:23" x14ac:dyDescent="0.3">
      <c r="A25" s="6" t="str">
        <f t="shared" si="7"/>
        <v>2025-30</v>
      </c>
      <c r="B25" s="70" t="s">
        <v>105</v>
      </c>
      <c r="C25" s="70" t="str">
        <f t="shared" si="8"/>
        <v>Average</v>
      </c>
      <c r="D25" s="83">
        <f>AVERAGE(D20:D24)</f>
        <v>7.135686617619319E-3</v>
      </c>
    </row>
    <row r="26" spans="1:23" x14ac:dyDescent="0.3">
      <c r="A26" s="1" t="str">
        <f t="shared" si="7"/>
        <v>2025-30</v>
      </c>
      <c r="B26" s="3" t="s">
        <v>43</v>
      </c>
      <c r="C26" s="3" t="str">
        <f t="shared" si="8"/>
        <v>AT&amp;T</v>
      </c>
      <c r="D26" s="84">
        <f>D20</f>
        <v>-5.4984988103134569E-2</v>
      </c>
    </row>
    <row r="27" spans="1:23" x14ac:dyDescent="0.3">
      <c r="A27" s="1" t="str">
        <f t="shared" si="7"/>
        <v>2025-30</v>
      </c>
      <c r="B27" s="3" t="s">
        <v>43</v>
      </c>
      <c r="C27" s="3" t="str">
        <f t="shared" si="8"/>
        <v>Verizon</v>
      </c>
      <c r="D27" s="84">
        <f t="shared" si="8"/>
        <v>8.2663555098889674E-3</v>
      </c>
    </row>
    <row r="28" spans="1:23" x14ac:dyDescent="0.3">
      <c r="A28" s="1" t="str">
        <f t="shared" si="7"/>
        <v>2025-30</v>
      </c>
      <c r="B28" s="3" t="s">
        <v>43</v>
      </c>
      <c r="C28" s="3" t="str">
        <f t="shared" si="8"/>
        <v>Charter</v>
      </c>
      <c r="D28" s="84">
        <f t="shared" si="8"/>
        <v>2.2867141366005983E-2</v>
      </c>
    </row>
    <row r="29" spans="1:23" x14ac:dyDescent="0.3">
      <c r="A29" s="1" t="str">
        <f t="shared" si="7"/>
        <v>2025-30</v>
      </c>
      <c r="B29" s="3" t="s">
        <v>43</v>
      </c>
      <c r="C29" s="3" t="str">
        <f t="shared" si="8"/>
        <v>Comcast</v>
      </c>
      <c r="D29" s="84">
        <f t="shared" si="8"/>
        <v>3.0097384540501482E-2</v>
      </c>
    </row>
    <row r="30" spans="1:23" x14ac:dyDescent="0.3">
      <c r="A30" s="1" t="str">
        <f t="shared" si="7"/>
        <v>2025-30</v>
      </c>
      <c r="B30" s="3" t="s">
        <v>43</v>
      </c>
      <c r="C30" s="3" t="str">
        <f t="shared" si="8"/>
        <v>T-Mobile</v>
      </c>
      <c r="D30" s="84">
        <f t="shared" si="8"/>
        <v>2.9432539774834732E-2</v>
      </c>
    </row>
    <row r="31" spans="1:23" x14ac:dyDescent="0.3">
      <c r="A31" s="6" t="str">
        <f t="shared" si="7"/>
        <v>2025-30</v>
      </c>
      <c r="B31" s="70" t="s">
        <v>43</v>
      </c>
      <c r="C31" s="70" t="str">
        <f t="shared" si="8"/>
        <v>Average</v>
      </c>
      <c r="D31" s="72">
        <f>AVERAGE(D26:D30)</f>
        <v>7.135686617619319E-3</v>
      </c>
    </row>
    <row r="32" spans="1:23" x14ac:dyDescent="0.3">
      <c r="A32" s="1" t="str">
        <f>A2</f>
        <v>2020-24</v>
      </c>
      <c r="B32" s="3" t="s">
        <v>124</v>
      </c>
      <c r="C32" s="3" t="str">
        <f t="shared" si="8"/>
        <v>AT&amp;T</v>
      </c>
      <c r="D32" s="48">
        <f>(Financials!F6+Financials!F7)/Financials!F3</f>
        <v>0.49216093382160608</v>
      </c>
    </row>
    <row r="33" spans="1:4" x14ac:dyDescent="0.3">
      <c r="A33" s="1" t="str">
        <f>A3</f>
        <v>2020-24</v>
      </c>
      <c r="B33" s="3" t="s">
        <v>124</v>
      </c>
      <c r="C33" s="3" t="str">
        <f t="shared" si="8"/>
        <v>Verizon</v>
      </c>
      <c r="D33" s="48">
        <f>(Financials!M6+Financials!M7)/Financials!M3</f>
        <v>0.47830667418464551</v>
      </c>
    </row>
    <row r="34" spans="1:4" x14ac:dyDescent="0.3">
      <c r="A34" s="1" t="str">
        <f>A4</f>
        <v>2020-24</v>
      </c>
      <c r="B34" s="3" t="s">
        <v>124</v>
      </c>
      <c r="C34" s="3" t="str">
        <f t="shared" si="8"/>
        <v>Charter</v>
      </c>
      <c r="D34" s="48">
        <f>(Financials!T6+Financials!T7)/Financials!T3</f>
        <v>0.54601071071979668</v>
      </c>
    </row>
    <row r="35" spans="1:4" x14ac:dyDescent="0.3">
      <c r="A35" s="1" t="str">
        <f>A5</f>
        <v>2020-24</v>
      </c>
      <c r="B35" s="3" t="s">
        <v>124</v>
      </c>
      <c r="C35" s="3" t="str">
        <f t="shared" si="8"/>
        <v>Comcast</v>
      </c>
      <c r="D35" s="48">
        <f>(Financials!AB6+Financials!AB7)/Financials!AB3</f>
        <v>0.42357210399980605</v>
      </c>
    </row>
    <row r="36" spans="1:4" x14ac:dyDescent="0.3">
      <c r="A36" s="1" t="str">
        <f>A6</f>
        <v>2020-24</v>
      </c>
      <c r="B36" s="3" t="s">
        <v>124</v>
      </c>
      <c r="C36" s="3" t="str">
        <f t="shared" si="8"/>
        <v>T-Mobile</v>
      </c>
      <c r="D36" s="48">
        <f>(Financials!AJ6+Financials!AJ7)/Financials!AJ3</f>
        <v>0.54006142506142507</v>
      </c>
    </row>
    <row r="37" spans="1:4" x14ac:dyDescent="0.3">
      <c r="A37" s="6" t="str">
        <f>$A$36</f>
        <v>2020-24</v>
      </c>
      <c r="B37" s="70" t="s">
        <v>124</v>
      </c>
      <c r="C37" s="70" t="str">
        <f t="shared" si="8"/>
        <v>Average</v>
      </c>
      <c r="D37" s="72">
        <f>AVERAGE(D32:D36)</f>
        <v>0.49602236955745588</v>
      </c>
    </row>
    <row r="38" spans="1:4" x14ac:dyDescent="0.3">
      <c r="A38" s="1" t="str">
        <f t="shared" ref="A38:A39" si="9">$A$36</f>
        <v>2020-24</v>
      </c>
      <c r="B38" s="3" t="s">
        <v>125</v>
      </c>
      <c r="C38" s="3" t="str">
        <f t="shared" si="8"/>
        <v>AT&amp;T</v>
      </c>
      <c r="D38" s="48">
        <f>Financials!F10/Financials!F3</f>
        <v>6.412666753858226E-2</v>
      </c>
    </row>
    <row r="39" spans="1:4" x14ac:dyDescent="0.3">
      <c r="A39" s="1" t="str">
        <f t="shared" si="9"/>
        <v>2020-24</v>
      </c>
      <c r="B39" s="3" t="s">
        <v>125</v>
      </c>
      <c r="C39" s="3" t="str">
        <f t="shared" si="8"/>
        <v>Verizon</v>
      </c>
      <c r="D39" s="48">
        <f>Financials!M10/Financials!M3</f>
        <v>0.12617592070510728</v>
      </c>
    </row>
    <row r="40" spans="1:4" x14ac:dyDescent="0.3">
      <c r="A40" s="1" t="str">
        <f>A32</f>
        <v>2020-24</v>
      </c>
      <c r="B40" s="3" t="s">
        <v>125</v>
      </c>
      <c r="C40" s="3" t="str">
        <f t="shared" ref="C40:C67" si="10">C34</f>
        <v>Charter</v>
      </c>
      <c r="D40" s="48">
        <f>Financials!T10/Financials!T3</f>
        <v>0.10625397113551784</v>
      </c>
    </row>
    <row r="41" spans="1:4" x14ac:dyDescent="0.3">
      <c r="A41" s="1" t="str">
        <f>A33</f>
        <v>2020-24</v>
      </c>
      <c r="B41" s="3" t="s">
        <v>125</v>
      </c>
      <c r="C41" s="3" t="str">
        <f t="shared" si="10"/>
        <v>Comcast</v>
      </c>
      <c r="D41" s="48">
        <f>Financials!AB10/Financials!AB3</f>
        <v>0.12831869135463222</v>
      </c>
    </row>
    <row r="42" spans="1:4" x14ac:dyDescent="0.3">
      <c r="A42" s="1" t="str">
        <f>A34</f>
        <v>2020-24</v>
      </c>
      <c r="B42" s="3" t="s">
        <v>125</v>
      </c>
      <c r="C42" s="3" t="str">
        <f t="shared" si="10"/>
        <v>T-Mobile</v>
      </c>
      <c r="D42" s="48">
        <f>Financials!AJ10/Financials!AJ3</f>
        <v>0.1392997542997543</v>
      </c>
    </row>
    <row r="43" spans="1:4" x14ac:dyDescent="0.3">
      <c r="A43" s="6" t="str">
        <f>$A$42</f>
        <v>2020-24</v>
      </c>
      <c r="B43" s="70" t="s">
        <v>125</v>
      </c>
      <c r="C43" s="70" t="str">
        <f t="shared" si="10"/>
        <v>Average</v>
      </c>
      <c r="D43" s="72">
        <f>AVERAGE(D38:D42)</f>
        <v>0.11283500100671877</v>
      </c>
    </row>
    <row r="44" spans="1:4" x14ac:dyDescent="0.3">
      <c r="A44" s="1" t="str">
        <f t="shared" ref="A44:A49" si="11">A26</f>
        <v>2025-30</v>
      </c>
      <c r="B44" s="3" t="s">
        <v>126</v>
      </c>
      <c r="C44" s="3" t="str">
        <f t="shared" si="10"/>
        <v>AT&amp;T</v>
      </c>
      <c r="D44" s="9">
        <f>AVERAGE(DCF!B3:G3)</f>
        <v>97120.234617446302</v>
      </c>
    </row>
    <row r="45" spans="1:4" x14ac:dyDescent="0.3">
      <c r="A45" s="1" t="str">
        <f t="shared" si="11"/>
        <v>2025-30</v>
      </c>
      <c r="B45" s="3" t="s">
        <v>126</v>
      </c>
      <c r="C45" s="3" t="str">
        <f t="shared" si="10"/>
        <v>Verizon</v>
      </c>
      <c r="D45" s="9">
        <f>AVERAGE(DCF!J3:O3)</f>
        <v>139549.79224768013</v>
      </c>
    </row>
    <row r="46" spans="1:4" x14ac:dyDescent="0.3">
      <c r="A46" s="1" t="str">
        <f t="shared" si="11"/>
        <v>2025-30</v>
      </c>
      <c r="B46" s="3" t="s">
        <v>126</v>
      </c>
      <c r="C46" s="3" t="str">
        <f t="shared" si="10"/>
        <v>Charter</v>
      </c>
      <c r="D46" s="9">
        <f>AVERAGE(DCF!R3:W3)</f>
        <v>60637.351252486136</v>
      </c>
    </row>
    <row r="47" spans="1:4" x14ac:dyDescent="0.3">
      <c r="A47" s="1" t="str">
        <f t="shared" si="11"/>
        <v>2025-30</v>
      </c>
      <c r="B47" s="3" t="s">
        <v>126</v>
      </c>
      <c r="C47" s="3" t="str">
        <f t="shared" si="10"/>
        <v>Comcast</v>
      </c>
      <c r="D47" s="9">
        <f>AVERAGE(DCF!Z3:AE3)</f>
        <v>140400.59935319677</v>
      </c>
    </row>
    <row r="48" spans="1:4" x14ac:dyDescent="0.3">
      <c r="A48" s="1" t="str">
        <f t="shared" si="11"/>
        <v>2025-30</v>
      </c>
      <c r="B48" s="3" t="s">
        <v>126</v>
      </c>
      <c r="C48" s="3" t="str">
        <f t="shared" si="10"/>
        <v>T-Mobile</v>
      </c>
      <c r="D48" s="9">
        <f>AVERAGE(DCF!AH3:AM3)</f>
        <v>92109.130005407918</v>
      </c>
    </row>
    <row r="49" spans="1:4" x14ac:dyDescent="0.3">
      <c r="A49" s="6" t="str">
        <f t="shared" si="11"/>
        <v>2025-30</v>
      </c>
      <c r="B49" s="70" t="s">
        <v>126</v>
      </c>
      <c r="C49" s="70" t="str">
        <f t="shared" si="10"/>
        <v>Average</v>
      </c>
      <c r="D49" s="22">
        <f>AVERAGE(D44:D48)</f>
        <v>105963.42149524347</v>
      </c>
    </row>
    <row r="50" spans="1:4" x14ac:dyDescent="0.3">
      <c r="A50" s="1" t="str">
        <f t="shared" ref="A50:A55" si="12">A44</f>
        <v>2025-30</v>
      </c>
      <c r="B50" s="3" t="s">
        <v>127</v>
      </c>
      <c r="C50" s="3" t="str">
        <f t="shared" si="10"/>
        <v>AT&amp;T</v>
      </c>
      <c r="D50" s="48">
        <f>D8/D44</f>
        <v>0.13252138006235634</v>
      </c>
    </row>
    <row r="51" spans="1:4" x14ac:dyDescent="0.3">
      <c r="A51" s="1" t="str">
        <f t="shared" si="12"/>
        <v>2025-30</v>
      </c>
      <c r="B51" s="3" t="s">
        <v>127</v>
      </c>
      <c r="C51" s="3" t="str">
        <f t="shared" si="10"/>
        <v>Verizon</v>
      </c>
      <c r="D51" s="48">
        <f t="shared" ref="D51:D54" si="13">D9/D45</f>
        <v>0.14595012449400901</v>
      </c>
    </row>
    <row r="52" spans="1:4" x14ac:dyDescent="0.3">
      <c r="A52" s="1" t="str">
        <f t="shared" si="12"/>
        <v>2025-30</v>
      </c>
      <c r="B52" s="3" t="s">
        <v>127</v>
      </c>
      <c r="C52" s="3" t="str">
        <f t="shared" si="10"/>
        <v>Charter</v>
      </c>
      <c r="D52" s="48">
        <f t="shared" si="13"/>
        <v>0.17765177822560752</v>
      </c>
    </row>
    <row r="53" spans="1:4" x14ac:dyDescent="0.3">
      <c r="A53" s="1" t="str">
        <f t="shared" si="12"/>
        <v>2025-30</v>
      </c>
      <c r="B53" s="3" t="s">
        <v>127</v>
      </c>
      <c r="C53" s="3" t="str">
        <f t="shared" si="10"/>
        <v>Comcast</v>
      </c>
      <c r="D53" s="48">
        <f t="shared" si="13"/>
        <v>9.1024222786225503E-2</v>
      </c>
    </row>
    <row r="54" spans="1:4" x14ac:dyDescent="0.3">
      <c r="A54" s="1" t="str">
        <f t="shared" si="12"/>
        <v>2025-30</v>
      </c>
      <c r="B54" s="3" t="s">
        <v>127</v>
      </c>
      <c r="C54" s="3" t="str">
        <f t="shared" si="10"/>
        <v>T-Mobile</v>
      </c>
      <c r="D54" s="48">
        <f t="shared" si="13"/>
        <v>0.14423879766212078</v>
      </c>
    </row>
    <row r="55" spans="1:4" x14ac:dyDescent="0.3">
      <c r="A55" s="6" t="str">
        <f t="shared" si="12"/>
        <v>2025-30</v>
      </c>
      <c r="B55" s="70" t="s">
        <v>127</v>
      </c>
      <c r="C55" s="70" t="str">
        <f t="shared" si="10"/>
        <v>Average</v>
      </c>
      <c r="D55" s="72">
        <f>AVERAGE(D50:D54)</f>
        <v>0.13827726064606383</v>
      </c>
    </row>
    <row r="56" spans="1:4" x14ac:dyDescent="0.3">
      <c r="A56" s="1" t="str">
        <f>A38</f>
        <v>2020-24</v>
      </c>
      <c r="B56" s="3" t="s">
        <v>113</v>
      </c>
      <c r="C56" s="3" t="str">
        <f t="shared" si="10"/>
        <v>AT&amp;T</v>
      </c>
      <c r="D56" s="48">
        <f>(Financials!F10-Financials!B10)/ABS(Financials!B10)</f>
        <v>4.1569416498993963</v>
      </c>
    </row>
    <row r="57" spans="1:4" x14ac:dyDescent="0.3">
      <c r="A57" s="1" t="str">
        <f>A39</f>
        <v>2020-24</v>
      </c>
      <c r="B57" s="3" t="s">
        <v>113</v>
      </c>
      <c r="C57" s="3" t="str">
        <f t="shared" si="10"/>
        <v>Verizon</v>
      </c>
      <c r="D57" s="48">
        <f>(Financials!M10-Financials!I10)/Financials!I10</f>
        <v>-0.10167969575322205</v>
      </c>
    </row>
    <row r="58" spans="1:4" x14ac:dyDescent="0.3">
      <c r="A58" s="1" t="str">
        <f>A40</f>
        <v>2020-24</v>
      </c>
      <c r="B58" s="3" t="s">
        <v>113</v>
      </c>
      <c r="C58" s="3" t="str">
        <f t="shared" si="10"/>
        <v>Charter</v>
      </c>
      <c r="D58" s="48">
        <f>(Financials!T10-Financials!P10)/Financials!P10</f>
        <v>0.59221980413492925</v>
      </c>
    </row>
    <row r="59" spans="1:4" x14ac:dyDescent="0.3">
      <c r="A59" s="1" t="str">
        <f>A41</f>
        <v>2020-24</v>
      </c>
      <c r="B59" s="3" t="s">
        <v>113</v>
      </c>
      <c r="C59" s="3" t="str">
        <f t="shared" si="10"/>
        <v>Comcast</v>
      </c>
      <c r="D59" s="48">
        <f>(Financials!AB10-Financials!X10)/Financials!X10</f>
        <v>0.48369311279319688</v>
      </c>
    </row>
    <row r="60" spans="1:4" x14ac:dyDescent="0.3">
      <c r="A60" s="1" t="str">
        <f>A42</f>
        <v>2020-24</v>
      </c>
      <c r="B60" s="3" t="s">
        <v>113</v>
      </c>
      <c r="C60" s="3" t="str">
        <f t="shared" si="10"/>
        <v>T-Mobile</v>
      </c>
      <c r="D60" s="48">
        <f>(Financials!AJ10-Financials!AF10)/Financials!AF10</f>
        <v>3.1322886297376091</v>
      </c>
    </row>
    <row r="61" spans="1:4" x14ac:dyDescent="0.3">
      <c r="A61" s="6" t="str">
        <f>A60</f>
        <v>2020-24</v>
      </c>
      <c r="B61" s="70" t="s">
        <v>113</v>
      </c>
      <c r="C61" s="70" t="str">
        <f t="shared" si="10"/>
        <v>Average</v>
      </c>
      <c r="D61" s="72">
        <f>AVERAGE(D56:D60)</f>
        <v>1.6526927001623819</v>
      </c>
    </row>
    <row r="62" spans="1:4" x14ac:dyDescent="0.3">
      <c r="A62" s="1" t="str">
        <f t="shared" ref="A62:A67" si="14">A50</f>
        <v>2025-30</v>
      </c>
      <c r="B62" s="3" t="str">
        <f t="shared" ref="B62:B67" si="15">B56</f>
        <v>Earnings Growth</v>
      </c>
      <c r="C62" s="3" t="str">
        <f t="shared" si="10"/>
        <v>AT&amp;T</v>
      </c>
      <c r="D62" s="48">
        <f>(DCF!G5-DCF!B5)/DCF!B5</f>
        <v>-0.28775034932463905</v>
      </c>
    </row>
    <row r="63" spans="1:4" x14ac:dyDescent="0.3">
      <c r="A63" s="1" t="str">
        <f t="shared" si="14"/>
        <v>2025-30</v>
      </c>
      <c r="B63" s="3" t="str">
        <f t="shared" si="15"/>
        <v>Earnings Growth</v>
      </c>
      <c r="C63" s="3" t="str">
        <f t="shared" si="10"/>
        <v>Verizon</v>
      </c>
      <c r="D63" s="48">
        <f>(DCF!O5-DCF!J5)/DCF!J5</f>
        <v>5.0634490069528346E-2</v>
      </c>
    </row>
    <row r="64" spans="1:4" x14ac:dyDescent="0.3">
      <c r="A64" s="1" t="str">
        <f t="shared" si="14"/>
        <v>2025-30</v>
      </c>
      <c r="B64" s="3" t="str">
        <f t="shared" si="15"/>
        <v>Earnings Growth</v>
      </c>
      <c r="C64" s="3" t="str">
        <f t="shared" si="10"/>
        <v>Charter</v>
      </c>
      <c r="D64" s="48">
        <f>(DCF!W5-DCF!R5)/DCF!R5</f>
        <v>0.14528972700999984</v>
      </c>
    </row>
    <row r="65" spans="1:4" x14ac:dyDescent="0.3">
      <c r="A65" s="1" t="str">
        <f t="shared" si="14"/>
        <v>2025-30</v>
      </c>
      <c r="B65" s="3" t="str">
        <f t="shared" si="15"/>
        <v>Earnings Growth</v>
      </c>
      <c r="C65" s="3" t="str">
        <f t="shared" si="10"/>
        <v>Comcast</v>
      </c>
      <c r="D65" s="48">
        <f>(DCF!AE5-DCF!Z5)/DCF!Z5</f>
        <v>0.19472982889807314</v>
      </c>
    </row>
    <row r="66" spans="1:4" x14ac:dyDescent="0.3">
      <c r="A66" s="1" t="str">
        <f t="shared" si="14"/>
        <v>2025-30</v>
      </c>
      <c r="B66" s="3" t="str">
        <f t="shared" si="15"/>
        <v>Earnings Growth</v>
      </c>
      <c r="C66" s="3" t="str">
        <f t="shared" si="10"/>
        <v>T-Mobile</v>
      </c>
      <c r="D66" s="48">
        <f>(DCF!AM5-DCF!AH5)/DCF!AH5</f>
        <v>0.19011067736889015</v>
      </c>
    </row>
    <row r="67" spans="1:4" x14ac:dyDescent="0.3">
      <c r="A67" s="6" t="str">
        <f t="shared" si="14"/>
        <v>2025-30</v>
      </c>
      <c r="B67" s="70" t="str">
        <f t="shared" si="15"/>
        <v>Earnings Growth</v>
      </c>
      <c r="C67" s="70" t="str">
        <f t="shared" si="10"/>
        <v>Average</v>
      </c>
      <c r="D67" s="72">
        <f>AVERAGE(D62:D66)</f>
        <v>5.8602874804370486E-2</v>
      </c>
    </row>
    <row r="68" spans="1:4" x14ac:dyDescent="0.3">
      <c r="A68" s="1" t="str">
        <f>A56</f>
        <v>2020-24</v>
      </c>
      <c r="B68" s="3" t="str">
        <f>B20</f>
        <v>Earnings CAGR</v>
      </c>
      <c r="C68" s="3" t="str">
        <f>C62</f>
        <v>AT&amp;T</v>
      </c>
      <c r="D68" s="48">
        <f>(Financials!F10/Financials!C10)^(1/4)-1</f>
        <v>-0.13146231172660117</v>
      </c>
    </row>
    <row r="69" spans="1:4" x14ac:dyDescent="0.3">
      <c r="A69" s="1" t="str">
        <f t="shared" ref="A69:A73" si="16">A57</f>
        <v>2020-24</v>
      </c>
      <c r="B69" s="3" t="str">
        <f t="shared" ref="B69:B73" si="17">B21</f>
        <v>Earnings CAGR</v>
      </c>
      <c r="C69" s="3" t="str">
        <f t="shared" ref="C69:C73" si="18">C63</f>
        <v>Verizon</v>
      </c>
      <c r="D69" s="48">
        <f>(Financials!M10/Financials!I10)^(1/2)-1</f>
        <v>-5.2202392782732421E-2</v>
      </c>
    </row>
    <row r="70" spans="1:4" x14ac:dyDescent="0.3">
      <c r="A70" s="1" t="str">
        <f t="shared" si="16"/>
        <v>2020-24</v>
      </c>
      <c r="B70" s="3" t="str">
        <f t="shared" si="17"/>
        <v>Earnings CAGR</v>
      </c>
      <c r="C70" s="3" t="str">
        <f t="shared" si="18"/>
        <v>Charter</v>
      </c>
      <c r="D70" s="48">
        <f>(Financials!T10/Financials!P10)^(1/5)-1</f>
        <v>9.7490082152356328E-2</v>
      </c>
    </row>
    <row r="71" spans="1:4" x14ac:dyDescent="0.3">
      <c r="A71" s="1" t="str">
        <f t="shared" si="16"/>
        <v>2020-24</v>
      </c>
      <c r="B71" s="3" t="str">
        <f t="shared" si="17"/>
        <v>Earnings CAGR</v>
      </c>
      <c r="C71" s="3" t="str">
        <f t="shared" si="18"/>
        <v>Comcast</v>
      </c>
      <c r="D71" s="48">
        <f>(Financials!AB10/Financials!X10)^(1/5)-1</f>
        <v>8.2103535891574708E-2</v>
      </c>
    </row>
    <row r="72" spans="1:4" x14ac:dyDescent="0.3">
      <c r="A72" s="1" t="str">
        <f t="shared" si="16"/>
        <v>2020-24</v>
      </c>
      <c r="B72" s="3" t="str">
        <f t="shared" si="17"/>
        <v>Earnings CAGR</v>
      </c>
      <c r="C72" s="3" t="str">
        <f t="shared" si="18"/>
        <v>T-Mobile</v>
      </c>
      <c r="D72" s="48">
        <f>(Financials!AJ10/Financials!AG10)^(1/4)-1</f>
        <v>0.39154816229641964</v>
      </c>
    </row>
    <row r="73" spans="1:4" x14ac:dyDescent="0.3">
      <c r="A73" s="6" t="str">
        <f t="shared" si="16"/>
        <v>2020-24</v>
      </c>
      <c r="B73" s="70" t="str">
        <f t="shared" si="17"/>
        <v>Earnings CAGR</v>
      </c>
      <c r="C73" s="70" t="str">
        <f t="shared" si="18"/>
        <v>Average</v>
      </c>
      <c r="D73" s="72">
        <f>AVERAGE(D68:D72)</f>
        <v>7.7495415166203424E-2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Profile</vt:lpstr>
      <vt:lpstr>Financials</vt:lpstr>
      <vt:lpstr>Assumptions &amp; WACC</vt:lpstr>
      <vt:lpstr>DCF</vt:lpstr>
      <vt:lpstr>Relative</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2025-11-19T17:08:28Z</dcterms:modified>
</cp:coreProperties>
</file>