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388B61E5-1EA1-41B7-8E1D-250239EDED6B}" xr6:coauthVersionLast="47" xr6:coauthVersionMax="47" xr10:uidLastSave="{00000000-0000-0000-0000-000000000000}"/>
  <bookViews>
    <workbookView xWindow="13728" yWindow="0" windowWidth="9408" windowHeight="12336" firstSheet="3" activeTab="3" xr2:uid="{00000000-000D-0000-FFFF-FFFF00000000}"/>
  </bookViews>
  <sheets>
    <sheet name="Company 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3" i="2" l="1"/>
  <c r="AH33" i="2"/>
  <c r="AI33" i="2"/>
  <c r="AJ33" i="2"/>
  <c r="AG34" i="2"/>
  <c r="AH34" i="2"/>
  <c r="AI34" i="2"/>
  <c r="AJ34" i="2"/>
  <c r="AG35" i="2"/>
  <c r="AH35" i="2"/>
  <c r="AI35" i="2"/>
  <c r="AJ35" i="2"/>
  <c r="AG38" i="2"/>
  <c r="AH38" i="2"/>
  <c r="AI38" i="2"/>
  <c r="AJ38" i="2"/>
  <c r="AK38" i="2"/>
  <c r="AG39" i="2"/>
  <c r="AH39" i="2"/>
  <c r="AI39" i="2"/>
  <c r="AJ39" i="2"/>
  <c r="AK39" i="2"/>
  <c r="AG40" i="2"/>
  <c r="AH40" i="2"/>
  <c r="AI40" i="2"/>
  <c r="AJ40" i="2"/>
  <c r="AK40" i="2"/>
  <c r="AF39" i="2"/>
  <c r="AF40" i="2"/>
  <c r="AF38" i="2"/>
  <c r="AF35" i="2"/>
  <c r="AF34" i="2"/>
  <c r="AF33" i="2"/>
  <c r="Y38" i="2"/>
  <c r="Z38" i="2"/>
  <c r="AA38" i="2"/>
  <c r="AB38" i="2"/>
  <c r="AC38" i="2"/>
  <c r="Y39" i="2"/>
  <c r="Z39" i="2"/>
  <c r="AA39" i="2"/>
  <c r="AB39" i="2"/>
  <c r="AC39" i="2"/>
  <c r="Y40" i="2"/>
  <c r="Z40" i="2"/>
  <c r="AA40" i="2"/>
  <c r="AB40" i="2"/>
  <c r="AC40" i="2"/>
  <c r="X39" i="2"/>
  <c r="X40" i="2"/>
  <c r="X38" i="2"/>
  <c r="Y33" i="2"/>
  <c r="Z33" i="2"/>
  <c r="AA33" i="2"/>
  <c r="AB33" i="2"/>
  <c r="Y34" i="2"/>
  <c r="Z34" i="2"/>
  <c r="AA34" i="2"/>
  <c r="AB34" i="2"/>
  <c r="Y35" i="2"/>
  <c r="Z35" i="2"/>
  <c r="AA35" i="2"/>
  <c r="AB35" i="2"/>
  <c r="X35" i="2"/>
  <c r="X34" i="2"/>
  <c r="X33" i="2"/>
  <c r="Q33" i="2"/>
  <c r="R33" i="2"/>
  <c r="S33" i="2"/>
  <c r="T33" i="2"/>
  <c r="Q34" i="2"/>
  <c r="R34" i="2"/>
  <c r="S34" i="2"/>
  <c r="T34" i="2"/>
  <c r="Q35" i="2"/>
  <c r="R35" i="2"/>
  <c r="S35" i="2"/>
  <c r="T35" i="2"/>
  <c r="Q38" i="2"/>
  <c r="R38" i="2"/>
  <c r="S38" i="2"/>
  <c r="T38" i="2"/>
  <c r="U38" i="2"/>
  <c r="Q39" i="2"/>
  <c r="R39" i="2"/>
  <c r="S39" i="2"/>
  <c r="T39" i="2"/>
  <c r="U39" i="2"/>
  <c r="Q40" i="2"/>
  <c r="R40" i="2"/>
  <c r="S40" i="2"/>
  <c r="T40" i="2"/>
  <c r="U40" i="2"/>
  <c r="P39" i="2"/>
  <c r="P40" i="2"/>
  <c r="P38" i="2"/>
  <c r="P35" i="2"/>
  <c r="P34" i="2"/>
  <c r="P33" i="2"/>
  <c r="C73" i="6"/>
  <c r="B73" i="6"/>
  <c r="A73" i="6"/>
  <c r="C72" i="6"/>
  <c r="B72" i="6"/>
  <c r="A72" i="6"/>
  <c r="C71" i="6"/>
  <c r="B71" i="6"/>
  <c r="A71" i="6"/>
  <c r="C70" i="6"/>
  <c r="B70" i="6"/>
  <c r="A70" i="6"/>
  <c r="C69" i="6"/>
  <c r="B69" i="6"/>
  <c r="A69" i="6"/>
  <c r="C68" i="6"/>
  <c r="B68" i="6"/>
  <c r="A68" i="6"/>
  <c r="H6" i="6" l="1"/>
  <c r="H4" i="6"/>
  <c r="F4" i="6"/>
  <c r="F5" i="6"/>
  <c r="F6" i="6"/>
  <c r="L19" i="6"/>
  <c r="D6" i="6"/>
  <c r="D5" i="6"/>
  <c r="D4" i="6"/>
  <c r="B67" i="6"/>
  <c r="B66" i="6"/>
  <c r="B65" i="6"/>
  <c r="B64" i="6"/>
  <c r="B63" i="6"/>
  <c r="B62" i="6"/>
  <c r="A38" i="6"/>
  <c r="A56" i="6" s="1"/>
  <c r="A36" i="6"/>
  <c r="A37" i="6" s="1"/>
  <c r="A35" i="6"/>
  <c r="A34" i="6"/>
  <c r="A42" i="6" s="1"/>
  <c r="A33" i="6"/>
  <c r="A41" i="6" s="1"/>
  <c r="A59" i="6" s="1"/>
  <c r="A32" i="6"/>
  <c r="A40" i="6" s="1"/>
  <c r="A58" i="6" s="1"/>
  <c r="A30" i="6"/>
  <c r="A48" i="6" s="1"/>
  <c r="A54" i="6" s="1"/>
  <c r="A66" i="6" s="1"/>
  <c r="A27" i="6"/>
  <c r="A45" i="6" s="1"/>
  <c r="A51" i="6" s="1"/>
  <c r="A63" i="6" s="1"/>
  <c r="A25" i="6"/>
  <c r="A31" i="6" s="1"/>
  <c r="A49" i="6" s="1"/>
  <c r="A55" i="6" s="1"/>
  <c r="A67" i="6" s="1"/>
  <c r="A24" i="6"/>
  <c r="A23" i="6"/>
  <c r="A29" i="6" s="1"/>
  <c r="A47" i="6" s="1"/>
  <c r="A53" i="6" s="1"/>
  <c r="A65" i="6" s="1"/>
  <c r="A22" i="6"/>
  <c r="A28" i="6" s="1"/>
  <c r="A46" i="6" s="1"/>
  <c r="A52" i="6" s="1"/>
  <c r="A64" i="6" s="1"/>
  <c r="A21" i="6"/>
  <c r="A20" i="6"/>
  <c r="A26" i="6" s="1"/>
  <c r="A44" i="6" s="1"/>
  <c r="A50" i="6" s="1"/>
  <c r="A62" i="6" s="1"/>
  <c r="C19" i="6"/>
  <c r="C25" i="6" s="1"/>
  <c r="C31" i="6" s="1"/>
  <c r="C37" i="6" s="1"/>
  <c r="C43" i="6" s="1"/>
  <c r="C49" i="6" s="1"/>
  <c r="C55" i="6" s="1"/>
  <c r="C61" i="6" s="1"/>
  <c r="C67" i="6" s="1"/>
  <c r="C15" i="6"/>
  <c r="C21" i="6" s="1"/>
  <c r="C27" i="6" s="1"/>
  <c r="C33" i="6" s="1"/>
  <c r="C39" i="6" s="1"/>
  <c r="C45" i="6" s="1"/>
  <c r="C51" i="6" s="1"/>
  <c r="C57" i="6" s="1"/>
  <c r="C63" i="6" s="1"/>
  <c r="C13" i="6"/>
  <c r="C12" i="6"/>
  <c r="C18" i="6" s="1"/>
  <c r="C24" i="6" s="1"/>
  <c r="C30" i="6" s="1"/>
  <c r="C36" i="6" s="1"/>
  <c r="C42" i="6" s="1"/>
  <c r="C48" i="6" s="1"/>
  <c r="C54" i="6" s="1"/>
  <c r="C60" i="6" s="1"/>
  <c r="C66" i="6" s="1"/>
  <c r="C11" i="6"/>
  <c r="C17" i="6" s="1"/>
  <c r="C23" i="6" s="1"/>
  <c r="C29" i="6" s="1"/>
  <c r="C35" i="6" s="1"/>
  <c r="C41" i="6" s="1"/>
  <c r="C47" i="6" s="1"/>
  <c r="C53" i="6" s="1"/>
  <c r="C59" i="6" s="1"/>
  <c r="C65" i="6" s="1"/>
  <c r="C10" i="6"/>
  <c r="C16" i="6" s="1"/>
  <c r="C22" i="6" s="1"/>
  <c r="C28" i="6" s="1"/>
  <c r="C34" i="6" s="1"/>
  <c r="C40" i="6" s="1"/>
  <c r="C46" i="6" s="1"/>
  <c r="C52" i="6" s="1"/>
  <c r="C58" i="6" s="1"/>
  <c r="C64" i="6" s="1"/>
  <c r="C9" i="6"/>
  <c r="C8" i="6"/>
  <c r="C14" i="6" s="1"/>
  <c r="C20" i="6" s="1"/>
  <c r="C26" i="6" s="1"/>
  <c r="C32" i="6" s="1"/>
  <c r="C38" i="6" s="1"/>
  <c r="C44" i="6" s="1"/>
  <c r="C50" i="6" s="1"/>
  <c r="C56" i="6" s="1"/>
  <c r="C62" i="6" s="1"/>
  <c r="A43" i="6" l="1"/>
  <c r="A60" i="6"/>
  <c r="A61" i="6" s="1"/>
  <c r="A39" i="6"/>
  <c r="A57" i="6" s="1"/>
  <c r="M5" i="5" l="1"/>
  <c r="M4" i="5"/>
  <c r="E27" i="5"/>
  <c r="E26" i="5"/>
  <c r="E25" i="5"/>
  <c r="D27" i="5"/>
  <c r="D26" i="5"/>
  <c r="D25" i="5"/>
  <c r="H18" i="5"/>
  <c r="H19" i="5"/>
  <c r="H17" i="5"/>
  <c r="H7" i="5"/>
  <c r="H8" i="5"/>
  <c r="H6" i="5"/>
  <c r="AM1" i="4"/>
  <c r="AE1" i="4"/>
  <c r="W1" i="4"/>
  <c r="J5" i="3"/>
  <c r="K5" i="3"/>
  <c r="L5" i="3"/>
  <c r="M5" i="3"/>
  <c r="J6" i="3"/>
  <c r="K6" i="3"/>
  <c r="L6" i="3"/>
  <c r="M6" i="3"/>
  <c r="J7" i="3"/>
  <c r="K7" i="3"/>
  <c r="L7" i="3"/>
  <c r="M7" i="3"/>
  <c r="I7" i="3"/>
  <c r="F7" i="3" s="1"/>
  <c r="I6" i="3"/>
  <c r="I5" i="3"/>
  <c r="H14" i="3"/>
  <c r="H15" i="3"/>
  <c r="H13" i="3"/>
  <c r="F6" i="3"/>
  <c r="E6" i="3"/>
  <c r="D6" i="3"/>
  <c r="F5" i="3"/>
  <c r="E5" i="3"/>
  <c r="D5" i="3"/>
  <c r="F3" i="3"/>
  <c r="E3" i="3"/>
  <c r="Z3" i="4" s="1"/>
  <c r="F24" i="3"/>
  <c r="E24" i="3"/>
  <c r="D24" i="3"/>
  <c r="F16" i="3"/>
  <c r="AH17" i="4" s="1"/>
  <c r="D3" i="3"/>
  <c r="AJ21" i="2"/>
  <c r="AF21" i="2"/>
  <c r="F13" i="3" s="1"/>
  <c r="F15" i="3" s="1"/>
  <c r="AH21" i="2"/>
  <c r="AG21" i="2"/>
  <c r="AI21" i="2"/>
  <c r="AJ5" i="2"/>
  <c r="AI5" i="2"/>
  <c r="AI6" i="2" s="1"/>
  <c r="AI10" i="2" s="1"/>
  <c r="AG5" i="2"/>
  <c r="AG6" i="2" s="1"/>
  <c r="AH5" i="2"/>
  <c r="AA29" i="2"/>
  <c r="AB21" i="2"/>
  <c r="E16" i="3" s="1"/>
  <c r="Z17" i="4" s="1"/>
  <c r="AA21" i="2"/>
  <c r="AB5" i="2"/>
  <c r="AA5" i="2"/>
  <c r="AA6" i="2" s="1"/>
  <c r="AA10" i="2" s="1"/>
  <c r="Z29" i="2"/>
  <c r="Y29" i="2"/>
  <c r="Z21" i="2"/>
  <c r="Y21" i="2"/>
  <c r="Z5" i="2"/>
  <c r="Z6" i="2" s="1"/>
  <c r="Z10" i="2" s="1"/>
  <c r="Y5" i="2"/>
  <c r="Y6" i="2" s="1"/>
  <c r="Y10" i="2" s="1"/>
  <c r="X26" i="2"/>
  <c r="X21" i="2"/>
  <c r="X15" i="2"/>
  <c r="H5" i="6" s="1"/>
  <c r="X5" i="2"/>
  <c r="X6" i="2" s="1"/>
  <c r="T21" i="2"/>
  <c r="D16" i="3" s="1"/>
  <c r="R17" i="4" s="1"/>
  <c r="S21" i="2"/>
  <c r="T5" i="2"/>
  <c r="T6" i="2" s="1"/>
  <c r="S5" i="2"/>
  <c r="S6" i="2" s="1"/>
  <c r="S10" i="2" s="1"/>
  <c r="R21" i="2"/>
  <c r="Q21" i="2"/>
  <c r="R5" i="2"/>
  <c r="R6" i="2" s="1"/>
  <c r="R10" i="2" s="1"/>
  <c r="Q5" i="2"/>
  <c r="Q6" i="2" s="1"/>
  <c r="Q10" i="2" s="1"/>
  <c r="P21" i="2"/>
  <c r="P5" i="2"/>
  <c r="P6" i="2" s="1"/>
  <c r="AJ6" i="2"/>
  <c r="B27" i="5" s="1"/>
  <c r="AH6" i="2"/>
  <c r="AH10" i="2" s="1"/>
  <c r="AF6" i="2"/>
  <c r="AB6" i="2"/>
  <c r="R11" i="6" a="1"/>
  <c r="R11" i="6" s="1"/>
  <c r="R8" i="6" a="1"/>
  <c r="R8" i="6" s="1"/>
  <c r="R5" i="6" a="1"/>
  <c r="R5" i="6" s="1"/>
  <c r="AB3" i="6"/>
  <c r="AB2" i="6"/>
  <c r="R2" i="6" a="1"/>
  <c r="R2" i="6" s="1"/>
  <c r="D2" i="1" a="1"/>
  <c r="D2" i="1" s="1"/>
  <c r="E2" i="1" a="1"/>
  <c r="E2" i="1" s="1"/>
  <c r="F2" i="1" a="1"/>
  <c r="F2" i="1" s="1"/>
  <c r="D3" i="1" a="1"/>
  <c r="D3" i="1" s="1"/>
  <c r="R21" i="4" s="1"/>
  <c r="E3" i="1" a="1"/>
  <c r="E3" i="1" s="1"/>
  <c r="Z21" i="4" s="1"/>
  <c r="F3" i="1" a="1"/>
  <c r="F3" i="1" s="1"/>
  <c r="AH21" i="4" s="1"/>
  <c r="D4" i="1" a="1"/>
  <c r="D4" i="1" s="1"/>
  <c r="E4" i="1" a="1"/>
  <c r="E4" i="1" s="1"/>
  <c r="F4" i="1" a="1"/>
  <c r="F4" i="1" s="1"/>
  <c r="D5" i="1" a="1"/>
  <c r="D5" i="1" s="1"/>
  <c r="D6" i="1" s="1"/>
  <c r="D26" i="3" s="1"/>
  <c r="R19" i="4" s="1"/>
  <c r="E5" i="1" a="1"/>
  <c r="E5" i="1" s="1"/>
  <c r="E6" i="1" s="1"/>
  <c r="E26" i="3" s="1"/>
  <c r="Z19" i="4" s="1"/>
  <c r="F5" i="1" a="1"/>
  <c r="F5" i="1" s="1"/>
  <c r="F6" i="1" s="1"/>
  <c r="F26" i="3" s="1"/>
  <c r="AH19" i="4" s="1"/>
  <c r="D7" i="1" a="1"/>
  <c r="D7" i="1" s="1"/>
  <c r="D8" i="1" s="1"/>
  <c r="D17" i="3" s="1"/>
  <c r="E7" i="1" a="1"/>
  <c r="E7" i="1" s="1"/>
  <c r="E8" i="1" s="1"/>
  <c r="E17" i="3" s="1"/>
  <c r="F7" i="1" a="1"/>
  <c r="F7" i="1" s="1"/>
  <c r="F8" i="1" s="1"/>
  <c r="F17" i="3" s="1"/>
  <c r="D9" i="1" a="1"/>
  <c r="D9" i="1" s="1"/>
  <c r="D11" i="3" s="1"/>
  <c r="D12" i="3" s="1"/>
  <c r="E9" i="1" a="1"/>
  <c r="E9" i="1" s="1"/>
  <c r="E11" i="3" s="1"/>
  <c r="E12" i="3" s="1"/>
  <c r="F9" i="1" a="1"/>
  <c r="F9" i="1" s="1"/>
  <c r="F11" i="3" s="1"/>
  <c r="F12" i="3" s="1"/>
  <c r="D10" i="1" a="1"/>
  <c r="D10" i="1" s="1"/>
  <c r="E10" i="1" a="1"/>
  <c r="E10" i="1" s="1"/>
  <c r="F10" i="1" a="1"/>
  <c r="F10" i="1" s="1"/>
  <c r="D11" i="1" a="1"/>
  <c r="D11" i="1" s="1"/>
  <c r="E11" i="1" a="1"/>
  <c r="E11" i="1" s="1"/>
  <c r="F11" i="1" a="1"/>
  <c r="F11" i="1" s="1"/>
  <c r="D13" i="3" l="1"/>
  <c r="D15" i="3" s="1"/>
  <c r="E13" i="3"/>
  <c r="E15" i="3" s="1"/>
  <c r="D7" i="3"/>
  <c r="AG10" i="2"/>
  <c r="F4" i="3"/>
  <c r="S3" i="4"/>
  <c r="P10" i="2"/>
  <c r="D40" i="6" s="1"/>
  <c r="D34" i="6"/>
  <c r="AA3" i="4"/>
  <c r="AB3" i="4" s="1"/>
  <c r="Z6" i="4"/>
  <c r="R3" i="4"/>
  <c r="Z7" i="4"/>
  <c r="AH3" i="4"/>
  <c r="AB10" i="2"/>
  <c r="G5" i="6"/>
  <c r="I5" i="6" s="1"/>
  <c r="E7" i="3"/>
  <c r="I14" i="3" s="1"/>
  <c r="Z8" i="4" s="1"/>
  <c r="B26" i="5"/>
  <c r="T10" i="2"/>
  <c r="G4" i="6"/>
  <c r="I4" i="6" s="1"/>
  <c r="B25" i="5"/>
  <c r="D4" i="3"/>
  <c r="AJ10" i="2"/>
  <c r="G6" i="6"/>
  <c r="I6" i="6" s="1"/>
  <c r="X10" i="2"/>
  <c r="D35" i="6"/>
  <c r="F18" i="3"/>
  <c r="F20" i="3" s="1"/>
  <c r="AF10" i="2"/>
  <c r="D42" i="6" s="1"/>
  <c r="D36" i="6"/>
  <c r="E4" i="3"/>
  <c r="Z4" i="4" s="1"/>
  <c r="Z5" i="4" s="1"/>
  <c r="J17" i="5"/>
  <c r="J18" i="5"/>
  <c r="M6" i="5"/>
  <c r="J19" i="5"/>
  <c r="M7" i="5"/>
  <c r="M8" i="5"/>
  <c r="I15" i="3"/>
  <c r="AH6" i="4"/>
  <c r="D18" i="3"/>
  <c r="D19" i="3" s="1"/>
  <c r="E18" i="3"/>
  <c r="E19" i="3" s="1"/>
  <c r="H3" i="6"/>
  <c r="H2" i="6"/>
  <c r="D3" i="6"/>
  <c r="D2" i="6"/>
  <c r="K19" i="6"/>
  <c r="K17" i="6"/>
  <c r="F19" i="3" l="1"/>
  <c r="F21" i="3" s="1"/>
  <c r="AC3" i="4"/>
  <c r="AB4" i="4"/>
  <c r="AB5" i="4" s="1"/>
  <c r="K14" i="3"/>
  <c r="AB7" i="4"/>
  <c r="AB6" i="4"/>
  <c r="Z9" i="4"/>
  <c r="D72" i="6"/>
  <c r="D60" i="6"/>
  <c r="C27" i="5"/>
  <c r="D71" i="6"/>
  <c r="D59" i="6"/>
  <c r="C26" i="5"/>
  <c r="S6" i="4"/>
  <c r="J13" i="3"/>
  <c r="S4" i="4"/>
  <c r="S5" i="4" s="1"/>
  <c r="S7" i="4"/>
  <c r="AH7" i="4"/>
  <c r="AI3" i="4"/>
  <c r="AH4" i="4"/>
  <c r="AH5" i="4" s="1"/>
  <c r="D41" i="6"/>
  <c r="D70" i="6"/>
  <c r="D58" i="6"/>
  <c r="C25" i="5"/>
  <c r="R6" i="4"/>
  <c r="I13" i="3"/>
  <c r="R8" i="4" s="1"/>
  <c r="R4" i="4"/>
  <c r="R5" i="4" s="1"/>
  <c r="R7" i="4"/>
  <c r="D7" i="6"/>
  <c r="T3" i="4"/>
  <c r="J14" i="3"/>
  <c r="AA8" i="4" s="1"/>
  <c r="AA4" i="4"/>
  <c r="AA5" i="4" s="1"/>
  <c r="AA7" i="4"/>
  <c r="AA6" i="4"/>
  <c r="K8" i="5"/>
  <c r="L8" i="5"/>
  <c r="I8" i="5"/>
  <c r="I7" i="5"/>
  <c r="K7" i="5"/>
  <c r="L7" i="5"/>
  <c r="L6" i="5"/>
  <c r="I6" i="5"/>
  <c r="K6" i="5"/>
  <c r="AH8" i="4"/>
  <c r="AH9" i="4" s="1"/>
  <c r="F23" i="3"/>
  <c r="D20" i="3"/>
  <c r="D21" i="3" s="1"/>
  <c r="D23" i="3" s="1"/>
  <c r="E20" i="3"/>
  <c r="E21" i="3" s="1"/>
  <c r="E23" i="3" s="1"/>
  <c r="AA9" i="4" l="1"/>
  <c r="R9" i="4"/>
  <c r="S8" i="4"/>
  <c r="S9" i="4" s="1"/>
  <c r="AI6" i="4"/>
  <c r="AI4" i="4"/>
  <c r="AI5" i="4" s="1"/>
  <c r="J15" i="3"/>
  <c r="AI8" i="4" s="1"/>
  <c r="AI7" i="4"/>
  <c r="AJ3" i="4"/>
  <c r="U3" i="4"/>
  <c r="K13" i="3"/>
  <c r="T8" i="4" s="1"/>
  <c r="T7" i="4"/>
  <c r="T6" i="4"/>
  <c r="T4" i="4"/>
  <c r="T5" i="4" s="1"/>
  <c r="AB8" i="4"/>
  <c r="AB9" i="4"/>
  <c r="AC4" i="4"/>
  <c r="AC5" i="4" s="1"/>
  <c r="AC9" i="4" s="1"/>
  <c r="AC7" i="4"/>
  <c r="AC6" i="4"/>
  <c r="L14" i="3"/>
  <c r="AC8" i="4" s="1"/>
  <c r="AD3" i="4"/>
  <c r="C13" i="5" a="1"/>
  <c r="C13" i="5" s="1"/>
  <c r="C10" i="5" a="1"/>
  <c r="C10" i="5" s="1"/>
  <c r="C4" i="5" a="1"/>
  <c r="C4" i="5" s="1"/>
  <c r="C5" i="5" a="1"/>
  <c r="C5" i="5" s="1"/>
  <c r="C6" i="5" a="1"/>
  <c r="C6" i="5" s="1"/>
  <c r="C7" i="5" a="1"/>
  <c r="C7" i="5" s="1"/>
  <c r="C8" i="5" a="1"/>
  <c r="C8" i="5" s="1"/>
  <c r="C9" i="5" a="1"/>
  <c r="C9" i="5" s="1"/>
  <c r="C11" i="5" a="1"/>
  <c r="C11" i="5" s="1"/>
  <c r="C12" i="5" a="1"/>
  <c r="C12" i="5" s="1"/>
  <c r="C14" i="5" a="1"/>
  <c r="C14" i="5" s="1"/>
  <c r="C15" i="5" a="1"/>
  <c r="C15" i="5" s="1"/>
  <c r="C16" i="5" a="1"/>
  <c r="C16" i="5" s="1"/>
  <c r="C17" i="5" a="1"/>
  <c r="C17" i="5" s="1"/>
  <c r="C18" i="5" a="1"/>
  <c r="C18" i="5" s="1"/>
  <c r="C3" i="5" a="1"/>
  <c r="C3" i="5" s="1"/>
  <c r="E24" i="5"/>
  <c r="L5" i="5" s="1"/>
  <c r="E23" i="5"/>
  <c r="L4" i="5" s="1"/>
  <c r="D24" i="5"/>
  <c r="K5" i="5" s="1"/>
  <c r="D23" i="5"/>
  <c r="K4" i="5" s="1"/>
  <c r="A24" i="5"/>
  <c r="C3" i="6" s="1"/>
  <c r="A23" i="5"/>
  <c r="C2" i="6" s="1"/>
  <c r="H16" i="5"/>
  <c r="H15" i="5"/>
  <c r="E20" i="5"/>
  <c r="D20" i="5"/>
  <c r="B20" i="5"/>
  <c r="AK3" i="4" l="1"/>
  <c r="AJ7" i="4"/>
  <c r="AJ4" i="4"/>
  <c r="AJ5" i="4" s="1"/>
  <c r="K15" i="3"/>
  <c r="AJ8" i="4" s="1"/>
  <c r="AJ6" i="4"/>
  <c r="AD6" i="4"/>
  <c r="AD4" i="4"/>
  <c r="AD5" i="4" s="1"/>
  <c r="AD9" i="4" s="1"/>
  <c r="AD7" i="4"/>
  <c r="AE3" i="4"/>
  <c r="M14" i="3"/>
  <c r="AD8" i="4" s="1"/>
  <c r="T9" i="4"/>
  <c r="AI9" i="4"/>
  <c r="V3" i="4"/>
  <c r="U4" i="4"/>
  <c r="U5" i="4" s="1"/>
  <c r="U7" i="4"/>
  <c r="U6" i="4"/>
  <c r="L13" i="3"/>
  <c r="U8" i="4" s="1"/>
  <c r="F2" i="6"/>
  <c r="F3" i="6"/>
  <c r="C20" i="5"/>
  <c r="AJ9" i="4" l="1"/>
  <c r="AK7" i="4"/>
  <c r="AK4" i="4"/>
  <c r="AK5" i="4" s="1"/>
  <c r="AK6" i="4"/>
  <c r="L15" i="3"/>
  <c r="AK8" i="4" s="1"/>
  <c r="AL3" i="4"/>
  <c r="N14" i="3"/>
  <c r="AE8" i="4" s="1"/>
  <c r="AE6" i="4"/>
  <c r="L5" i="6" s="1"/>
  <c r="AE4" i="4"/>
  <c r="AE7" i="4"/>
  <c r="U9" i="4"/>
  <c r="W3" i="4"/>
  <c r="V7" i="4"/>
  <c r="V4" i="4"/>
  <c r="V5" i="4" s="1"/>
  <c r="V6" i="4"/>
  <c r="M13" i="3"/>
  <c r="V8" i="4" s="1"/>
  <c r="D47" i="6"/>
  <c r="J7" i="5"/>
  <c r="I18" i="5" s="1"/>
  <c r="K18" i="5" s="1"/>
  <c r="J8" i="5"/>
  <c r="I19" i="5" s="1"/>
  <c r="K19" i="5" s="1"/>
  <c r="J6" i="5"/>
  <c r="I17" i="5" s="1"/>
  <c r="K17" i="5" s="1"/>
  <c r="C24" i="3"/>
  <c r="B24" i="3"/>
  <c r="C6" i="3"/>
  <c r="B6" i="3"/>
  <c r="C5" i="3"/>
  <c r="B5" i="3"/>
  <c r="C3" i="3"/>
  <c r="J3" i="4" s="1"/>
  <c r="B3" i="3"/>
  <c r="B3" i="4" s="1"/>
  <c r="J19" i="4"/>
  <c r="B19" i="4"/>
  <c r="W4" i="4" l="1"/>
  <c r="W7" i="4"/>
  <c r="N13" i="3"/>
  <c r="W8" i="4" s="1"/>
  <c r="W6" i="4"/>
  <c r="L4" i="6" s="1"/>
  <c r="D46" i="6"/>
  <c r="AL6" i="4"/>
  <c r="M15" i="3"/>
  <c r="AL8" i="4" s="1"/>
  <c r="AM3" i="4"/>
  <c r="D48" i="6" s="1"/>
  <c r="AL7" i="4"/>
  <c r="AL4" i="4"/>
  <c r="AL5" i="4" s="1"/>
  <c r="D17" i="6"/>
  <c r="D23" i="6" s="1"/>
  <c r="D29" i="6" s="1"/>
  <c r="D11" i="6"/>
  <c r="K5" i="6" s="1"/>
  <c r="M5" i="6" s="1"/>
  <c r="AK9" i="4"/>
  <c r="J5" i="6"/>
  <c r="AE5" i="4"/>
  <c r="V9" i="4"/>
  <c r="B6" i="4"/>
  <c r="J6" i="4"/>
  <c r="K3" i="4"/>
  <c r="J7" i="4"/>
  <c r="C3" i="4"/>
  <c r="B7" i="4"/>
  <c r="D53" i="6" l="1"/>
  <c r="D16" i="6"/>
  <c r="D22" i="6" s="1"/>
  <c r="D28" i="6" s="1"/>
  <c r="D10" i="6"/>
  <c r="K4" i="6" s="1"/>
  <c r="M4" i="6" s="1"/>
  <c r="AE9" i="4"/>
  <c r="D65" i="6"/>
  <c r="N5" i="6"/>
  <c r="O5" i="6" s="1"/>
  <c r="J4" i="6"/>
  <c r="W5" i="4"/>
  <c r="AL9" i="4"/>
  <c r="N15" i="3"/>
  <c r="AM8" i="4" s="1"/>
  <c r="AM7" i="4"/>
  <c r="AM6" i="4"/>
  <c r="L6" i="6" s="1"/>
  <c r="AM4" i="4"/>
  <c r="K6" i="4"/>
  <c r="L3" i="4"/>
  <c r="K7" i="4"/>
  <c r="C6" i="4"/>
  <c r="D3" i="4"/>
  <c r="C7" i="4"/>
  <c r="N4" i="6" l="1"/>
  <c r="O4" i="6" s="1"/>
  <c r="D52" i="6"/>
  <c r="W9" i="4"/>
  <c r="D64" i="6"/>
  <c r="J6" i="6"/>
  <c r="AM5" i="4"/>
  <c r="D18" i="6"/>
  <c r="D24" i="6" s="1"/>
  <c r="D30" i="6" s="1"/>
  <c r="D12" i="6"/>
  <c r="Z13" i="4"/>
  <c r="Z14" i="4" s="1"/>
  <c r="Z15" i="4"/>
  <c r="M3" i="4"/>
  <c r="L7" i="4"/>
  <c r="L6" i="4"/>
  <c r="E3" i="4"/>
  <c r="D7" i="4"/>
  <c r="D6" i="4"/>
  <c r="R13" i="4" l="1"/>
  <c r="R14" i="4" s="1"/>
  <c r="R15" i="4"/>
  <c r="D66" i="6"/>
  <c r="AM9" i="4"/>
  <c r="Z16" i="4"/>
  <c r="Z18" i="4" s="1"/>
  <c r="Z20" i="4" s="1"/>
  <c r="Z22" i="4" s="1"/>
  <c r="K6" i="6"/>
  <c r="M6" i="6" s="1"/>
  <c r="N6" i="6" s="1"/>
  <c r="O6" i="6" s="1"/>
  <c r="D54" i="6"/>
  <c r="N3" i="4"/>
  <c r="M7" i="4"/>
  <c r="M6" i="4"/>
  <c r="F3" i="4"/>
  <c r="E7" i="4"/>
  <c r="E6" i="4"/>
  <c r="R16" i="4" l="1"/>
  <c r="R18" i="4" s="1"/>
  <c r="R20" i="4" s="1"/>
  <c r="R22" i="4" s="1"/>
  <c r="AH13" i="4"/>
  <c r="AH14" i="4" s="1"/>
  <c r="AH15" i="4"/>
  <c r="O3" i="4"/>
  <c r="N7" i="4"/>
  <c r="N6" i="4"/>
  <c r="G3" i="4"/>
  <c r="F7" i="4"/>
  <c r="F6" i="4"/>
  <c r="J3" i="3"/>
  <c r="K3" i="3"/>
  <c r="L3" i="3"/>
  <c r="M3" i="3"/>
  <c r="J4" i="3"/>
  <c r="K4" i="3"/>
  <c r="L4" i="3"/>
  <c r="M4" i="3"/>
  <c r="I4" i="3"/>
  <c r="I3" i="3"/>
  <c r="H12" i="3"/>
  <c r="H11" i="3"/>
  <c r="M29" i="2"/>
  <c r="L29" i="2"/>
  <c r="M21" i="2"/>
  <c r="L21" i="2"/>
  <c r="M5" i="2"/>
  <c r="L5" i="2"/>
  <c r="L6" i="2" s="1"/>
  <c r="L10" i="2" s="1"/>
  <c r="K29" i="2"/>
  <c r="J29" i="2"/>
  <c r="K21" i="2"/>
  <c r="J21" i="2"/>
  <c r="K5" i="2"/>
  <c r="K6" i="2" s="1"/>
  <c r="K10" i="2" s="1"/>
  <c r="I29" i="2"/>
  <c r="I21" i="2"/>
  <c r="J6" i="2"/>
  <c r="J10" i="2" s="1"/>
  <c r="M6" i="2"/>
  <c r="I6" i="2"/>
  <c r="F21" i="2"/>
  <c r="E21" i="2"/>
  <c r="F5" i="2"/>
  <c r="F6" i="2" s="1"/>
  <c r="D21" i="2"/>
  <c r="C21" i="2"/>
  <c r="B21" i="2"/>
  <c r="C6" i="2"/>
  <c r="C10" i="2" s="1"/>
  <c r="D6" i="2"/>
  <c r="D10" i="2" s="1"/>
  <c r="E6" i="2"/>
  <c r="E10" i="2" s="1"/>
  <c r="B5" i="2"/>
  <c r="B6" i="2" s="1"/>
  <c r="C2" i="1" a="1"/>
  <c r="C2" i="1" s="1"/>
  <c r="C3" i="1" a="1"/>
  <c r="C3" i="1" s="1"/>
  <c r="C4" i="1" a="1"/>
  <c r="C4" i="1" s="1"/>
  <c r="C5" i="1" a="1"/>
  <c r="C5" i="1" s="1"/>
  <c r="C6" i="1" s="1"/>
  <c r="C7" i="1" a="1"/>
  <c r="C7" i="1" s="1"/>
  <c r="C8" i="1" s="1"/>
  <c r="C9" i="1" a="1"/>
  <c r="C9" i="1" s="1"/>
  <c r="C10" i="1" a="1"/>
  <c r="C10" i="1" s="1"/>
  <c r="C11" i="1" a="1"/>
  <c r="C11" i="1" s="1"/>
  <c r="B11" i="1" a="1"/>
  <c r="B11" i="1" s="1"/>
  <c r="B10" i="1" a="1"/>
  <c r="B10" i="1" s="1"/>
  <c r="B9" i="1" a="1"/>
  <c r="B9" i="1" s="1"/>
  <c r="B7" i="1" a="1"/>
  <c r="B7" i="1" s="1"/>
  <c r="B8" i="1" s="1"/>
  <c r="B5" i="1" a="1"/>
  <c r="B5" i="1" s="1"/>
  <c r="B6" i="1" s="1"/>
  <c r="B4" i="1" a="1"/>
  <c r="B4" i="1" s="1"/>
  <c r="B3" i="1" a="1"/>
  <c r="B3" i="1" s="1"/>
  <c r="B2" i="1" a="1"/>
  <c r="B2" i="1" s="1"/>
  <c r="D33" i="6" l="1"/>
  <c r="C13" i="3"/>
  <c r="C15" i="3" s="1"/>
  <c r="R22" i="6" a="1"/>
  <c r="R22" i="6" s="1"/>
  <c r="D45" i="6"/>
  <c r="AH16" i="4"/>
  <c r="AH18" i="4" s="1"/>
  <c r="AH20" i="4" s="1"/>
  <c r="AH22" i="4" s="1"/>
  <c r="R15" i="6" a="1"/>
  <c r="R15" i="6" s="1"/>
  <c r="D26" i="6"/>
  <c r="D44" i="6"/>
  <c r="D49" i="6" s="1"/>
  <c r="D32" i="6"/>
  <c r="D37" i="6" s="1"/>
  <c r="R3" i="6" a="1"/>
  <c r="R3" i="6" s="1"/>
  <c r="B4" i="3"/>
  <c r="B10" i="2"/>
  <c r="F10" i="2"/>
  <c r="G2" i="6"/>
  <c r="I2" i="6" s="1"/>
  <c r="I7" i="6" s="1"/>
  <c r="B23" i="5"/>
  <c r="I4" i="5" s="1"/>
  <c r="C16" i="3"/>
  <c r="J17" i="4"/>
  <c r="B16" i="3"/>
  <c r="B17" i="4"/>
  <c r="G3" i="6"/>
  <c r="I3" i="6" s="1"/>
  <c r="B24" i="5"/>
  <c r="I5" i="5" s="1"/>
  <c r="R9" i="6" a="1"/>
  <c r="R9" i="6" s="1"/>
  <c r="C4" i="3"/>
  <c r="O4" i="4" s="1"/>
  <c r="I10" i="2"/>
  <c r="B13" i="3"/>
  <c r="B15" i="3" s="1"/>
  <c r="M10" i="2"/>
  <c r="B7" i="3"/>
  <c r="K11" i="3" s="1"/>
  <c r="C7" i="3"/>
  <c r="N12" i="3" s="1"/>
  <c r="M11" i="3"/>
  <c r="B17" i="3"/>
  <c r="C17" i="3"/>
  <c r="B11" i="3"/>
  <c r="C11" i="3"/>
  <c r="C12" i="3" s="1"/>
  <c r="AC3" i="6" s="1"/>
  <c r="J21" i="4"/>
  <c r="AE3" i="6" s="1"/>
  <c r="J16" i="5"/>
  <c r="B21" i="4"/>
  <c r="AE2" i="6" s="1"/>
  <c r="J15" i="5"/>
  <c r="O6" i="4"/>
  <c r="L3" i="6" s="1"/>
  <c r="O7" i="4"/>
  <c r="G7" i="4"/>
  <c r="G4" i="4"/>
  <c r="G6" i="4"/>
  <c r="L2" i="6" s="1"/>
  <c r="B18" i="3" l="1"/>
  <c r="B19" i="3" s="1"/>
  <c r="D39" i="6"/>
  <c r="R25" i="6" a="1"/>
  <c r="R25" i="6" s="1"/>
  <c r="D15" i="6"/>
  <c r="D21" i="6" s="1"/>
  <c r="D27" i="6" s="1"/>
  <c r="D31" i="6" s="1"/>
  <c r="D9" i="6"/>
  <c r="K3" i="6" s="1"/>
  <c r="N11" i="3"/>
  <c r="D68" i="6"/>
  <c r="D73" i="6" s="1"/>
  <c r="D56" i="6"/>
  <c r="J11" i="3"/>
  <c r="R18" i="6" a="1"/>
  <c r="R18" i="6" s="1"/>
  <c r="D14" i="6"/>
  <c r="D8" i="6"/>
  <c r="I11" i="3"/>
  <c r="B8" i="4" s="1"/>
  <c r="D38" i="6"/>
  <c r="D43" i="6" s="1"/>
  <c r="D51" i="6"/>
  <c r="D69" i="6"/>
  <c r="D57" i="6"/>
  <c r="D8" i="4"/>
  <c r="B12" i="3"/>
  <c r="C23" i="5"/>
  <c r="C24" i="5"/>
  <c r="R4" i="6" a="1"/>
  <c r="R4" i="6" s="1"/>
  <c r="L11" i="3"/>
  <c r="E8" i="4" s="1"/>
  <c r="E9" i="4" s="1"/>
  <c r="B4" i="4"/>
  <c r="J2" i="6" s="1"/>
  <c r="C4" i="4"/>
  <c r="C5" i="4" s="1"/>
  <c r="D4" i="4"/>
  <c r="D5" i="4" s="1"/>
  <c r="D9" i="4" s="1"/>
  <c r="E4" i="4"/>
  <c r="E5" i="4" s="1"/>
  <c r="F4" i="4"/>
  <c r="F5" i="4" s="1"/>
  <c r="C18" i="3"/>
  <c r="C19" i="3" s="1"/>
  <c r="R10" i="6" a="1"/>
  <c r="R10" i="6" s="1"/>
  <c r="C8" i="4"/>
  <c r="C9" i="4" s="1"/>
  <c r="J4" i="4"/>
  <c r="K4" i="4"/>
  <c r="K5" i="4" s="1"/>
  <c r="L4" i="4"/>
  <c r="L5" i="4" s="1"/>
  <c r="M4" i="4"/>
  <c r="M5" i="4" s="1"/>
  <c r="N4" i="4"/>
  <c r="N5" i="4" s="1"/>
  <c r="G8" i="4"/>
  <c r="M3" i="6"/>
  <c r="O5" i="4"/>
  <c r="J3" i="6"/>
  <c r="G5" i="4"/>
  <c r="I12" i="3"/>
  <c r="J8" i="4" s="1"/>
  <c r="J12" i="3"/>
  <c r="K12" i="3"/>
  <c r="L12" i="3"/>
  <c r="M8" i="4" s="1"/>
  <c r="M9" i="4" s="1"/>
  <c r="M12" i="3"/>
  <c r="B20" i="3" l="1"/>
  <c r="J4" i="5"/>
  <c r="I15" i="5" s="1"/>
  <c r="K15" i="5" s="1"/>
  <c r="K2" i="6"/>
  <c r="D50" i="6"/>
  <c r="D55" i="6" s="1"/>
  <c r="D13" i="6"/>
  <c r="J5" i="5"/>
  <c r="I16" i="5" s="1"/>
  <c r="K16" i="5" s="1"/>
  <c r="D20" i="6"/>
  <c r="D25" i="6" s="1"/>
  <c r="D19" i="6"/>
  <c r="N8" i="4"/>
  <c r="N9" i="4" s="1"/>
  <c r="D61" i="6"/>
  <c r="K20" i="6" s="1"/>
  <c r="AC2" i="6"/>
  <c r="B21" i="3"/>
  <c r="B23" i="3" s="1"/>
  <c r="C20" i="3"/>
  <c r="C21" i="3" s="1"/>
  <c r="AA3" i="6" s="1"/>
  <c r="R16" i="6" a="1"/>
  <c r="R16" i="6" s="1"/>
  <c r="B5" i="4"/>
  <c r="D62" i="6" s="1"/>
  <c r="F8" i="4"/>
  <c r="F9" i="4" s="1"/>
  <c r="R23" i="6" a="1"/>
  <c r="R23" i="6" s="1"/>
  <c r="J5" i="4"/>
  <c r="R24" i="6" s="1" a="1"/>
  <c r="R24" i="6" s="1"/>
  <c r="L8" i="4"/>
  <c r="L9" i="4" s="1"/>
  <c r="O8" i="4"/>
  <c r="O9" i="4" s="1"/>
  <c r="N3" i="6"/>
  <c r="O3" i="6" s="1"/>
  <c r="M2" i="6"/>
  <c r="N2" i="6" s="1"/>
  <c r="G9" i="4"/>
  <c r="K8" i="4"/>
  <c r="K9" i="4" s="1"/>
  <c r="D63" i="6" l="1"/>
  <c r="D67" i="6" s="1"/>
  <c r="L20" i="6" s="1"/>
  <c r="N7" i="6"/>
  <c r="AA2" i="6"/>
  <c r="J13" i="4"/>
  <c r="C23" i="3"/>
  <c r="J9" i="4"/>
  <c r="R26" i="6" s="1" a="1"/>
  <c r="R26" i="6" s="1"/>
  <c r="R17" i="6" a="1"/>
  <c r="R17" i="6" s="1"/>
  <c r="B9" i="4"/>
  <c r="O2" i="6"/>
  <c r="O7" i="6" s="1"/>
  <c r="B13" i="4"/>
  <c r="B14" i="4" s="1"/>
  <c r="J15" i="4" l="1"/>
  <c r="J14" i="4"/>
  <c r="R19" i="6" a="1"/>
  <c r="R19" i="6" s="1"/>
  <c r="B15" i="4"/>
  <c r="B16" i="4" s="1"/>
  <c r="B18" i="4" s="1"/>
  <c r="B20" i="4" s="1"/>
  <c r="AD2" i="6" s="1"/>
  <c r="AF2" i="6" s="1"/>
  <c r="J16" i="4" l="1"/>
  <c r="J18" i="4" s="1"/>
  <c r="J20" i="4" s="1"/>
  <c r="AD3" i="6" s="1"/>
  <c r="AF3" i="6" s="1"/>
  <c r="B22" i="4"/>
  <c r="J22"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futureMetadata>
  <cellMetadata count="1">
    <bk>
      <rc t="1" v="0"/>
    </bk>
  </cellMetadata>
  <valueMetadata count="16">
    <bk>
      <rc t="2" v="0"/>
    </bk>
    <bk>
      <rc t="2" v="1"/>
    </bk>
    <bk>
      <rc t="2" v="2"/>
    </bk>
    <bk>
      <rc t="2" v="3"/>
    </bk>
    <bk>
      <rc t="2" v="4"/>
    </bk>
    <bk>
      <rc t="2" v="5"/>
    </bk>
    <bk>
      <rc t="2" v="6"/>
    </bk>
    <bk>
      <rc t="2" v="7"/>
    </bk>
    <bk>
      <rc t="2" v="8"/>
    </bk>
    <bk>
      <rc t="2" v="9"/>
    </bk>
    <bk>
      <rc t="2" v="10"/>
    </bk>
    <bk>
      <rc t="2" v="11"/>
    </bk>
    <bk>
      <rc t="2" v="12"/>
    </bk>
    <bk>
      <rc t="2" v="13"/>
    </bk>
    <bk>
      <rc t="2" v="14"/>
    </bk>
    <bk>
      <rc t="2" v="15"/>
    </bk>
  </valueMetadata>
</metadata>
</file>

<file path=xl/sharedStrings.xml><?xml version="1.0" encoding="utf-8"?>
<sst xmlns="http://schemas.openxmlformats.org/spreadsheetml/2006/main" count="630" uniqueCount="134">
  <si>
    <t>Company</t>
  </si>
  <si>
    <t>Official name</t>
  </si>
  <si>
    <t>Share price</t>
  </si>
  <si>
    <t>Change (%)</t>
  </si>
  <si>
    <t>Shares outstanding</t>
  </si>
  <si>
    <t>in mn</t>
  </si>
  <si>
    <t>Market cap</t>
  </si>
  <si>
    <t>Beta</t>
  </si>
  <si>
    <t>P/E</t>
  </si>
  <si>
    <t>Year</t>
  </si>
  <si>
    <t>INCOME STATEMENT</t>
  </si>
  <si>
    <t>Particulars</t>
  </si>
  <si>
    <t>Revenue</t>
  </si>
  <si>
    <t>Cost of sales</t>
  </si>
  <si>
    <t>Operating income (EBIT)</t>
  </si>
  <si>
    <t>Depreciation &amp; Amortization</t>
  </si>
  <si>
    <t>Interest expense</t>
  </si>
  <si>
    <t>Income tax</t>
  </si>
  <si>
    <t>Net income</t>
  </si>
  <si>
    <t>BALANCE SHEET</t>
  </si>
  <si>
    <t>Cash &amp; Cash equivalents</t>
  </si>
  <si>
    <t>Accounts receivables</t>
  </si>
  <si>
    <t>Inventories</t>
  </si>
  <si>
    <t>Total current assets</t>
  </si>
  <si>
    <t>PPE</t>
  </si>
  <si>
    <t>Accounts payables</t>
  </si>
  <si>
    <t>Total current liabilities</t>
  </si>
  <si>
    <t>Total debt</t>
  </si>
  <si>
    <t>Shareholder's equity</t>
  </si>
  <si>
    <t>CASH FLOW STATEMENT</t>
  </si>
  <si>
    <t>Cash flow from operating activities</t>
  </si>
  <si>
    <t>Capex</t>
  </si>
  <si>
    <t>Dividends paid</t>
  </si>
  <si>
    <t>Debt repaid</t>
  </si>
  <si>
    <t>2020</t>
  </si>
  <si>
    <t>2021</t>
  </si>
  <si>
    <t>2022</t>
  </si>
  <si>
    <t>2023</t>
  </si>
  <si>
    <t>2024</t>
  </si>
  <si>
    <t>P&amp;G</t>
  </si>
  <si>
    <t>PepsiCo</t>
  </si>
  <si>
    <t>Opex</t>
  </si>
  <si>
    <t>Assumptions</t>
  </si>
  <si>
    <t>Metric</t>
  </si>
  <si>
    <t>Value</t>
  </si>
  <si>
    <t>Revenue CAGR</t>
  </si>
  <si>
    <t>Operating margin (EBIT)</t>
  </si>
  <si>
    <t>Depreciation rate</t>
  </si>
  <si>
    <t>CapEx</t>
  </si>
  <si>
    <t>Working capital</t>
  </si>
  <si>
    <t>Risk-free rate</t>
  </si>
  <si>
    <t>Equity risk premium</t>
  </si>
  <si>
    <t>Cost of equity</t>
  </si>
  <si>
    <t>Kd (pre-tax)</t>
  </si>
  <si>
    <t>Tax rate</t>
  </si>
  <si>
    <t>Kd (after tax)</t>
  </si>
  <si>
    <t>Total capital</t>
  </si>
  <si>
    <t>Debt weight</t>
  </si>
  <si>
    <t>Equity weight</t>
  </si>
  <si>
    <t>WACC</t>
  </si>
  <si>
    <t>Terminal year</t>
  </si>
  <si>
    <t>PV discount rate (terminal year)</t>
  </si>
  <si>
    <t>Cash &amp; cash equivalents</t>
  </si>
  <si>
    <t>Terminal growth rate</t>
  </si>
  <si>
    <t>Current</t>
  </si>
  <si>
    <t>WC-P&amp;G</t>
  </si>
  <si>
    <t>Forecast</t>
  </si>
  <si>
    <t>WC-PepsiCo</t>
  </si>
  <si>
    <t>DCF</t>
  </si>
  <si>
    <t>2025</t>
  </si>
  <si>
    <t>2026</t>
  </si>
  <si>
    <t>2027</t>
  </si>
  <si>
    <t>2028</t>
  </si>
  <si>
    <t>2029</t>
  </si>
  <si>
    <t>2030</t>
  </si>
  <si>
    <t>EBIT</t>
  </si>
  <si>
    <t>NOPAT</t>
  </si>
  <si>
    <t>Depreciation</t>
  </si>
  <si>
    <t xml:space="preserve"> Change in Working capital</t>
  </si>
  <si>
    <t>FCFF</t>
  </si>
  <si>
    <t>Metrics</t>
  </si>
  <si>
    <t>Terminal Value</t>
  </si>
  <si>
    <t>PV of Terminal value</t>
  </si>
  <si>
    <t>PV of FCFF</t>
  </si>
  <si>
    <t>Total enterprise value</t>
  </si>
  <si>
    <t>Net debt</t>
  </si>
  <si>
    <t>Total equity value</t>
  </si>
  <si>
    <t>Outstanding shares</t>
  </si>
  <si>
    <t>Intrinsic value</t>
  </si>
  <si>
    <t>Current market price</t>
  </si>
  <si>
    <t>Upside/Downside</t>
  </si>
  <si>
    <t>Shares Outstanding</t>
  </si>
  <si>
    <t>Forecast horizon (yrs)</t>
  </si>
  <si>
    <t>RELATIVE</t>
  </si>
  <si>
    <t>EV/EBITDA</t>
  </si>
  <si>
    <t>P/S</t>
  </si>
  <si>
    <t>P/B</t>
  </si>
  <si>
    <t>Average</t>
  </si>
  <si>
    <t>EBITDA</t>
  </si>
  <si>
    <t>Net Income</t>
  </si>
  <si>
    <t>Book Value</t>
  </si>
  <si>
    <t>Target Price</t>
  </si>
  <si>
    <t>CMP</t>
  </si>
  <si>
    <t>U/D</t>
  </si>
  <si>
    <t>Change in EBIT (historical)</t>
  </si>
  <si>
    <t>Change in CE</t>
  </si>
  <si>
    <t>Incremental ROCE (Historical)</t>
  </si>
  <si>
    <t>Change in EBIT (Forecast)</t>
  </si>
  <si>
    <t>Effective capital</t>
  </si>
  <si>
    <t>Raw ROCE</t>
  </si>
  <si>
    <t>Adjusted ROCE (Forecast)</t>
  </si>
  <si>
    <t>2020-24</t>
  </si>
  <si>
    <t>Avg Capex</t>
  </si>
  <si>
    <t>2025-30</t>
  </si>
  <si>
    <t>Capex CAGR</t>
  </si>
  <si>
    <t>GDP</t>
  </si>
  <si>
    <t>Earnings CAGR</t>
  </si>
  <si>
    <t>Change</t>
  </si>
  <si>
    <t>Sensitivity</t>
  </si>
  <si>
    <t>Earnings Growth</t>
  </si>
  <si>
    <t>EBITDA Margin</t>
  </si>
  <si>
    <t>NPM</t>
  </si>
  <si>
    <t>Operating income</t>
  </si>
  <si>
    <t>Terminal growth</t>
  </si>
  <si>
    <t>Walmart</t>
  </si>
  <si>
    <t>Coca-Cola</t>
  </si>
  <si>
    <t>Colgate</t>
  </si>
  <si>
    <t>Total assets</t>
  </si>
  <si>
    <t>WC-CocaCola</t>
  </si>
  <si>
    <t>WC-Colgate</t>
  </si>
  <si>
    <t>WC-Walmart</t>
  </si>
  <si>
    <t>Shares</t>
  </si>
  <si>
    <t>Avg Revenue (Exp)</t>
  </si>
  <si>
    <t>Capex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</si>
</sst>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409]* #,##0.00_);_([$$-409]* \(#,##0.00\);_([$$-409]* &quot;-&quot;??_);_(@_)"/>
    <numFmt numFmtId="165" formatCode="_([$$-409]* #,##0_);_([$$-409]* \(#,##0\);_([$$-409]* &quot;-&quot;_);_(@_)"/>
    <numFmt numFmtId="166" formatCode="_-[$$-409]* #,##0.00_ ;_-[$$-409]* \-#,##0.00\ ;_-[$$-409]* &quot;-&quot;??_ ;_-@_ "/>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7">
    <fill>
      <patternFill patternType="none"/>
    </fill>
    <fill>
      <patternFill patternType="gray125"/>
    </fill>
    <fill>
      <patternFill patternType="solid">
        <fgColor theme="5" tint="-0.499984740745262"/>
        <bgColor indexed="64"/>
      </patternFill>
    </fill>
    <fill>
      <patternFill patternType="solid">
        <fgColor theme="0" tint="-4.9989318521683403E-2"/>
        <bgColor indexed="64"/>
      </patternFill>
    </fill>
    <fill>
      <patternFill patternType="solid">
        <fgColor theme="1"/>
        <bgColor indexed="64"/>
      </patternFill>
    </fill>
    <fill>
      <patternFill patternType="solid">
        <fgColor theme="8" tint="0.59999389629810485"/>
        <bgColor theme="8" tint="0.59999389629810485"/>
      </patternFill>
    </fill>
    <fill>
      <patternFill patternType="solid">
        <fgColor theme="8" tint="0.79998168889431442"/>
        <bgColor theme="8"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2">
    <xf numFmtId="0" fontId="0" fillId="0" borderId="0" xfId="0"/>
    <xf numFmtId="0" fontId="0" fillId="0" borderId="0" xfId="0" applyAlignment="1">
      <alignment vertical="center" wrapText="1"/>
    </xf>
    <xf numFmtId="0" fontId="0" fillId="0" borderId="0" xfId="0" applyAlignment="1">
      <alignment horizontal="right" vertical="center" wrapText="1"/>
    </xf>
    <xf numFmtId="0" fontId="0" fillId="0" borderId="0" xfId="0" applyAlignment="1">
      <alignment horizontal="right"/>
    </xf>
    <xf numFmtId="0" fontId="0" fillId="0" borderId="1" xfId="0" applyBorder="1"/>
    <xf numFmtId="164" fontId="0" fillId="0" borderId="1" xfId="0" applyNumberFormat="1" applyBorder="1" applyAlignment="1">
      <alignment horizontal="right"/>
    </xf>
    <xf numFmtId="10" fontId="0" fillId="0" borderId="1" xfId="0" applyNumberFormat="1" applyBorder="1" applyAlignment="1">
      <alignment horizontal="right"/>
    </xf>
    <xf numFmtId="3" fontId="0" fillId="0" borderId="1" xfId="0" applyNumberFormat="1" applyBorder="1" applyAlignment="1">
      <alignment horizontal="right"/>
    </xf>
    <xf numFmtId="43" fontId="0" fillId="0" borderId="1" xfId="1" applyFont="1" applyBorder="1" applyAlignment="1">
      <alignment horizontal="right"/>
    </xf>
    <xf numFmtId="165" fontId="0" fillId="0" borderId="1" xfId="0" applyNumberFormat="1" applyBorder="1" applyAlignment="1">
      <alignment horizontal="right"/>
    </xf>
    <xf numFmtId="166" fontId="0" fillId="0" borderId="1" xfId="0" applyNumberFormat="1" applyBorder="1" applyAlignment="1">
      <alignment horizontal="right"/>
    </xf>
    <xf numFmtId="4" fontId="0" fillId="0" borderId="1" xfId="0" applyNumberFormat="1" applyBorder="1" applyAlignment="1">
      <alignment horizontal="right"/>
    </xf>
    <xf numFmtId="1" fontId="0" fillId="0" borderId="1" xfId="0" applyNumberFormat="1" applyBorder="1" applyAlignment="1">
      <alignment horizontal="right"/>
    </xf>
    <xf numFmtId="0" fontId="0" fillId="0" borderId="2" xfId="0" applyBorder="1"/>
    <xf numFmtId="0" fontId="0" fillId="0" borderId="2" xfId="0" applyBorder="1" applyAlignment="1">
      <alignment horizontal="right"/>
    </xf>
    <xf numFmtId="0" fontId="2" fillId="2" borderId="3" xfId="0" applyFont="1" applyFill="1" applyBorder="1" applyAlignment="1">
      <alignment vertical="center" wrapText="1"/>
    </xf>
    <xf numFmtId="0" fontId="2" fillId="2" borderId="4" xfId="0" applyFont="1" applyFill="1" applyBorder="1" applyAlignment="1">
      <alignment horizontal="right" vertical="center" wrapText="1"/>
    </xf>
    <xf numFmtId="0" fontId="0" fillId="0" borderId="0" xfId="0" applyAlignment="1">
      <alignment vertical="center"/>
    </xf>
    <xf numFmtId="0" fontId="0" fillId="0" borderId="0" xfId="0" applyAlignment="1">
      <alignment horizontal="center" vertical="center"/>
    </xf>
    <xf numFmtId="43" fontId="0" fillId="0" borderId="0" xfId="1" applyFont="1" applyAlignment="1">
      <alignment horizontal="right" vertical="center"/>
    </xf>
    <xf numFmtId="0" fontId="0" fillId="0" borderId="0" xfId="0"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43" fontId="3" fillId="0" borderId="0" xfId="1" applyFont="1" applyAlignment="1">
      <alignment horizontal="right" vertical="center"/>
    </xf>
    <xf numFmtId="43" fontId="0" fillId="0" borderId="0" xfId="0" applyNumberFormat="1" applyAlignment="1">
      <alignment vertical="center"/>
    </xf>
    <xf numFmtId="0" fontId="0" fillId="0" borderId="0" xfId="2" applyNumberFormat="1" applyFont="1" applyAlignment="1">
      <alignment horizontal="center" vertical="center"/>
    </xf>
    <xf numFmtId="0" fontId="0" fillId="0" borderId="0" xfId="2" applyNumberFormat="1" applyFont="1" applyBorder="1" applyAlignment="1">
      <alignment horizontal="center" vertical="center"/>
    </xf>
    <xf numFmtId="0" fontId="0" fillId="0" borderId="1" xfId="0" applyBorder="1" applyAlignment="1">
      <alignment vertical="center"/>
    </xf>
    <xf numFmtId="43" fontId="0" fillId="0" borderId="1" xfId="1" applyFont="1" applyBorder="1" applyAlignment="1">
      <alignment horizontal="right" vertical="center"/>
    </xf>
    <xf numFmtId="49" fontId="0" fillId="0" borderId="0" xfId="1" applyNumberFormat="1" applyFont="1" applyAlignment="1">
      <alignment horizontal="left" vertical="center"/>
    </xf>
    <xf numFmtId="43" fontId="3" fillId="0" borderId="0" xfId="0" applyNumberFormat="1" applyFont="1" applyAlignment="1">
      <alignment vertical="center"/>
    </xf>
    <xf numFmtId="0" fontId="3" fillId="0" borderId="6" xfId="0" applyFont="1" applyBorder="1" applyAlignment="1">
      <alignment vertical="center"/>
    </xf>
    <xf numFmtId="43" fontId="3" fillId="0" borderId="6" xfId="1" applyFont="1" applyBorder="1" applyAlignment="1">
      <alignment horizontal="right" vertical="center"/>
    </xf>
    <xf numFmtId="43" fontId="3" fillId="0" borderId="0" xfId="0" applyNumberFormat="1" applyFont="1" applyAlignment="1">
      <alignment horizontal="center" vertical="center"/>
    </xf>
    <xf numFmtId="43" fontId="3" fillId="0" borderId="0" xfId="1" applyFont="1" applyBorder="1" applyAlignment="1">
      <alignment horizontal="right" vertical="center"/>
    </xf>
    <xf numFmtId="10" fontId="0" fillId="0" borderId="0" xfId="2" applyNumberFormat="1" applyFont="1" applyAlignment="1">
      <alignment horizontal="right" vertical="center"/>
    </xf>
    <xf numFmtId="10" fontId="0" fillId="0" borderId="1" xfId="2" applyNumberFormat="1" applyFont="1" applyBorder="1" applyAlignment="1">
      <alignment horizontal="right" vertical="center"/>
    </xf>
    <xf numFmtId="43" fontId="0" fillId="0" borderId="0" xfId="0" applyNumberFormat="1" applyAlignment="1">
      <alignment horizontal="right" vertical="center"/>
    </xf>
    <xf numFmtId="43" fontId="0" fillId="0" borderId="1" xfId="0" applyNumberFormat="1" applyBorder="1" applyAlignment="1">
      <alignment horizontal="right" vertical="center"/>
    </xf>
    <xf numFmtId="0" fontId="0" fillId="0" borderId="13" xfId="0" applyBorder="1" applyAlignment="1">
      <alignment vertical="center"/>
    </xf>
    <xf numFmtId="0" fontId="0" fillId="0" borderId="9" xfId="0" applyBorder="1" applyAlignment="1">
      <alignment vertical="center"/>
    </xf>
    <xf numFmtId="43" fontId="0" fillId="0" borderId="6" xfId="0" applyNumberFormat="1" applyBorder="1" applyAlignment="1">
      <alignment vertical="center"/>
    </xf>
    <xf numFmtId="43" fontId="0" fillId="0" borderId="7" xfId="0" applyNumberFormat="1" applyBorder="1" applyAlignment="1">
      <alignment vertical="center"/>
    </xf>
    <xf numFmtId="0" fontId="0" fillId="0" borderId="0" xfId="0" applyAlignment="1">
      <alignment horizontal="left" vertical="center"/>
    </xf>
    <xf numFmtId="0" fontId="0" fillId="3" borderId="1" xfId="0" applyFill="1" applyBorder="1" applyAlignment="1">
      <alignment vertical="center"/>
    </xf>
    <xf numFmtId="43" fontId="0" fillId="3" borderId="1" xfId="1" applyFont="1" applyFill="1" applyBorder="1" applyAlignment="1">
      <alignment horizontal="right" vertical="center"/>
    </xf>
    <xf numFmtId="0" fontId="0" fillId="3" borderId="10" xfId="0" applyFill="1" applyBorder="1" applyAlignment="1">
      <alignment vertical="center"/>
    </xf>
    <xf numFmtId="43" fontId="0" fillId="3" borderId="0" xfId="1" applyFont="1" applyFill="1" applyBorder="1" applyAlignment="1">
      <alignment horizontal="right" vertical="center"/>
    </xf>
    <xf numFmtId="43" fontId="0" fillId="3" borderId="11" xfId="1" applyFont="1" applyFill="1" applyBorder="1" applyAlignment="1">
      <alignment horizontal="right" vertical="center"/>
    </xf>
    <xf numFmtId="0" fontId="3" fillId="3" borderId="1" xfId="0" applyFont="1" applyFill="1" applyBorder="1" applyAlignment="1">
      <alignment vertical="center"/>
    </xf>
    <xf numFmtId="43" fontId="3" fillId="3" borderId="1" xfId="1" applyFont="1" applyFill="1" applyBorder="1" applyAlignment="1">
      <alignment horizontal="right" vertical="center"/>
    </xf>
    <xf numFmtId="0" fontId="0" fillId="0" borderId="0" xfId="0" applyAlignment="1">
      <alignment horizontal="left" vertical="center" wrapText="1"/>
    </xf>
    <xf numFmtId="0" fontId="0" fillId="2" borderId="0" xfId="0" applyFill="1" applyAlignment="1">
      <alignment horizontal="left" vertical="center"/>
    </xf>
    <xf numFmtId="0" fontId="0" fillId="2" borderId="0" xfId="0" applyFill="1" applyAlignment="1">
      <alignment horizontal="right" vertical="center"/>
    </xf>
    <xf numFmtId="0" fontId="2" fillId="2" borderId="0" xfId="0" applyFont="1" applyFill="1" applyAlignment="1">
      <alignment vertical="center"/>
    </xf>
    <xf numFmtId="0" fontId="2" fillId="2" borderId="0" xfId="0" applyFont="1" applyFill="1" applyAlignment="1">
      <alignment horizontal="right" vertical="center"/>
    </xf>
    <xf numFmtId="0" fontId="2" fillId="2" borderId="8" xfId="0" applyFont="1" applyFill="1" applyBorder="1" applyAlignment="1">
      <alignment horizontal="right" vertical="center"/>
    </xf>
    <xf numFmtId="0" fontId="2" fillId="2" borderId="9" xfId="0" applyFont="1" applyFill="1" applyBorder="1" applyAlignment="1">
      <alignment horizontal="right" vertical="center"/>
    </xf>
    <xf numFmtId="10" fontId="0" fillId="0" borderId="0" xfId="2" applyNumberFormat="1" applyFont="1" applyBorder="1" applyAlignment="1">
      <alignment horizontal="right" vertical="center"/>
    </xf>
    <xf numFmtId="10" fontId="0" fillId="3" borderId="1" xfId="2" applyNumberFormat="1" applyFont="1" applyFill="1" applyBorder="1" applyAlignment="1">
      <alignment horizontal="right" vertical="center"/>
    </xf>
    <xf numFmtId="0" fontId="0" fillId="3" borderId="1" xfId="0" applyFill="1" applyBorder="1" applyAlignment="1">
      <alignment horizontal="right" vertical="center"/>
    </xf>
    <xf numFmtId="4" fontId="0" fillId="3" borderId="1" xfId="0" applyNumberFormat="1" applyFill="1" applyBorder="1" applyAlignment="1">
      <alignment horizontal="right" vertical="center"/>
    </xf>
    <xf numFmtId="43" fontId="0" fillId="0" borderId="2" xfId="0" applyNumberFormat="1" applyBorder="1" applyAlignment="1">
      <alignment vertical="center"/>
    </xf>
    <xf numFmtId="43" fontId="0" fillId="0" borderId="12" xfId="0" applyNumberFormat="1" applyBorder="1" applyAlignment="1">
      <alignment vertical="center"/>
    </xf>
    <xf numFmtId="0" fontId="0" fillId="2" borderId="3" xfId="0" applyFill="1" applyBorder="1" applyAlignment="1">
      <alignment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2" fillId="2" borderId="0" xfId="0" applyFont="1" applyFill="1" applyAlignment="1">
      <alignment vertical="center" wrapText="1"/>
    </xf>
    <xf numFmtId="0" fontId="2" fillId="2" borderId="0" xfId="0" applyFont="1" applyFill="1" applyAlignment="1">
      <alignment horizontal="right" vertical="center" wrapText="1"/>
    </xf>
    <xf numFmtId="10" fontId="0" fillId="0" borderId="0" xfId="0" applyNumberFormat="1" applyAlignment="1">
      <alignment horizontal="right" vertical="center"/>
    </xf>
    <xf numFmtId="0" fontId="3" fillId="0" borderId="0" xfId="0" applyFont="1" applyAlignment="1">
      <alignment horizontal="right" vertical="center"/>
    </xf>
    <xf numFmtId="43" fontId="3" fillId="0" borderId="0" xfId="0" applyNumberFormat="1" applyFont="1" applyAlignment="1">
      <alignment horizontal="right" vertical="center"/>
    </xf>
    <xf numFmtId="10" fontId="3" fillId="0" borderId="0" xfId="0" applyNumberFormat="1" applyFont="1" applyAlignment="1">
      <alignment horizontal="right" vertical="center"/>
    </xf>
    <xf numFmtId="10" fontId="3" fillId="0" borderId="0" xfId="2" applyNumberFormat="1" applyFont="1" applyAlignment="1">
      <alignment horizontal="right" vertical="center"/>
    </xf>
    <xf numFmtId="10" fontId="3" fillId="3" borderId="1" xfId="2" applyNumberFormat="1" applyFont="1" applyFill="1" applyBorder="1" applyAlignment="1">
      <alignment horizontal="right" vertical="center"/>
    </xf>
    <xf numFmtId="0" fontId="2" fillId="4" borderId="1" xfId="0" applyFont="1" applyFill="1" applyBorder="1" applyAlignment="1">
      <alignment vertical="center"/>
    </xf>
    <xf numFmtId="0" fontId="2" fillId="4" borderId="1" xfId="0" applyFont="1" applyFill="1" applyBorder="1" applyAlignment="1">
      <alignment horizontal="right" vertical="center"/>
    </xf>
    <xf numFmtId="0" fontId="0" fillId="0" borderId="2" xfId="0" applyBorder="1" applyAlignment="1">
      <alignment vertical="center"/>
    </xf>
    <xf numFmtId="43" fontId="0" fillId="0" borderId="2" xfId="1" applyFont="1" applyBorder="1" applyAlignment="1">
      <alignment horizontal="right" vertical="center"/>
    </xf>
    <xf numFmtId="43" fontId="1" fillId="0" borderId="1" xfId="1" applyFont="1" applyBorder="1" applyAlignment="1">
      <alignment horizontal="right" vertical="center"/>
    </xf>
    <xf numFmtId="10" fontId="0" fillId="0" borderId="1" xfId="0" applyNumberFormat="1" applyBorder="1" applyAlignment="1">
      <alignment horizontal="right" vertical="center"/>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0" fillId="3" borderId="2" xfId="0" applyFill="1" applyBorder="1" applyAlignment="1">
      <alignment vertical="center"/>
    </xf>
    <xf numFmtId="10" fontId="0" fillId="3" borderId="2" xfId="2" applyNumberFormat="1" applyFont="1" applyFill="1" applyBorder="1" applyAlignment="1">
      <alignment horizontal="right" vertical="center"/>
    </xf>
    <xf numFmtId="0" fontId="2" fillId="2" borderId="3" xfId="0" applyFont="1" applyFill="1" applyBorder="1" applyAlignment="1">
      <alignment vertical="center"/>
    </xf>
    <xf numFmtId="0" fontId="2" fillId="2" borderId="4" xfId="0" applyFont="1" applyFill="1" applyBorder="1" applyAlignment="1">
      <alignment horizontal="right" vertical="center"/>
    </xf>
    <xf numFmtId="0" fontId="2" fillId="2" borderId="5" xfId="0" applyFont="1" applyFill="1" applyBorder="1" applyAlignment="1">
      <alignment horizontal="right" vertical="center"/>
    </xf>
    <xf numFmtId="43" fontId="0" fillId="3" borderId="1" xfId="0" applyNumberFormat="1" applyFill="1" applyBorder="1" applyAlignment="1">
      <alignment horizontal="right" vertical="center"/>
    </xf>
    <xf numFmtId="0" fontId="0" fillId="0" borderId="5" xfId="0" applyBorder="1" applyAlignment="1">
      <alignment vertical="center"/>
    </xf>
    <xf numFmtId="43" fontId="0" fillId="0" borderId="1" xfId="0" applyNumberFormat="1" applyBorder="1" applyAlignment="1">
      <alignment vertical="center"/>
    </xf>
    <xf numFmtId="0" fontId="3" fillId="0" borderId="0" xfId="0" applyFont="1" applyAlignment="1">
      <alignment horizontal="left" vertical="center"/>
    </xf>
    <xf numFmtId="0" fontId="0" fillId="0" borderId="0" xfId="0" applyAlignment="1">
      <alignment horizontal="left"/>
    </xf>
    <xf numFmtId="0" fontId="3" fillId="0" borderId="1" xfId="0" applyFont="1" applyBorder="1" applyAlignment="1">
      <alignment vertical="center"/>
    </xf>
    <xf numFmtId="43" fontId="3" fillId="0" borderId="1" xfId="1" applyFont="1" applyBorder="1" applyAlignment="1">
      <alignment horizontal="right" vertical="center"/>
    </xf>
    <xf numFmtId="0" fontId="3" fillId="0" borderId="0" xfId="0" applyFont="1"/>
    <xf numFmtId="0" fontId="0" fillId="0" borderId="6" xfId="0" applyBorder="1" applyAlignment="1">
      <alignment vertical="center"/>
    </xf>
    <xf numFmtId="43" fontId="0" fillId="0" borderId="6" xfId="0" applyNumberFormat="1" applyBorder="1" applyAlignment="1">
      <alignment horizontal="right" vertical="center"/>
    </xf>
    <xf numFmtId="0" fontId="2" fillId="2" borderId="7" xfId="0" applyFont="1" applyFill="1" applyBorder="1" applyAlignment="1">
      <alignment horizontal="left" vertical="center"/>
    </xf>
    <xf numFmtId="0" fontId="0" fillId="5" borderId="7" xfId="0" applyFill="1" applyBorder="1" applyAlignment="1">
      <alignment horizontal="left" vertical="center"/>
    </xf>
    <xf numFmtId="43" fontId="0" fillId="5" borderId="7" xfId="1" applyFont="1" applyFill="1" applyBorder="1" applyAlignment="1">
      <alignment horizontal="right" vertical="center"/>
    </xf>
    <xf numFmtId="43" fontId="0" fillId="5" borderId="14" xfId="0" applyNumberFormat="1" applyFill="1" applyBorder="1"/>
    <xf numFmtId="0" fontId="0" fillId="6" borderId="7" xfId="0" applyFill="1" applyBorder="1" applyAlignment="1">
      <alignment horizontal="left" vertical="center"/>
    </xf>
    <xf numFmtId="43" fontId="0" fillId="6" borderId="6" xfId="0" applyNumberFormat="1" applyFill="1" applyBorder="1"/>
    <xf numFmtId="43" fontId="0" fillId="5" borderId="6" xfId="0" applyNumberFormat="1" applyFill="1" applyBorder="1"/>
    <xf numFmtId="0" fontId="0" fillId="5" borderId="3" xfId="0" applyFill="1" applyBorder="1" applyAlignment="1">
      <alignment horizontal="left" vertical="center"/>
    </xf>
    <xf numFmtId="43" fontId="0" fillId="5" borderId="1" xfId="0" applyNumberFormat="1" applyFill="1" applyBorder="1"/>
    <xf numFmtId="43" fontId="1" fillId="0" borderId="0" xfId="2" applyNumberFormat="1" applyFont="1" applyAlignment="1">
      <alignment horizontal="right" vertical="center"/>
    </xf>
    <xf numFmtId="10" fontId="1" fillId="0" borderId="0" xfId="2" applyNumberFormat="1" applyFont="1" applyAlignment="1">
      <alignment horizontal="right" vertical="center"/>
    </xf>
    <xf numFmtId="10" fontId="3" fillId="0" borderId="0" xfId="1" applyNumberFormat="1" applyFont="1" applyAlignment="1">
      <alignment horizontal="right" vertical="center"/>
    </xf>
    <xf numFmtId="10" fontId="1" fillId="0" borderId="0" xfId="1" applyNumberFormat="1" applyFont="1" applyAlignment="1">
      <alignment horizontal="right" vertical="center"/>
    </xf>
    <xf numFmtId="43" fontId="1" fillId="0" borderId="0" xfId="1" applyFont="1" applyAlignment="1">
      <alignment horizontal="right" vertical="center"/>
    </xf>
  </cellXfs>
  <cellStyles count="3">
    <cellStyle name="Comma" xfId="1" builtinId="3"/>
    <cellStyle name="Normal" xfId="0" builtinId="0"/>
    <cellStyle name="Percent" xfId="2" builtinId="5"/>
  </cellStyles>
  <dxfs count="293">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4" formatCode="0.00%"/>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right" vertical="center" textRotation="0" wrapText="0" indent="0" justifyLastLine="0" shrinkToFit="0" readingOrder="0"/>
    </dxf>
    <dxf>
      <fill>
        <patternFill patternType="solid">
          <fgColor indexed="64"/>
          <bgColor theme="5" tint="-0.499984740745262"/>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tint="-0.499984740745262"/>
        </patternFill>
      </fill>
      <alignment horizontal="right" vertical="center" textRotation="0" wrapText="1"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horizontal="lef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theme="5" tint="-0.499984740745262"/>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theme="5" tint="-0.499984740745262"/>
        </patternFill>
      </fill>
      <alignment horizontal="center" vertical="center" textRotation="0" wrapText="0" indent="0" justifyLastLine="0" shrinkToFit="0" readingOrder="0"/>
      <border diagonalUp="0" diagonalDown="0">
        <left/>
        <right/>
        <top/>
        <bottom/>
        <vertical/>
        <horizontal/>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8">
  <rv s="0">
    <v>https://www.bing.com/financeapi/forcetrigger?t=a1zsjc&amp;q=XNYS%3aPG&amp;form=skydnc</v>
    <v>Learn more on Bing</v>
  </rv>
  <rv s="1">
    <v>en-IN</v>
    <v>a1zsjc</v>
    <v>268435456</v>
    <v>1</v>
    <v>Powered by Refinitiv</v>
    <v>0</v>
    <v>THE PROCTER &amp; GAMBLE COMPANY (XNYS:PG)</v>
    <v>2</v>
    <v>3</v>
    <v>Finance</v>
    <v>4</v>
    <v>180.43</v>
    <v>144.09</v>
    <v>0.3851</v>
    <v>0.36</v>
    <v>2.4490000000000002E-3</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147.43</v>
    <v>Personal &amp; Household Products &amp; Services</v>
    <v>Stock</v>
    <v>45980.768779096878</v>
    <v>0</v>
    <v>145.87</v>
    <v>344317754900</v>
    <v>THE PROCTER &amp; GAMBLE COMPANY</v>
    <v>THE PROCTER &amp; GAMBLE COMPANY</v>
    <v>146.94999999999999</v>
    <v>21.51</v>
    <v>146.99</v>
    <v>147.35</v>
    <v>2336734000</v>
    <v>PG</v>
    <v>THE PROCTER &amp; GAMBLE COMPANY (XNYS:PG)</v>
    <v>3178942</v>
    <v>8480519</v>
    <v>1905</v>
  </rv>
  <rv s="2">
    <v>1</v>
  </rv>
  <rv s="0">
    <v>https://www.bing.com/financeapi/forcetrigger?t=axyhnm&amp;q=XNAS%3aPEP&amp;form=skydnc</v>
    <v>Learn more on Bing</v>
  </rv>
  <rv s="1">
    <v>en-IN</v>
    <v>axyhnm</v>
    <v>268435456</v>
    <v>1</v>
    <v>Powered by Refinitiv</v>
    <v>0</v>
    <v>PEPSICO, INC. (XNAS:PEP)</v>
    <v>2</v>
    <v>3</v>
    <v>Finance</v>
    <v>4</v>
    <v>165.13</v>
    <v>127.6</v>
    <v>0.41299999999999998</v>
    <v>-0.95499999999999996</v>
    <v>-6.4190000000000002E-3</v>
    <v>USD</v>
    <v>PepsiCo, Inc. is a global beverage and convenient food company. The Company’s segments include PepsiCo Foods North America (PFNA), PepsiCo Beverages North America (PBNA), International Beverages Franchise (IB Franchise), Europe, Middle East and Africa (EMEA), Latin America Foods (LatAm Foods), and Asia Pacific Foods. PFNA segment includes all of its convenient food businesses in the United States and Canada. PBNA segment includes all of its beverage businesses in the United States and Canada. IB Franchise segment includes its international franchise beverage businesses, as well as its SodaStream business. EMEA segment includes its convenient food businesses and beverage businesses with Company-owned bottlers in Europe, the Middle East and Africa. LatAm Foods segment includes all of its convenient food businesses in Latin America. Asia Pacific Foods segment consists of its convenient food businesses in Asia Pacific, including China, Australia and New Zealand, as well as India.</v>
    <v>319000</v>
    <v>Nasdaq Stock Market</v>
    <v>XNAS</v>
    <v>XNAS</v>
    <v>700 ANDERSON HILL RD, PURCHASE, NY, 10577 US</v>
    <v>148.78</v>
    <v>Beverages</v>
    <v>Stock</v>
    <v>45980.768758437502</v>
    <v>3</v>
    <v>146.9675</v>
    <v>202113362100</v>
    <v>PEPSICO, INC.</v>
    <v>PEPSICO, INC.</v>
    <v>148.30000000000001</v>
    <v>28.107099999999999</v>
    <v>148.77000000000001</v>
    <v>147.815</v>
    <v>1367340000</v>
    <v>PEP</v>
    <v>PEPSICO, INC. (XNAS:PEP)</v>
    <v>2228765</v>
    <v>6664471</v>
    <v>1986</v>
  </rv>
  <rv s="2">
    <v>4</v>
  </rv>
  <rv s="0">
    <v>https://www.bing.com/financeapi/forcetrigger?t=a1wljc&amp;q=XNYS%3aKO&amp;form=skydnc</v>
    <v>Learn more on Bing</v>
  </rv>
  <rv s="1">
    <v>en-IN</v>
    <v>a1wljc</v>
    <v>268435456</v>
    <v>1</v>
    <v>Powered by Refinitiv</v>
    <v>0</v>
    <v>THE COCA-COLA COMPANY (XNYS:KO)</v>
    <v>2</v>
    <v>3</v>
    <v>Finance</v>
    <v>4</v>
    <v>74.38</v>
    <v>60.615000000000002</v>
    <v>0.38529999999999998</v>
    <v>0.18</v>
    <v>2.5269999999999997E-3</v>
    <v>USD</v>
    <v>The Coca-Cola Company is a beverage company. The Company's segments include Europe, Middle East and Africa; Latin America; North America; Asia Pacific; Global Ventures;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AdeS.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69700</v>
    <v>New York Stock Exchange</v>
    <v>XNYS</v>
    <v>XNYS</v>
    <v>1 Coca Cola Plz NW, ATLANTA, GA, 30313-2420 US</v>
    <v>71.444999999999993</v>
    <v>Beverages</v>
    <v>Stock</v>
    <v>45980.768796863282</v>
    <v>6</v>
    <v>70.814300000000003</v>
    <v>307134882600</v>
    <v>THE COCA-COLA COMPANY</v>
    <v>THE COCA-COLA COMPANY</v>
    <v>71.150000000000006</v>
    <v>23.636099999999999</v>
    <v>71.22</v>
    <v>71.400000000000006</v>
    <v>4301609000</v>
    <v>KO</v>
    <v>THE COCA-COLA COMPANY (XNYS:KO)</v>
    <v>5258034</v>
    <v>16072480</v>
    <v>1919</v>
  </rv>
  <rv s="2">
    <v>7</v>
  </rv>
  <rv s="0">
    <v>https://www.bing.com/financeapi/forcetrigger?t=a1pshw&amp;q=XNYS%3aCL&amp;form=skydnc</v>
    <v>Learn more on Bing</v>
  </rv>
  <rv s="1">
    <v>en-IN</v>
    <v>a1pshw</v>
    <v>268435456</v>
    <v>1</v>
    <v>Powered by Refinitiv</v>
    <v>0</v>
    <v>COLGATE-PALMOLIVE COMPANY (XNYS:CL)</v>
    <v>2</v>
    <v>3</v>
    <v>Finance</v>
    <v>4</v>
    <v>100.18</v>
    <v>74.545000000000002</v>
    <v>0.2863</v>
    <v>-0.44</v>
    <v>-5.5459999999999997E-3</v>
    <v>USD</v>
    <v>Colgate-Palmolive Company is a growth company. It is focused on Oral Care, Personal Care, Home Care and Pet Nutrition, it sells its products under brands, such as Colgate, Palmolive, elmex, hello, meridol, Sorriso, Tom's of Maine, EltaMD, Filorga, Irish Spring, Lady Speed Stick, PCA SKIN, Protex, Sanex, Softsoap, Speed Stick, Ajax, Axion, Fabuloso, Murphy, Soupline and Suavitel, as well as Hill's Science Diet and Hill's Prescription Diet. Its Oral, Personal and Home Care product segment is managed geographically in five segments, such as North America, Latin America, Europe, Asia Pacific and Africa/Eurasia, all of which sell primarily to a variety of traditional and e-commerce retailers, wholesalers, distributors, dentists and skin health professionals. Its Pet Nutrition products include specialty pet nutrition products manufactured and marketed by Hill's Pet Nutrition. The customers for Pet Nutrition products are authorized pet supply retailers, veterinarians and e-commerce retailers.</v>
    <v>34000</v>
    <v>New York Stock Exchange</v>
    <v>XNYS</v>
    <v>XNYS</v>
    <v>300 PARK AVE, NEW YORK, NY, 10022 US</v>
    <v>79.36</v>
    <v>Personal &amp; Household Products &amp; Services</v>
    <v>Stock</v>
    <v>45980.768789791407</v>
    <v>9</v>
    <v>78.33</v>
    <v>63590459961</v>
    <v>COLGATE-PALMOLIVE COMPANY</v>
    <v>COLGATE-PALMOLIVE COMPANY</v>
    <v>79.25</v>
    <v>22.107900000000001</v>
    <v>79.33</v>
    <v>78.89</v>
    <v>806064900</v>
    <v>CL</v>
    <v>COLGATE-PALMOLIVE COMPANY (XNYS:CL)</v>
    <v>1512387</v>
    <v>7338939</v>
    <v>1923</v>
  </rv>
  <rv s="2">
    <v>10</v>
  </rv>
  <rv s="0">
    <v>https://www.bing.com/financeapi/forcetrigger?t=a25ya2&amp;q=XNYS%3aWMT&amp;form=skydnc</v>
    <v>Learn more on Bing</v>
  </rv>
  <rv s="1">
    <v>en-IN</v>
    <v>a25ya2</v>
    <v>268435456</v>
    <v>1</v>
    <v>Powered by Refinitiv</v>
    <v>0</v>
    <v>WALMART INC. (XNYS:WMT)</v>
    <v>2</v>
    <v>3</v>
    <v>Finance</v>
    <v>4</v>
    <v>109.575</v>
    <v>79.81</v>
    <v>0.64510000000000001</v>
    <v>-0.875</v>
    <v>-8.6300000000000005E-3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New York Stock Exchange</v>
    <v>XNYS</v>
    <v>XNYS</v>
    <v>1 Customer Drive, BENTONVILLE, AR, 72716 US</v>
    <v>101.7101</v>
    <v>Food &amp; Drug Retailing</v>
    <v>Stock</v>
    <v>45980.768755115627</v>
    <v>12</v>
    <v>99.68</v>
    <v>801391118265</v>
    <v>WALMART INC.</v>
    <v>WALMART INC.</v>
    <v>101.5</v>
    <v>37.921599999999998</v>
    <v>101.39</v>
    <v>100.515</v>
    <v>7972851000</v>
    <v>WMT</v>
    <v>WALMART INC. (XNYS:WMT)</v>
    <v>11659909</v>
    <v>14804374</v>
    <v>1969</v>
  </rv>
  <rv s="2">
    <v>13</v>
  </rv>
  <rv s="0">
    <v>https://www.bing.com/financeapi/forcetrigger?t=a1nhlh&amp;q=XNAS%3aAMZN&amp;form=skydnc</v>
    <v>Learn more on Bing</v>
  </rv>
  <rv s="1">
    <v>en-IN</v>
    <v>a1nhlh</v>
    <v>268435456</v>
    <v>1</v>
    <v>Powered by Refinitiv</v>
    <v>0</v>
    <v>AMAZON.COM, INC. (XNAS:AMZN)</v>
    <v>2</v>
    <v>3</v>
    <v>Finance</v>
    <v>4</v>
    <v>258.60000000000002</v>
    <v>161.38</v>
    <v>1.3831</v>
    <v>-1.6973</v>
    <v>-7.6270000000000001E-3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Nasdaq Stock Market</v>
    <v>XNAS</v>
    <v>XNAS</v>
    <v>410 Terry Avenue North, SEATTLE, WA, 98109 US</v>
    <v>223.73500000000001</v>
    <v>Diversified Retail</v>
    <v>Stock</v>
    <v>45980.768794166404</v>
    <v>15</v>
    <v>218.53</v>
    <v>2360963950594</v>
    <v>AMAZON.COM, INC.</v>
    <v>AMAZON.COM, INC.</v>
    <v>223.59</v>
    <v>31.1983</v>
    <v>222.55</v>
    <v>220.8527</v>
    <v>10690220000</v>
    <v>AMZN</v>
    <v>AMAZON.COM, INC. (XNAS:AMZN)</v>
    <v>33855667</v>
    <v>52674749</v>
    <v>1996</v>
  </rv>
  <rv s="2">
    <v>16</v>
  </rv>
  <rv s="0">
    <v>https://www.bing.com/financeapi/forcetrigger?t=a1q6k2&amp;q=XNAS%3aCOST&amp;form=skydnc</v>
    <v>Learn more on Bing</v>
  </rv>
  <rv s="1">
    <v>en-IN</v>
    <v>a1q6k2</v>
    <v>268435456</v>
    <v>1</v>
    <v>Powered by Refinitiv</v>
    <v>0</v>
    <v>COSTCO WHOLESALE CORPORATION (XNAS:COST)</v>
    <v>2</v>
    <v>3</v>
    <v>Finance</v>
    <v>4</v>
    <v>1078.2349999999999</v>
    <v>871.70500000000004</v>
    <v>0.99439999999999995</v>
    <v>-10.1899</v>
    <v>-1.1384E-2</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894.69</v>
    <v>Diversified Retail</v>
    <v>Stock</v>
    <v>45980.768786122659</v>
    <v>18</v>
    <v>873.97040000000004</v>
    <v>392164886605</v>
    <v>COSTCO WHOLESALE CORPORATION</v>
    <v>COSTCO WHOLESALE CORPORATION</v>
    <v>894.69</v>
    <v>48.598700000000001</v>
    <v>895.08</v>
    <v>884.89009999999996</v>
    <v>443179200</v>
    <v>COST</v>
    <v>COSTCO WHOLESALE CORPORATION (XNAS:COST)</v>
    <v>1768464</v>
    <v>2325718</v>
    <v>1987</v>
  </rv>
  <rv s="2">
    <v>19</v>
  </rv>
  <rv s="0">
    <v>https://www.bing.com/financeapi/forcetrigger?t=a1uj52&amp;q=XNYS%3aHD&amp;form=skydnc</v>
    <v>Learn more on Bing</v>
  </rv>
  <rv s="1">
    <v>en-IN</v>
    <v>a1uj52</v>
    <v>268435456</v>
    <v>1</v>
    <v>Powered by Refinitiv</v>
    <v>0</v>
    <v>THE HOME DEPOT, INC. (XNYS:HD)</v>
    <v>2</v>
    <v>3</v>
    <v>Finance</v>
    <v>4</v>
    <v>439.37</v>
    <v>326.31</v>
    <v>1.0714999999999999</v>
    <v>-1.1100000000000001</v>
    <v>-3.2990000000000003E-3</v>
    <v>USD</v>
    <v>The Home Depot, Inc. is a home improvement specialty retailer. The Company offers an assortment of building materials, home improvement products, lawn and garden products, decor products, and facilities maintenance, repair, and operations products, in stores and online. It also provides various services, including home improvement installation services, and tool and equipment rental. The Company operates approximately 2,353 retail stores, over 800 branches and more than 325 distribution centers that directly fulfill customer orders across all 50 states, the District of Columbia, Puerto Rico, the U.S. Virgin Islands, Guam, 10 Canadian provinces and Mexico. Its stores average approximately 105,000 square feet of enclosed space, with approximately 24,000 additional square feet of outside garden area. The Company serves two primary customer groups, including both do-it-yourself (DIY) and Do-It-For-Me (DIFM) customers and Professional Customers (Pros).</v>
    <v>470000</v>
    <v>New York Stock Exchange</v>
    <v>XNYS</v>
    <v>XNYS</v>
    <v>2455 Paces Ferry Road, ATLANTA, GA, 30339 US</v>
    <v>341.75</v>
    <v>Specialty Retailers</v>
    <v>Stock</v>
    <v>45980.768765335153</v>
    <v>21</v>
    <v>331.37</v>
    <v>333822837579</v>
    <v>THE HOME DEPOT, INC.</v>
    <v>THE HOME DEPOT, INC.</v>
    <v>340.87</v>
    <v>22.8748</v>
    <v>336.48</v>
    <v>335.37</v>
    <v>995386700</v>
    <v>HD</v>
    <v>THE HOME DEPOT, INC. (XNYS:HD)</v>
    <v>4556664</v>
    <v>3359775</v>
    <v>1978</v>
  </rv>
  <rv s="2">
    <v>22</v>
  </rv>
  <rv s="0">
    <v>https://www.bing.com/financeapi/forcetrigger?t=aocsnm&amp;q=XLON%3aRKT&amp;form=skydnc</v>
    <v>Learn more on Bing</v>
  </rv>
  <rv s="1">
    <v>en-IN</v>
    <v>aocsnm</v>
    <v>268435456</v>
    <v>1</v>
    <v>Powered by Refinitiv</v>
    <v>0</v>
    <v>RECKITT BENCKISER GROUP PLC (XLON:RKT)</v>
    <v>2</v>
    <v>5</v>
    <v>Finance</v>
    <v>6</v>
    <v>6014</v>
    <v>4579</v>
    <v>0.49249999999999999</v>
    <v>-42</v>
    <v>-7.2160000000000002E-3</v>
    <v>GBp</v>
    <v>Reckitt Benckiser Group PLC (Reckitt) is a United Kingdom-based global consumer goods company. The Company's operating segments comprise the Hygiene, Health, and Nutrition business. The Hygiene portfolio works to eliminate dirt, germs, pests, and odors with products such as Lysol, Finish, Air Wick, Harpic and Mortein. The Company’s Health portfolio offers various solutions that provide pain relief, protection, hygiene, and personal care to households across the world, through brands like Dettol, Durex, Gaviscon, Nurofen, Mucinex, Strepsils and Veet. The Nutrition business includes its infant and child nutrition, its adult nutrition and its range of vitamins, minerals, and supplements (VMS). Brands under Nutrition business include Enfa, Enfamil, Nutramigen, Airborne, Move Free and Neuriva. The Company’s brands also include Dettol, Lysol, Harpic, Finish, Durex, Mucinex, Enfamil and Move Free and more.</v>
    <v>37900</v>
    <v>London Stock Exchange</v>
    <v>XLON</v>
    <v>XLON</v>
    <v>103-105 Bath Road, SLOUGH, BERKSHIRE, SL1 3UH GB</v>
    <v>5834</v>
    <v>Personal &amp; Household Products &amp; Services</v>
    <v>Stock</v>
    <v>45980.700682870367</v>
    <v>24</v>
    <v>5776</v>
    <v>39208840000</v>
    <v>RECKITT BENCKISER GROUP PLC</v>
    <v>RECKITT BENCKISER GROUP PLC</v>
    <v>5782</v>
    <v>31.611799999999999</v>
    <v>5820</v>
    <v>5778</v>
    <v>673691500</v>
    <v>RKT</v>
    <v>RECKITT BENCKISER GROUP PLC (XLON:RKT)</v>
    <v>1191593</v>
    <v>1876290</v>
    <v>2007</v>
  </rv>
  <rv s="2">
    <v>25</v>
  </rv>
  <rv s="0">
    <v>https://www.bing.com/financeapi/forcetrigger?t=a1x2ur&amp;q=XNYS%3aLOW&amp;form=skydnc</v>
    <v>Learn more on Bing</v>
  </rv>
  <rv s="1">
    <v>en-IN</v>
    <v>a1x2ur</v>
    <v>268435456</v>
    <v>1</v>
    <v>Powered by Refinitiv</v>
    <v>0</v>
    <v>LOWE'S COMPANIES, INC. (XNYS:LOW)</v>
    <v>2</v>
    <v>3</v>
    <v>Finance</v>
    <v>4</v>
    <v>280.64</v>
    <v>206.38499999999999</v>
    <v>0.97399999999999998</v>
    <v>12.605</v>
    <v>5.7408000000000001E-2</v>
    <v>USD</v>
    <v>Lowe's Companies, Inc. is a home improvement company. The Company offers a complete line of products for construction, maintenance, repair, remodeling, and decorating. It offers home improvement products in various categories, including appliances, seasonal and outdoor living, lumber, lawn and garden, kitchens and bath, hardware, building materials, millwork, paint, rough plumbing, tools, electrical, flooring, and decor. It is focused on offering a wide selection of national brand-name merchandise complemented by its selection of private brands. Its services include installed sales and Lowe's Protection Plans and Repair Services. The Company offers installation services through independent contractors in many of its product categories. It offers extended protection plans for certain products within the appliances, kitchens and bath, decor, millwork, rough plumbing, electrical, seasonal and outdoor living, tools, and hardware categories. It operates over 1,700 home improvement stores.</v>
    <v>161000</v>
    <v>New York Stock Exchange</v>
    <v>XNYS</v>
    <v>XNYS</v>
    <v>1000 Lowes Blvd, MOORESVILLE, NC, 28117-8520 US</v>
    <v>232.97</v>
    <v>Specialty Retailers</v>
    <v>Stock</v>
    <v>45980.768792256247</v>
    <v>27</v>
    <v>224.26</v>
    <v>130209521157</v>
    <v>LOWE'S COMPANIES, INC.</v>
    <v>LOWE'S COMPANIES, INC.</v>
    <v>229.48</v>
    <v>19.086300000000001</v>
    <v>219.57</v>
    <v>232.17500000000001</v>
    <v>560824900</v>
    <v>LOW</v>
    <v>LOWE'S COMPANIES, INC. (XNYS:LOW)</v>
    <v>4911357</v>
    <v>2676322</v>
    <v>1952</v>
  </rv>
  <rv s="2">
    <v>28</v>
  </rv>
  <rv s="0">
    <v>https://www.bing.com/financeapi/forcetrigger?t=a1wjz2&amp;q=XNYS%3aKMB&amp;form=skydnc</v>
    <v>Learn more on Bing</v>
  </rv>
  <rv s="1">
    <v>en-IN</v>
    <v>a1wjz2</v>
    <v>268435456</v>
    <v>1</v>
    <v>Powered by Refinitiv</v>
    <v>0</v>
    <v>KIMBERLY-CLARK CORPORATION (XNAS:KMB)</v>
    <v>2</v>
    <v>3</v>
    <v>Finance</v>
    <v>4</v>
    <v>150.44999999999999</v>
    <v>99.22</v>
    <v>0.2923</v>
    <v>-0.47</v>
    <v>-4.5519999999999996E-3</v>
    <v>USD</v>
    <v>Kimberly-Clark Corporation is engaged in the manufacturing and marketing of a wide range of products made from natural or synthetic fibers and materials using advanced technologies in fibers, nonwovens and absorbency. The Company’s segments include North America (NA), International Personal Care (IPC) and International Family Care and Professional (IFP). Its NA segment offers disposable diapers, training and youth pants, swim pants, baby wipes, and other products. These products are sold under the Huggies, Pull-Ups, GoodNites, Kotex, Poise, Depend, and other brand names. Its IPC segment consists of three categories, such as Baby &amp; Child Care, Adult Care and Feminine Care, including disposable diapers, and other products, and are sold under the Huggies, Kotex, Goodfeel, Intimus, Depend and other brand names. Its IFP segment consists of two categories-Family Care and Professional, including facial and bathroom tissue, and are sold under the Kleenex, Scottex, Wypall and other brand names.</v>
    <v>38000</v>
    <v>Nasdaq Stock Market</v>
    <v>XNAS</v>
    <v>XNAS</v>
    <v>351 Phelps Dr, IRVING, TX, 75038 US</v>
    <v>103.25</v>
    <v>Personal &amp; Household Products &amp; Services</v>
    <v>Stock</v>
    <v>45980.768779096878</v>
    <v>30</v>
    <v>101.76</v>
    <v>34108406352</v>
    <v>KIMBERLY-CLARK CORPORATION</v>
    <v>KIMBERLY-CLARK CORPORATION</v>
    <v>103.15</v>
    <v>19.139299999999999</v>
    <v>103.25</v>
    <v>102.78</v>
    <v>331858400</v>
    <v>KMB</v>
    <v>KIMBERLY-CLARK CORPORATION (XNAS:KMB)</v>
    <v>3145270</v>
    <v>6709487</v>
    <v>1928</v>
  </rv>
  <rv s="2">
    <v>31</v>
  </rv>
  <rv s="0">
    <v>https://www.bing.com/financeapi/forcetrigger?t=aoexim&amp;q=XLON%3aULVR&amp;form=skydnc</v>
    <v>Learn more on Bing</v>
  </rv>
  <rv s="1">
    <v>en-IN</v>
    <v>aoexim</v>
    <v>268435456</v>
    <v>1</v>
    <v>Powered by Refinitiv</v>
    <v>0</v>
    <v>UNILEVER PLC (XLON:ULVR)</v>
    <v>2</v>
    <v>5</v>
    <v>Finance</v>
    <v>6</v>
    <v>4910</v>
    <v>4311</v>
    <v>0.50260000000000005</v>
    <v>7</v>
    <v>1.5659999999999999E-3</v>
    <v>GBp</v>
    <v>Unilever PLC is a United Kingdom-based fast-moving consumer goods (FMCG) company. The Company operates through five segments: Beauty &amp; Wellbeing, Personal Care, Home Care, Foods, and Ice Cream. The Beauty &amp; Wellbeing segment sells hair care (shampoo, conditioner, styling), skin care (face, hand and body moisturizers) and includes Prestige Beauty and Health &amp; Wellbeing. The Personal Care segment sells skin cleansing (soap, shower), deodorant and oral care (toothpaste, toothbrush, mouthwash) products. The Home Care segment sells fabric care (washing powders and liquids, rinse conditioners) and a range of cleaning products. The Foods segment sells cooking aids &amp; mini-meals (soups, bouillons, seasonings), condiments (mayonnaise, ketchup) and Unilever Food Solutions. The Ice Cream segment includes ice cream products. It offers K18, which is a biotech hair care brand. Its subsidiaries include Unilever de Argentina S.A., Unilever Australia Limited, Unilever Canada Inc., and others.</v>
    <v>120040</v>
    <v>London Stock Exchange</v>
    <v>XLON</v>
    <v>XLON</v>
    <v>Unilever House, Blackfriars, LONDON, EC4P 4BQ GB</v>
    <v>4512</v>
    <v>Personal &amp; Household Products &amp; Services</v>
    <v>Stock</v>
    <v>45980.54643256875</v>
    <v>33</v>
    <v>4465</v>
    <v>109623900000</v>
    <v>UNILEVER PLC</v>
    <v>UNILEVER PLC</v>
    <v>4479</v>
    <v>23.174800000000001</v>
    <v>4471</v>
    <v>4478</v>
    <v>2451887000</v>
    <v>ULVR</v>
    <v>UNILEVER PLC (XLON:ULVR)</v>
    <v>3739106</v>
    <v>3138400</v>
    <v>1894</v>
  </rv>
  <rv s="2">
    <v>34</v>
  </rv>
  <rv s="0">
    <v>https://www.bing.com/financeapi/forcetrigger?t=ae9qim&amp;q=XPAR%3aOR&amp;form=skydnc</v>
    <v>Learn more on Bing</v>
  </rv>
  <rv s="1">
    <v>en-IN</v>
    <v>ae9qim</v>
    <v>268435456</v>
    <v>1</v>
    <v>Powered by Refinitiv</v>
    <v>0</v>
    <v>L'Oreal SA (XPAR:OR)</v>
    <v>2</v>
    <v>7</v>
    <v>Finance</v>
    <v>8</v>
    <v>408.35</v>
    <v>316.3</v>
    <v>0.97019999999999995</v>
    <v>-1.1000000000000001</v>
    <v>-3.1269999999999996E-3</v>
    <v>EUR</v>
    <v>L'Oreal SA is a France-based cosmetic group company. The Company is predominantly engaged and offers skin care products, makeup products, hair care products, perfumes, colouring products and others. Its products are marketed through mass distribution and distance selling, selective distribution, hair salons and pharmacies. Its cosmetics division is organized into four divisions, consumer cosmetics: brands L'Oral paris, Garnier, Maybelline New York and NYX professional makeup, Stylenanda, Essie and Mixa, luxury cosmetics: Lancome, Kiehl's, Giorgio Armani Beauty, Yves Saint Laurent Beaute, Biotherm, Helena Rubinstein, Shu Uemura, IT Cosmetics, Urban Decay, Ralph Lauren, Mugler, Viktor&amp;Rolf, Valentino, Azzaro, Prada, Takami and Aesop, active cosmetic products : La Roche-Posay, Vichy, CeraVe, SkinCeuticals and Skinbetter Science and professional products : L'Oreal Professionnel, Kerastase, Redken, Matrix and PureOlogy.</v>
    <v>94397</v>
    <v>Euronext Paris</v>
    <v>XPAR</v>
    <v>XPAR</v>
    <v>41 rue Martre, Clichy Cedex, CLICHY, ILE-DE-FRANCE, 92117 FR</v>
    <v>354.9</v>
    <v>Personal &amp; Household Products &amp; Services</v>
    <v>Stock</v>
    <v>45980.708333333336</v>
    <v>36</v>
    <v>349.05</v>
    <v>187758200000</v>
    <v>L'Oreal SA</v>
    <v>L'Oreal SA</v>
    <v>351</v>
    <v>30.691299999999998</v>
    <v>351.75</v>
    <v>350.65</v>
    <v>533783000</v>
    <v>OR</v>
    <v>L'Oreal SA (XPAR:OR)</v>
    <v>285369</v>
    <v>297580</v>
    <v>1963</v>
  </rv>
  <rv s="2">
    <v>37</v>
  </rv>
  <rv s="0">
    <v>https://www.bing.com/financeapi/forcetrigger?t=a1zzmw&amp;q=XNYS%3aPM&amp;form=skydnc</v>
    <v>Learn more on Bing</v>
  </rv>
  <rv s="1">
    <v>en-IN</v>
    <v>a1zzmw</v>
    <v>268435456</v>
    <v>1</v>
    <v>Powered by Refinitiv</v>
    <v>0</v>
    <v>Philip Morris International Inc. (XNYS:PM)</v>
    <v>2</v>
    <v>3</v>
    <v>Finance</v>
    <v>4</v>
    <v>186.69</v>
    <v>116.12</v>
    <v>0.41820000000000002</v>
    <v>-0.63</v>
    <v>-4.0420000000000005E-3</v>
    <v>USD</v>
    <v>Philip Morris International Inc. is an international tobacco company. The Company’s product portfolio primarily consists of cigarettes and smoke-free products. Its smoke-free business (SFB) also includes wellness and healthcare products, as well as consumer accessories, such as lighters and matches. The Company’s segments include Europe Region; South and Southeast Asia, Commonwealth of Independent States, Middle East and Africa Region (SSEA, CIS &amp; MEA); East Asia, Australia &amp; PMI Global Travel Retail (EA, AU &amp; PMI GTR), and Americas Region. The Company's brands include Marlboro, HEETS, IQOS, IQOS ILUMA, TEREA, VEEV and ZYN. Its IQOS smoke-free product brand portfolio includes heated tobacco and nicotine-containing vapor products. Its international cigarette brands are Chesterfield, L&amp;M, and Philip Morris. It also owns a number of local cigarette brands, such as Dji Sam Soe and Sampoerna A in Indonesia, and Fortune and Jackpot in the Philippines.</v>
    <v>83100</v>
    <v>New York Stock Exchange</v>
    <v>XNYS</v>
    <v>XNYS</v>
    <v>677 Washington Blvd, Ste. 1100, STAMFORD, CT, 06901 US</v>
    <v>156.66999999999999</v>
    <v>Food &amp; Tobacco</v>
    <v>Stock</v>
    <v>45980.768810890622</v>
    <v>39</v>
    <v>154.01</v>
    <v>241621505580</v>
    <v>Philip Morris International Inc.</v>
    <v>Philip Morris International Inc.</v>
    <v>155.19999999999999</v>
    <v>24.419499999999999</v>
    <v>155.85</v>
    <v>155.22</v>
    <v>1556639000</v>
    <v>PM</v>
    <v>Philip Morris International Inc. (XNYS:PM)</v>
    <v>1486625</v>
    <v>7179341</v>
    <v>2007</v>
  </rv>
  <rv s="2">
    <v>40</v>
  </rv>
  <rv s="0">
    <v>https://www.bing.com/financeapi/forcetrigger?t=afgjdm&amp;q=XFRA%3aNESM&amp;form=skydnc</v>
    <v>Learn more on Bing</v>
  </rv>
  <rv s="3">
    <v>en-IN</v>
    <v>afgjdm</v>
    <v>268435456</v>
    <v>1</v>
    <v>Powered by Refinitiv</v>
    <v>9</v>
    <v>Nestle Ltd. (XFRA:NESM)</v>
    <v>2</v>
    <v>10</v>
    <v>Finance</v>
    <v>8</v>
    <v>0.53690000000000004</v>
    <v>0</v>
    <v>0</v>
    <v>EUR</v>
    <v>Nestle SA is a Switzerland-based company primarily engaged in food manufacturing industry. The Company's segments are Zone North America (NA), Zone Europe (EUR), Zone Asia, Oceania and Africa (AOA), Zone Latin America (LATAM), Zone Greater China (GC), Nestle Health Science and Nespresso. The Company's product categories include powdered and liquid beverages; water; milk products and ice cream; nutrition and health science; prepared dishes and cooking aids; confectionery, and PetCare. The Company's brand portfolio includes, but is not limited to Purina, Cailler, Cini Minis, KitKat, Nespresso and Nescafe. It operates in over 180 countries throughout the world. It has sales in various countries, including the United States, Greater China Region, Brazil, Mexico, Germany, the United Kingdom, Italy, Canada, France, Turkey, Ukraine, Georgia, Hungary, Malta, Romania, Spain and Switzerland.</v>
    <v>277000</v>
    <v>Deutsche Boerse AG</v>
    <v>XFRA</v>
    <v>XFRA</v>
    <v>Ave Nesele 55, Ch-1800, VEVEY, VAUD, 1800 CH</v>
    <v>86</v>
    <v>Food &amp; Tobacco</v>
    <v>Stock</v>
    <v>45980.743055555555</v>
    <v>42</v>
    <v>84.6</v>
    <v>256616000000</v>
    <v>Nestle Ltd.</v>
    <v>Nestle Ltd.</v>
    <v>84.6</v>
    <v>19.953199999999999</v>
    <v>85.2</v>
    <v>85.2</v>
    <v>2576520000</v>
    <v>NESM</v>
    <v>Nestle Ltd. (XFRA:NESM)</v>
    <v>990</v>
    <v>365320</v>
    <v>1905</v>
  </rv>
  <rv s="2">
    <v>43</v>
  </rv>
  <rv s="0">
    <v>https://www.bing.com/financeapi/forcetrigger?t=a1xfoc&amp;q=XNAS%3aMDLZ&amp;form=skydnc</v>
    <v>Learn more on Bing</v>
  </rv>
  <rv s="1">
    <v>en-IN</v>
    <v>a1xfoc</v>
    <v>268435456</v>
    <v>1</v>
    <v>Powered by Refinitiv</v>
    <v>0</v>
    <v>Mondelez International, Inc. (XNAS:MDLZ)</v>
    <v>2</v>
    <v>3</v>
    <v>Finance</v>
    <v>4</v>
    <v>71.150000000000006</v>
    <v>53.95</v>
    <v>0.4022</v>
    <v>0.14000000000000001</v>
    <v>2.5100000000000001E-3</v>
    <v>USD</v>
    <v>Mondelez International, Inc. is a snack company. The Company’s core business is making and selling chocolate, biscuits and baked snacks. The Company also has additional businesses in adjacent, locally relevant categories including gum and candy, cheese and grocery and powdered beverages. Its portfolio includes global and local brands such as Oreo, Ritz, LU, Clif Bar and Tate’s Bake Shop biscuits and baked snacks, as well as Cadbury Dairy Milk, Milka and Toblerone chocolate. The Company’s segments include Latin America, AMEA, Europe and North America. It sells its products in over 150 countries and has operations in approximately 80 countries, including 147 principal manufacturing and processing facilities across 46 countries. It sells its products to supermarket chains, wholesalers, supercenters, club stores, mass merchandisers, distributors, convenience stores, gasoline stations, drug stores, value stores and other retail food outlets.</v>
    <v>90000</v>
    <v>Nasdaq Stock Market</v>
    <v>XNAS</v>
    <v>XNAS</v>
    <v>905 West Fulton Market, Suite 200, CHICAGO, IL, 60607 US</v>
    <v>56.024999999999999</v>
    <v>Food &amp; Tobacco</v>
    <v>Stock</v>
    <v>45980.768764003908</v>
    <v>45</v>
    <v>55.04</v>
    <v>72156875280</v>
    <v>Mondelez International, Inc.</v>
    <v>Mondelez International, Inc.</v>
    <v>55.73</v>
    <v>20.896100000000001</v>
    <v>55.78</v>
    <v>55.92</v>
    <v>1290359000</v>
    <v>MDLZ</v>
    <v>Mondelez International, Inc. (XNAS:MDLZ)</v>
    <v>4156838</v>
    <v>9191622</v>
    <v>2000</v>
  </rv>
  <rv s="2">
    <v>46</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1">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3">
      <v>10</v>
      <v>2</v>
      <v>2</v>
      <v>10</v>
      <v>3</v>
      <v>10</v>
      <v>10</v>
      <v>10</v>
      <v>4</v>
      <v>4</v>
      <v>5</v>
      <v>11</v>
      <v>10</v>
      <v>10</v>
      <v>10</v>
      <v>4</v>
      <v>7</v>
      <v>8</v>
      <v>9</v>
      <v>4</v>
    </spb>
    <spb s="4">
      <v>Delayed 15 minutes</v>
      <v>from previous close</v>
      <v>from previous close</v>
      <v>LSE</v>
      <v>GMT</v>
    </spb>
    <spb s="3">
      <v>12</v>
      <v>2</v>
      <v>2</v>
      <v>12</v>
      <v>3</v>
      <v>12</v>
      <v>12</v>
      <v>12</v>
      <v>4</v>
      <v>4</v>
      <v>5</v>
      <v>13</v>
      <v>12</v>
      <v>12</v>
      <v>12</v>
      <v>4</v>
      <v>7</v>
      <v>8</v>
      <v>9</v>
      <v>4</v>
    </spb>
    <spb s="5">
      <v>Delayed 15 minutes</v>
      <v>from previous close</v>
      <v>from previous close</v>
      <v>GMT</v>
    </spb>
    <spb s="0">
      <v>1</v>
      <v>Name</v>
      <v>LearnMoreOnLink</v>
    </spb>
    <spb s="6">
      <v>12</v>
      <v>2</v>
      <v>2</v>
      <v>12</v>
      <v>3</v>
      <v>12</v>
      <v>12</v>
      <v>12</v>
      <v>4</v>
      <v>4</v>
      <v>5</v>
      <v>6</v>
      <v>12</v>
      <v>4</v>
      <v>7</v>
      <v>8</v>
      <v>9</v>
      <v>4</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x:dxf>
      <x:numFmt numFmtId="35" formatCode="_ * #,##0.00_ ;_ * \-#,##0.00_ ;_ * &quot;-&quot;??_ ;_ @_ "/>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pv i="0">_(* #,##0.00_);_(* (#,##0.00);_(* "-"??_);_(@_)</rpv>
    </rSty>
    <rSty dxfid="1">
      <rpv i="0">_-[$£-en-GB]* #,##0_-;-[$£-en-GB]* #,##0_-;_-[$£-en-GB]* "-"_-;_-@_-</rpv>
    </rSty>
    <rSty dxfid="1">
      <rpv i="0">_([$€-x-euro2] * #,##0.00_);_([$€-x-euro2] * (#,##0.00);_([$€-x-euro2] * "-"??_);_(@_)</rpv>
    </rSty>
    <rSty dxfid="1">
      <rpv i="0">_([$€-x-euro2] * #,##0_);_([$€-x-euro2] * (#,##0);_([$€-x-euro2] *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520436-2933-4DF1-A77B-8662D45079B3}" name="Table1" displayName="Table1" ref="A2:F10" totalsRowShown="0" headerRowDxfId="292" dataDxfId="291">
  <autoFilter ref="A2:F10" xr:uid="{98520436-2933-4DF1-A77B-8662D45079B3}">
    <filterColumn colId="0" hiddenButton="1"/>
    <filterColumn colId="1" hiddenButton="1"/>
    <filterColumn colId="2" hiddenButton="1"/>
    <filterColumn colId="3" hiddenButton="1"/>
    <filterColumn colId="4" hiddenButton="1"/>
    <filterColumn colId="5" hiddenButton="1"/>
  </autoFilter>
  <tableColumns count="6">
    <tableColumn id="1" xr3:uid="{A56985BB-5099-489E-B0B2-49E1F580AAEA}" name="Particulars" dataDxfId="290"/>
    <tableColumn id="2" xr3:uid="{A4A18AF7-0C03-45B7-8FBC-CBE54FC2847E}" name="2020" dataDxfId="289" dataCellStyle="Comma"/>
    <tableColumn id="3" xr3:uid="{FD3282CB-7E76-4695-9687-C70E4A4077BE}" name="2021" dataDxfId="288" dataCellStyle="Comma"/>
    <tableColumn id="4" xr3:uid="{3425DB0E-13FE-4905-B024-88475D2630E6}" name="2022" dataDxfId="287" dataCellStyle="Comma"/>
    <tableColumn id="5" xr3:uid="{61790700-F221-419E-BF36-88F8F69894B9}" name="2023" dataDxfId="286" dataCellStyle="Comma"/>
    <tableColumn id="6" xr3:uid="{581A4CC8-AE35-4A70-9C9E-7EA801EB7CBE}" name="2024" dataDxfId="285" dataCellStyle="Comma"/>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975D31-437D-4675-8B6C-BFEAB973AF17}" name="Table2" displayName="Table2" ref="A13:F22" totalsRowShown="0" headerRowDxfId="284" dataDxfId="283">
  <autoFilter ref="A13:F22" xr:uid="{88975D31-437D-4675-8B6C-BFEAB973AF17}">
    <filterColumn colId="0" hiddenButton="1"/>
    <filterColumn colId="1" hiddenButton="1"/>
    <filterColumn colId="2" hiddenButton="1"/>
    <filterColumn colId="3" hiddenButton="1"/>
    <filterColumn colId="4" hiddenButton="1"/>
    <filterColumn colId="5" hiddenButton="1"/>
  </autoFilter>
  <tableColumns count="6">
    <tableColumn id="1" xr3:uid="{D12C2279-76F0-4ED0-8E06-949E50A78BDF}" name="Particulars" dataDxfId="282"/>
    <tableColumn id="2" xr3:uid="{9A45343D-EFF0-4C0A-A9F7-A710EB99C1B2}" name="2020" dataDxfId="281" dataCellStyle="Comma"/>
    <tableColumn id="3" xr3:uid="{916E9E19-0E9A-422E-8278-3C92D7AF27D4}" name="2021" dataDxfId="280" dataCellStyle="Comma"/>
    <tableColumn id="4" xr3:uid="{EA0860D6-7247-436A-9931-17744847C42E}" name="2022" dataDxfId="279" dataCellStyle="Comma"/>
    <tableColumn id="5" xr3:uid="{512D1A34-5FE7-4178-BFEA-C20419EB1A50}" name="2023" dataDxfId="278" dataCellStyle="Comma"/>
    <tableColumn id="6" xr3:uid="{275599B6-022E-406C-B2BE-2AEE00D24170}" name="2024" dataDxfId="277" dataCellStyle="Comma"/>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ABFE22-2922-48A1-A041-83BA2C2B87F7}" name="Table3" displayName="Table3" ref="A25:F29" totalsRowShown="0" headerRowDxfId="276" dataDxfId="275">
  <autoFilter ref="A25:F29" xr:uid="{00ABFE22-2922-48A1-A041-83BA2C2B87F7}">
    <filterColumn colId="0" hiddenButton="1"/>
    <filterColumn colId="1" hiddenButton="1"/>
    <filterColumn colId="2" hiddenButton="1"/>
    <filterColumn colId="3" hiddenButton="1"/>
    <filterColumn colId="4" hiddenButton="1"/>
    <filterColumn colId="5" hiddenButton="1"/>
  </autoFilter>
  <tableColumns count="6">
    <tableColumn id="1" xr3:uid="{D592F7D8-A05A-433F-9977-66557131EE5C}" name="Particulars" dataDxfId="274"/>
    <tableColumn id="2" xr3:uid="{AC6A7816-F663-4FF9-AD89-2D35A77FC04D}" name="2020" dataDxfId="273" dataCellStyle="Comma"/>
    <tableColumn id="3" xr3:uid="{9C392C21-7D1B-4193-9F3A-A488538D1B9E}" name="2021" dataDxfId="272" dataCellStyle="Comma"/>
    <tableColumn id="4" xr3:uid="{3B8EA34B-EAD7-40C1-81A7-FABF85A1A7AA}" name="2022" dataDxfId="271" dataCellStyle="Comma"/>
    <tableColumn id="5" xr3:uid="{29AF1527-DAD5-4A2A-97A4-D1F1CFF72161}" name="2023" dataDxfId="270" dataCellStyle="Comma"/>
    <tableColumn id="6" xr3:uid="{64145D86-0DFD-42C6-B0E8-C9652ABBE40A}" name="2024" dataDxfId="269" dataCellStyle="Comma"/>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0084C0-0863-4E76-BA13-C2571D403D5A}" name="Table18" displayName="Table18" ref="H2:M10" totalsRowShown="0" headerRowDxfId="268" dataDxfId="267">
  <autoFilter ref="H2:M10" xr:uid="{DF0084C0-0863-4E76-BA13-C2571D403D5A}">
    <filterColumn colId="0" hiddenButton="1"/>
    <filterColumn colId="1" hiddenButton="1"/>
    <filterColumn colId="2" hiddenButton="1"/>
    <filterColumn colId="3" hiddenButton="1"/>
    <filterColumn colId="4" hiddenButton="1"/>
    <filterColumn colId="5" hiddenButton="1"/>
  </autoFilter>
  <tableColumns count="6">
    <tableColumn id="1" xr3:uid="{E7AA8A96-C57C-48D2-B54A-768FB28A1D59}" name="Particulars" dataDxfId="266"/>
    <tableColumn id="2" xr3:uid="{8F63D03A-F346-4640-99CC-F30DB8601035}" name="2020" dataDxfId="265" dataCellStyle="Comma"/>
    <tableColumn id="3" xr3:uid="{2D445B7F-45C7-4E14-B7AB-8DA0FE30947C}" name="2021" dataDxfId="264" dataCellStyle="Comma"/>
    <tableColumn id="4" xr3:uid="{6F0B0CE2-FEC0-4AED-8609-1EEDF98DEE85}" name="2022" dataDxfId="263" dataCellStyle="Comma"/>
    <tableColumn id="5" xr3:uid="{A19B1178-8ACC-4123-AA25-E6BB9A1CE6A5}" name="2023" dataDxfId="262" dataCellStyle="Comma"/>
    <tableColumn id="6" xr3:uid="{FC3D4EF5-7F52-44DD-84A8-3EE1C9FE06AA}" name="2024" dataDxfId="261" dataCellStyle="Comma"/>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DA22E2-3D10-4272-9626-C6DCD4F8CF15}" name="Table29" displayName="Table29" ref="H13:M22" totalsRowShown="0" headerRowDxfId="260" dataDxfId="259">
  <autoFilter ref="H13:M22" xr:uid="{52DA22E2-3D10-4272-9626-C6DCD4F8CF15}">
    <filterColumn colId="0" hiddenButton="1"/>
    <filterColumn colId="1" hiddenButton="1"/>
    <filterColumn colId="2" hiddenButton="1"/>
    <filterColumn colId="3" hiddenButton="1"/>
    <filterColumn colId="4" hiddenButton="1"/>
    <filterColumn colId="5" hiddenButton="1"/>
  </autoFilter>
  <tableColumns count="6">
    <tableColumn id="1" xr3:uid="{986FC825-E335-48E7-9210-584EB641E220}" name="Particulars" dataDxfId="258"/>
    <tableColumn id="2" xr3:uid="{EFF2C1FF-AB2B-47C6-ACFC-E3C79D706164}" name="2020" dataDxfId="257" dataCellStyle="Comma"/>
    <tableColumn id="3" xr3:uid="{EEF05B52-28A1-45F0-A51D-71E1389C0472}" name="2021" dataDxfId="256" dataCellStyle="Comma"/>
    <tableColumn id="4" xr3:uid="{DC44AF8C-E8D9-42FA-8390-838910027161}" name="2022" dataDxfId="255" dataCellStyle="Comma"/>
    <tableColumn id="5" xr3:uid="{07A2EFA7-969C-4B35-B7BC-6150C34AEFA1}" name="2023" dataDxfId="254" dataCellStyle="Comma"/>
    <tableColumn id="6" xr3:uid="{68AF4DE1-23DC-4F13-AF23-519EFE3D1AC6}" name="2024" dataDxfId="253" dataCellStyle="Comma"/>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0F939E-E22F-48E5-98B6-A63261FD8737}" name="Table310" displayName="Table310" ref="H25:M29" totalsRowShown="0" headerRowDxfId="252" dataDxfId="251">
  <autoFilter ref="H25:M29" xr:uid="{940F939E-E22F-48E5-98B6-A63261FD8737}">
    <filterColumn colId="0" hiddenButton="1"/>
    <filterColumn colId="1" hiddenButton="1"/>
    <filterColumn colId="2" hiddenButton="1"/>
    <filterColumn colId="3" hiddenButton="1"/>
    <filterColumn colId="4" hiddenButton="1"/>
    <filterColumn colId="5" hiddenButton="1"/>
  </autoFilter>
  <tableColumns count="6">
    <tableColumn id="1" xr3:uid="{51D3DF70-A4FA-4816-97B6-3A95CA1308DD}" name="Particulars" dataDxfId="250"/>
    <tableColumn id="2" xr3:uid="{D83FA71C-E0D2-4FEC-BC78-A4AE8FB5418A}" name="2020" dataDxfId="249" dataCellStyle="Comma"/>
    <tableColumn id="3" xr3:uid="{1E8AC8A0-0FD3-4358-BB5D-300E81AAE799}" name="2021" dataDxfId="248" dataCellStyle="Comma"/>
    <tableColumn id="4" xr3:uid="{31E5F7FE-D5F8-4C60-93F6-0C23127CFEBC}" name="2022" dataDxfId="247" dataCellStyle="Comma"/>
    <tableColumn id="5" xr3:uid="{4B08E7E7-23A1-4E2A-86C8-5BC5330FB52F}" name="2023" dataDxfId="246" dataCellStyle="Comma"/>
    <tableColumn id="6" xr3:uid="{6260D684-D9DE-455F-8850-2D1A8F431E9E}" name="2024" dataDxfId="245" dataCellStyle="Comma"/>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44D8F2-C6FA-4E22-8AF7-C71DAE27E264}" name="Table15" displayName="Table15" ref="O2:T10" totalsRowShown="0" headerRowDxfId="244" dataDxfId="243">
  <autoFilter ref="O2:T10" xr:uid="{8644D8F2-C6FA-4E22-8AF7-C71DAE27E264}">
    <filterColumn colId="0" hiddenButton="1"/>
    <filterColumn colId="1" hiddenButton="1"/>
    <filterColumn colId="2" hiddenButton="1"/>
    <filterColumn colId="3" hiddenButton="1"/>
    <filterColumn colId="4" hiddenButton="1"/>
    <filterColumn colId="5" hiddenButton="1"/>
  </autoFilter>
  <tableColumns count="6">
    <tableColumn id="1" xr3:uid="{ECE1F83C-345F-49B9-8563-19C54E0AD521}" name="Particulars" dataDxfId="242"/>
    <tableColumn id="2" xr3:uid="{E402EAD7-79B8-458C-ABD9-7EF72D1B7996}" name="2020" dataDxfId="241" dataCellStyle="Comma"/>
    <tableColumn id="3" xr3:uid="{0699D795-F292-45A3-96A6-9452B2D7732C}" name="2021" dataDxfId="240" dataCellStyle="Comma"/>
    <tableColumn id="4" xr3:uid="{E26CD8C2-7E24-40AE-969F-8EEC39B1716A}" name="2022" dataDxfId="239" dataCellStyle="Comma"/>
    <tableColumn id="5" xr3:uid="{45D3570F-26D8-4950-B7D8-901BA70E2B4A}" name="2023" dataDxfId="238" dataCellStyle="Comma"/>
    <tableColumn id="6" xr3:uid="{AF16BA19-79DB-4ADD-8FC3-0C71480B0A72}" name="2024" dataDxfId="237" dataCellStyle="Comma"/>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BF3EFB-AAA1-4DA6-8126-7F99F365589F}" name="Table26" displayName="Table26" ref="O13:T22" totalsRowShown="0" headerRowDxfId="236" dataDxfId="235">
  <autoFilter ref="O13:T22" xr:uid="{B0BF3EFB-AAA1-4DA6-8126-7F99F365589F}">
    <filterColumn colId="0" hiddenButton="1"/>
    <filterColumn colId="1" hiddenButton="1"/>
    <filterColumn colId="2" hiddenButton="1"/>
    <filterColumn colId="3" hiddenButton="1"/>
    <filterColumn colId="4" hiddenButton="1"/>
    <filterColumn colId="5" hiddenButton="1"/>
  </autoFilter>
  <tableColumns count="6">
    <tableColumn id="1" xr3:uid="{DFDEAFE7-C60D-42C9-A588-6180020828A2}" name="Particulars" dataDxfId="234"/>
    <tableColumn id="2" xr3:uid="{3B817579-AB6C-4556-B382-3BFF3D7F4781}" name="2020" dataDxfId="233" dataCellStyle="Comma"/>
    <tableColumn id="3" xr3:uid="{F88555A6-FC7D-43A5-92E6-E8FC36D0860C}" name="2021" dataDxfId="232" dataCellStyle="Comma"/>
    <tableColumn id="4" xr3:uid="{EE168E13-E6D2-42A8-BCDA-CE84D9F3DEDF}" name="2022" dataDxfId="231" dataCellStyle="Comma"/>
    <tableColumn id="5" xr3:uid="{AF18DB50-B1B6-44DC-A530-CCC11F9A8606}" name="2023" dataDxfId="230" dataCellStyle="Comma"/>
    <tableColumn id="6" xr3:uid="{49801DC1-E5AA-442A-A55E-421CD9DA291B}" name="2024" dataDxfId="229" dataCellStyle="Comma"/>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22849-2644-411C-82B2-6D35D40BDF51}" name="Table37" displayName="Table37" ref="O25:T29" totalsRowShown="0" headerRowDxfId="228" dataDxfId="227">
  <autoFilter ref="O25:T29" xr:uid="{5A822849-2644-411C-82B2-6D35D40BDF51}">
    <filterColumn colId="0" hiddenButton="1"/>
    <filterColumn colId="1" hiddenButton="1"/>
    <filterColumn colId="2" hiddenButton="1"/>
    <filterColumn colId="3" hiddenButton="1"/>
    <filterColumn colId="4" hiddenButton="1"/>
    <filterColumn colId="5" hiddenButton="1"/>
  </autoFilter>
  <tableColumns count="6">
    <tableColumn id="1" xr3:uid="{0B25592B-FD6E-4E66-909E-852EB53E9773}" name="Particulars" dataDxfId="226"/>
    <tableColumn id="2" xr3:uid="{449EE94D-12A6-444C-BC0B-B121A115C78E}" name="2020" dataDxfId="225" dataCellStyle="Comma"/>
    <tableColumn id="3" xr3:uid="{B7A89ECE-364C-40B5-B0AC-0A62DAEBE892}" name="2021" dataDxfId="224" dataCellStyle="Comma"/>
    <tableColumn id="4" xr3:uid="{39996AC4-BF60-4801-BFDB-D648323AB390}" name="2022" dataDxfId="223" dataCellStyle="Comma"/>
    <tableColumn id="5" xr3:uid="{B25A9B4C-1C02-4B56-BE16-4AAD779E20D8}" name="2023" dataDxfId="222" dataCellStyle="Comma"/>
    <tableColumn id="6" xr3:uid="{BC252BF0-898F-4A4D-9B08-2E48579CB49F}" name="2024" dataDxfId="221" dataCellStyle="Comma"/>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8E96379-513C-4B0D-8BB0-D207C9BEE306}" name="Table1811" displayName="Table1811" ref="W2:AB10" totalsRowShown="0" headerRowDxfId="220" dataDxfId="219">
  <autoFilter ref="W2:AB10" xr:uid="{08E96379-513C-4B0D-8BB0-D207C9BEE306}">
    <filterColumn colId="0" hiddenButton="1"/>
    <filterColumn colId="1" hiddenButton="1"/>
    <filterColumn colId="2" hiddenButton="1"/>
    <filterColumn colId="3" hiddenButton="1"/>
    <filterColumn colId="4" hiddenButton="1"/>
    <filterColumn colId="5" hiddenButton="1"/>
  </autoFilter>
  <tableColumns count="6">
    <tableColumn id="1" xr3:uid="{F4ED2A54-FB7C-40EC-83E8-0DE17E14B931}" name="Particulars" dataDxfId="218"/>
    <tableColumn id="2" xr3:uid="{3C494B31-E825-48C8-9E6E-B97036CE72B5}" name="2020" dataDxfId="217" dataCellStyle="Comma"/>
    <tableColumn id="3" xr3:uid="{62E3DEA7-BF88-487A-B38A-867DBD033247}" name="2021" dataDxfId="216" dataCellStyle="Comma"/>
    <tableColumn id="4" xr3:uid="{DB7A8DFD-8623-42E2-B825-D50F3393556F}" name="2022" dataDxfId="215" dataCellStyle="Comma"/>
    <tableColumn id="5" xr3:uid="{8BE4E0BD-508B-4E6F-918D-F07F48087E07}" name="2023" dataDxfId="214" dataCellStyle="Comma"/>
    <tableColumn id="6" xr3:uid="{205B865B-5F7B-4252-8F79-0B314EAB4EFD}" name="2024" dataDxfId="213" dataCellStyle="Comma"/>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A0120F-8044-4B43-8F0B-7D4EE3200E52}" name="Table2912" displayName="Table2912" ref="W13:AB22" totalsRowShown="0" headerRowDxfId="212" dataDxfId="211">
  <autoFilter ref="W13:AB22" xr:uid="{9BA0120F-8044-4B43-8F0B-7D4EE3200E52}">
    <filterColumn colId="0" hiddenButton="1"/>
    <filterColumn colId="1" hiddenButton="1"/>
    <filterColumn colId="2" hiddenButton="1"/>
    <filterColumn colId="3" hiddenButton="1"/>
    <filterColumn colId="4" hiddenButton="1"/>
    <filterColumn colId="5" hiddenButton="1"/>
  </autoFilter>
  <tableColumns count="6">
    <tableColumn id="1" xr3:uid="{C9E884CD-D9FD-4310-905D-9F0576F86369}" name="Particulars" dataDxfId="210"/>
    <tableColumn id="2" xr3:uid="{64795599-B313-40F1-8FAA-35241FAACB6C}" name="2020" dataDxfId="209" dataCellStyle="Comma"/>
    <tableColumn id="3" xr3:uid="{037119AE-2FE4-4E56-8C59-922BD5279D98}" name="2021" dataDxfId="208" dataCellStyle="Comma"/>
    <tableColumn id="4" xr3:uid="{7F66B562-5C55-4A3E-96E3-6B5CE76AA61E}" name="2022" dataDxfId="207" dataCellStyle="Comma"/>
    <tableColumn id="5" xr3:uid="{3D3906F4-EE34-44D2-B526-F358F819B78E}" name="2023" dataDxfId="206" dataCellStyle="Comma"/>
    <tableColumn id="6" xr3:uid="{D08BA42E-9BAA-4518-A10F-E5709C3629A6}" name="2024" dataDxfId="205" dataCellStyle="Comma"/>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6BDA7A7-3CA5-4A32-9B5F-59DA024CBF61}" name="Table31013" displayName="Table31013" ref="W25:AB29" totalsRowShown="0" headerRowDxfId="204" dataDxfId="203">
  <autoFilter ref="W25:AB29" xr:uid="{C6BDA7A7-3CA5-4A32-9B5F-59DA024CBF61}">
    <filterColumn colId="0" hiddenButton="1"/>
    <filterColumn colId="1" hiddenButton="1"/>
    <filterColumn colId="2" hiddenButton="1"/>
    <filterColumn colId="3" hiddenButton="1"/>
    <filterColumn colId="4" hiddenButton="1"/>
    <filterColumn colId="5" hiddenButton="1"/>
  </autoFilter>
  <tableColumns count="6">
    <tableColumn id="1" xr3:uid="{0ACA4767-94F6-45B7-B923-319AC5575C97}" name="Particulars" dataDxfId="202"/>
    <tableColumn id="2" xr3:uid="{FE80D4F4-1F42-4D94-BE45-E2C4901F51C6}" name="2020" dataDxfId="201" dataCellStyle="Comma"/>
    <tableColumn id="3" xr3:uid="{96E58077-7DD0-4B86-9B0C-3F51D8AFC8CA}" name="2021" dataDxfId="200" dataCellStyle="Comma"/>
    <tableColumn id="4" xr3:uid="{225A13B6-C153-4ADE-BB9F-ED2A7EE4B68D}" name="2022" dataDxfId="199" dataCellStyle="Comma"/>
    <tableColumn id="5" xr3:uid="{2CB683B8-D95C-42F0-905F-E93D43F41CDF}" name="2023" dataDxfId="198" dataCellStyle="Comma"/>
    <tableColumn id="6" xr3:uid="{6599F262-F520-4F36-BE23-9A9CE0AB1A4B}" name="2024" dataDxfId="197" dataCellStyle="Comma"/>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E0EBB3-C764-46B0-B54E-1AE309365C49}" name="Table181114" displayName="Table181114" ref="AE2:AJ10" totalsRowShown="0" headerRowDxfId="196" dataDxfId="195">
  <autoFilter ref="AE2:AJ10" xr:uid="{71E0EBB3-C764-46B0-B54E-1AE309365C49}">
    <filterColumn colId="0" hiddenButton="1"/>
    <filterColumn colId="1" hiddenButton="1"/>
    <filterColumn colId="2" hiddenButton="1"/>
    <filterColumn colId="3" hiddenButton="1"/>
    <filterColumn colId="4" hiddenButton="1"/>
    <filterColumn colId="5" hiddenButton="1"/>
  </autoFilter>
  <tableColumns count="6">
    <tableColumn id="1" xr3:uid="{8C47C27D-052A-453A-8C33-70C34C1434D4}" name="Particulars" dataDxfId="194"/>
    <tableColumn id="2" xr3:uid="{8C2A7816-BF34-454E-AE5F-DAD25A20CCA9}" name="2020" dataDxfId="193" dataCellStyle="Comma"/>
    <tableColumn id="3" xr3:uid="{CDEABD0B-E99C-421B-B1B1-5DD9D6881473}" name="2021" dataDxfId="192" dataCellStyle="Comma"/>
    <tableColumn id="4" xr3:uid="{844FA3DB-8A76-4D94-A68C-BB8AE85B8CD1}" name="2022" dataDxfId="191" dataCellStyle="Comma"/>
    <tableColumn id="5" xr3:uid="{B8AF986E-0BFC-4609-BD1C-C0513C290039}" name="2023" dataDxfId="190" dataCellStyle="Comma"/>
    <tableColumn id="6" xr3:uid="{FBAAE957-F665-4E66-9972-713FCEA0CC00}" name="2024" dataDxfId="189" dataCellStyle="Comma"/>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118CF01-8B40-4848-9A9C-0514E29F1373}" name="Table291221" displayName="Table291221" ref="AE13:AJ22" totalsRowShown="0" headerRowDxfId="188" dataDxfId="187">
  <autoFilter ref="AE13:AJ22" xr:uid="{6118CF01-8B40-4848-9A9C-0514E29F1373}">
    <filterColumn colId="0" hiddenButton="1"/>
    <filterColumn colId="1" hiddenButton="1"/>
    <filterColumn colId="2" hiddenButton="1"/>
    <filterColumn colId="3" hiddenButton="1"/>
    <filterColumn colId="4" hiddenButton="1"/>
    <filterColumn colId="5" hiddenButton="1"/>
  </autoFilter>
  <tableColumns count="6">
    <tableColumn id="1" xr3:uid="{9127CD0E-B2F5-426B-9F54-CFAF62F61BEA}" name="Particulars" dataDxfId="186"/>
    <tableColumn id="2" xr3:uid="{100884FD-BDA1-49D0-9D4A-A9D7A4189216}" name="2020" dataDxfId="185" dataCellStyle="Comma"/>
    <tableColumn id="3" xr3:uid="{7233B83E-5B47-4629-90B8-472CC9E06B48}" name="2021" dataDxfId="184" dataCellStyle="Comma"/>
    <tableColumn id="4" xr3:uid="{5F878605-AD5D-4A6D-B3D6-A0FB71C78F14}" name="2022" dataDxfId="183" dataCellStyle="Comma"/>
    <tableColumn id="5" xr3:uid="{217B21CD-073A-4C40-BCB5-2EBE287AD5C7}" name="2023" dataDxfId="182" dataCellStyle="Comma"/>
    <tableColumn id="6" xr3:uid="{6DC75DAF-1C0F-4DD0-AF5B-9A20F71CC0EE}" name="2024" dataDxfId="181" dataCellStyle="Comma"/>
  </tableColumns>
  <tableStyleInfo name="TableStyleMedium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4E18EF6-4018-420B-B6A7-E1246EBEFCB4}" name="Table3101322" displayName="Table3101322" ref="AE25:AJ29" totalsRowShown="0" headerRowDxfId="180" dataDxfId="179">
  <autoFilter ref="AE25:AJ29" xr:uid="{54E18EF6-4018-420B-B6A7-E1246EBEFCB4}">
    <filterColumn colId="0" hiddenButton="1"/>
    <filterColumn colId="1" hiddenButton="1"/>
    <filterColumn colId="2" hiddenButton="1"/>
    <filterColumn colId="3" hiddenButton="1"/>
    <filterColumn colId="4" hiddenButton="1"/>
    <filterColumn colId="5" hiddenButton="1"/>
  </autoFilter>
  <tableColumns count="6">
    <tableColumn id="1" xr3:uid="{2102AD02-91C8-4BF5-AB80-CD710F3D05F1}" name="Particulars" dataDxfId="178"/>
    <tableColumn id="2" xr3:uid="{C4FC6991-BF55-4F33-BDC4-B64E2573ECB5}" name="2020" dataDxfId="177" dataCellStyle="Comma"/>
    <tableColumn id="3" xr3:uid="{C37697EB-F300-442E-834A-FD89E81C43CB}" name="2021" dataDxfId="176" dataCellStyle="Comma"/>
    <tableColumn id="4" xr3:uid="{5A410727-2683-4320-8113-33B5A2970C31}" name="2022" dataDxfId="175" dataCellStyle="Comma"/>
    <tableColumn id="5" xr3:uid="{079D7C1A-6231-4E19-A0A7-C8AAD17D8364}" name="2023" dataDxfId="174" dataCellStyle="Comma"/>
    <tableColumn id="6" xr3:uid="{7185D056-A9FD-46FD-8EDE-528E4591593D}" name="2024" dataDxfId="173" dataCellStyle="Comma"/>
  </tableColumns>
  <tableStyleInfo name="TableStyleMedium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9B6A987-D273-4B3B-B1BB-67BFC30E5C68}" name="Table23" displayName="Table23" ref="O32:T35" totalsRowShown="0" headerRowDxfId="43" dataDxfId="44">
  <autoFilter ref="O32:T35" xr:uid="{E9B6A987-D273-4B3B-B1BB-67BFC30E5C68}">
    <filterColumn colId="0" hiddenButton="1"/>
    <filterColumn colId="1" hiddenButton="1"/>
    <filterColumn colId="2" hiddenButton="1"/>
    <filterColumn colId="3" hiddenButton="1"/>
    <filterColumn colId="4" hiddenButton="1"/>
    <filterColumn colId="5" hiddenButton="1"/>
  </autoFilter>
  <tableColumns count="6">
    <tableColumn id="1" xr3:uid="{36C7F24F-AB4A-459F-B0C6-44B9349B82EB}" name="Particulars" dataDxfId="50"/>
    <tableColumn id="2" xr3:uid="{67B0E64C-F8A5-4539-A39C-03AC53BC0C9E}" name="2020" dataDxfId="49"/>
    <tableColumn id="3" xr3:uid="{082FC254-8A7F-4ECF-AE8E-00FCC1B24AC7}" name="2021" dataDxfId="48"/>
    <tableColumn id="4" xr3:uid="{FFC940E1-D585-497A-A091-98DFE131C064}" name="2022" dataDxfId="47"/>
    <tableColumn id="5" xr3:uid="{6C0CA4D1-6828-4F1F-AA50-61C401DC8D80}" name="2023" dataDxfId="46"/>
    <tableColumn id="6" xr3:uid="{21C019DE-079A-440A-AF2B-D8C67BF79ED3}" name="2024" dataDxfId="45"/>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2473F72-DD10-4D76-AFB1-7BF5C2B16584}" name="Table31" displayName="Table31" ref="O37:U40" totalsRowShown="0" headerRowDxfId="34" dataDxfId="35">
  <autoFilter ref="O37:U40" xr:uid="{22473F72-DD10-4D76-AFB1-7BF5C2B1658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E683516-EAA1-43FA-BD2D-8F2DC65EE01E}" name="Particulars" dataDxfId="42"/>
    <tableColumn id="2" xr3:uid="{6A8C7D65-23C1-4D36-96AB-8EEAFB2C4ECB}" name="2025" dataDxfId="41">
      <calculatedColumnFormula>DCF!R3</calculatedColumnFormula>
    </tableColumn>
    <tableColumn id="3" xr3:uid="{8EE0BB75-11D8-4BA2-B2D3-942C740E3E65}" name="2026" dataDxfId="40">
      <calculatedColumnFormula>DCF!S3</calculatedColumnFormula>
    </tableColumn>
    <tableColumn id="4" xr3:uid="{AFD8C77C-826F-41CF-BA4F-8EE67D549CF8}" name="2027" dataDxfId="39">
      <calculatedColumnFormula>DCF!T3</calculatedColumnFormula>
    </tableColumn>
    <tableColumn id="5" xr3:uid="{EC45D6C4-21CA-41A1-A5D7-0CC3761E1D3F}" name="2028" dataDxfId="38">
      <calculatedColumnFormula>DCF!U3</calculatedColumnFormula>
    </tableColumn>
    <tableColumn id="6" xr3:uid="{59A35598-605E-41FE-B316-C98B289CE60B}" name="2029" dataDxfId="37">
      <calculatedColumnFormula>DCF!V3</calculatedColumnFormula>
    </tableColumn>
    <tableColumn id="7" xr3:uid="{80CC66B2-A494-48A3-AF78-7D3599ED0355}" name="2030" dataDxfId="36">
      <calculatedColumnFormula>DCF!W3</calculatedColumnFormula>
    </tableColumn>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B6362F8-4801-4E97-ABD5-54695BF73150}" name="Table2333" displayName="Table2333" ref="W32:AB35" totalsRowShown="0" headerRowDxfId="33" dataDxfId="32">
  <autoFilter ref="W32:AB35" xr:uid="{2B6362F8-4801-4E97-ABD5-54695BF73150}">
    <filterColumn colId="0" hiddenButton="1"/>
    <filterColumn colId="1" hiddenButton="1"/>
    <filterColumn colId="2" hiddenButton="1"/>
    <filterColumn colId="3" hiddenButton="1"/>
    <filterColumn colId="4" hiddenButton="1"/>
    <filterColumn colId="5" hiddenButton="1"/>
  </autoFilter>
  <tableColumns count="6">
    <tableColumn id="1" xr3:uid="{C67A7FA8-2FFE-441B-AD2C-2A4196830E6E}" name="Particulars" dataDxfId="31"/>
    <tableColumn id="2" xr3:uid="{4F6FA506-06ED-47AB-93FE-C52E49AA80E6}" name="2020" dataDxfId="30"/>
    <tableColumn id="3" xr3:uid="{B1C909E0-7B10-4481-8431-025B44673305}" name="2021" dataDxfId="29"/>
    <tableColumn id="4" xr3:uid="{93678DE9-F9D9-47A4-99DE-3B4334FF8647}" name="2022" dataDxfId="28"/>
    <tableColumn id="5" xr3:uid="{04BBC798-26E9-4D15-802C-7FDFC62511A4}" name="2023" dataDxfId="27"/>
    <tableColumn id="6" xr3:uid="{2EC042A9-DA6D-4A56-BDC6-9D0E10729A50}" name="2024" dataDxfId="26"/>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696F185-8153-47E3-B1AF-07DD9FCE42C7}" name="Table3134" displayName="Table3134" ref="W37:AC40" totalsRowShown="0" headerRowDxfId="25" dataDxfId="24">
  <autoFilter ref="W37:AC40" xr:uid="{2696F185-8153-47E3-B1AF-07DD9FCE42C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4AC95A-5E5F-46D8-8DFB-9192F80758EB}" name="Particulars" dataDxfId="23"/>
    <tableColumn id="2" xr3:uid="{C87C2DD3-7918-4483-9A19-452B337FE51F}" name="2025" dataDxfId="22">
      <calculatedColumnFormula>DCF!Z3</calculatedColumnFormula>
    </tableColumn>
    <tableColumn id="3" xr3:uid="{3E4D80AD-DCEC-48E2-AE76-E70F4CCCC8FC}" name="2026" dataDxfId="21">
      <calculatedColumnFormula>DCF!AA3</calculatedColumnFormula>
    </tableColumn>
    <tableColumn id="4" xr3:uid="{78536F0B-E811-410C-9EF5-FECB49DBA71C}" name="2027" dataDxfId="20">
      <calculatedColumnFormula>DCF!AB3</calculatedColumnFormula>
    </tableColumn>
    <tableColumn id="5" xr3:uid="{E4AE1C3D-C312-490B-938A-E475F85FD299}" name="2028" dataDxfId="19">
      <calculatedColumnFormula>DCF!AC3</calculatedColumnFormula>
    </tableColumn>
    <tableColumn id="6" xr3:uid="{68229BC9-0CDB-42B8-81AB-DA77FDFBE752}" name="2029" dataDxfId="18">
      <calculatedColumnFormula>DCF!AD3</calculatedColumnFormula>
    </tableColumn>
    <tableColumn id="7" xr3:uid="{64E23C6F-B2FF-41AA-8938-072EEB22FFB7}" name="2030" dataDxfId="17">
      <calculatedColumnFormula>DCF!AE3</calculatedColumnFormula>
    </tableColumn>
  </tableColumns>
  <tableStyleInfo name="TableStyleMedium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5DEEE1A-CEFB-4995-A737-C9CA6ABEEA3E}" name="Table2335" displayName="Table2335" ref="AE32:AJ35" totalsRowShown="0" headerRowDxfId="16" dataDxfId="15">
  <autoFilter ref="AE32:AJ35" xr:uid="{55DEEE1A-CEFB-4995-A737-C9CA6ABEEA3E}">
    <filterColumn colId="0" hiddenButton="1"/>
    <filterColumn colId="1" hiddenButton="1"/>
    <filterColumn colId="2" hiddenButton="1"/>
    <filterColumn colId="3" hiddenButton="1"/>
    <filterColumn colId="4" hiddenButton="1"/>
    <filterColumn colId="5" hiddenButton="1"/>
  </autoFilter>
  <tableColumns count="6">
    <tableColumn id="1" xr3:uid="{5AEA8195-B498-4175-8D1A-6C9D32809C54}" name="Particulars" dataDxfId="14"/>
    <tableColumn id="2" xr3:uid="{553C39F9-3A57-4084-B340-6EB25F0118F1}" name="2020" dataDxfId="13"/>
    <tableColumn id="3" xr3:uid="{96D0FE1B-92F3-4FD4-A6ED-5DEBFF30710E}" name="2021" dataDxfId="12"/>
    <tableColumn id="4" xr3:uid="{50B088BA-774F-4BB0-88A2-D1BCB8E0682A}" name="2022" dataDxfId="11"/>
    <tableColumn id="5" xr3:uid="{F651DD2F-11A4-43A9-83B2-46654E817149}" name="2023" dataDxfId="10"/>
    <tableColumn id="6" xr3:uid="{C35FE872-E180-4F8F-9F23-8B3B9FF1D762}" name="2024" dataDxfId="9"/>
  </tableColumns>
  <tableStyleInfo name="TableStyleMedium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3EE424F-6D66-4459-AEB1-E653A8D61311}" name="Table3136" displayName="Table3136" ref="AE37:AK40" totalsRowShown="0" headerRowDxfId="8" dataDxfId="7">
  <autoFilter ref="AE37:AK40" xr:uid="{83EE424F-6D66-4459-AEB1-E653A8D6131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17C7D8-77D1-461D-8738-123B49161F6E}" name="Particulars" dataDxfId="6"/>
    <tableColumn id="2" xr3:uid="{242EC305-5690-47AC-A35A-A0B3EE387DD2}" name="2025" dataDxfId="5">
      <calculatedColumnFormula>DCF!AH3</calculatedColumnFormula>
    </tableColumn>
    <tableColumn id="3" xr3:uid="{91C8A61F-A43F-458E-965A-E7D9F3D1863E}" name="2026" dataDxfId="4">
      <calculatedColumnFormula>DCF!AI3</calculatedColumnFormula>
    </tableColumn>
    <tableColumn id="4" xr3:uid="{7163049F-376F-4740-B337-8A76670B1A68}" name="2027" dataDxfId="3">
      <calculatedColumnFormula>DCF!AJ3</calculatedColumnFormula>
    </tableColumn>
    <tableColumn id="5" xr3:uid="{BBB0BE84-3224-4297-9EDE-51F2B1A76987}" name="2028" dataDxfId="2">
      <calculatedColumnFormula>DCF!AK3</calculatedColumnFormula>
    </tableColumn>
    <tableColumn id="6" xr3:uid="{439FF1B3-6CA1-46FF-BE20-670FFF423807}" name="2029" dataDxfId="1">
      <calculatedColumnFormula>DCF!AL3</calculatedColumnFormula>
    </tableColumn>
    <tableColumn id="7" xr3:uid="{31315D76-876B-4B56-B791-A2AF74546470}" name="2030" dataDxfId="0">
      <calculatedColumnFormula>DCF!AM3</calculatedColumnFormula>
    </tableColumn>
  </tableColumns>
  <tableStyleInfo name="TableStyleMedium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D3FF65-4C76-4315-8C33-5299318E221D}" name="Table19" displayName="Table19" ref="H2:M7" totalsRowShown="0" headerRowDxfId="172" dataDxfId="170" headerRowBorderDxfId="171" tableBorderDxfId="169" totalsRowBorderDxfId="168">
  <autoFilter ref="H2:M7" xr:uid="{B6D3FF65-4C76-4315-8C33-5299318E221D}">
    <filterColumn colId="0" hiddenButton="1"/>
    <filterColumn colId="1" hiddenButton="1"/>
    <filterColumn colId="2" hiddenButton="1"/>
    <filterColumn colId="3" hiddenButton="1"/>
    <filterColumn colId="4" hiddenButton="1"/>
    <filterColumn colId="5" hiddenButton="1"/>
  </autoFilter>
  <tableColumns count="6">
    <tableColumn id="1" xr3:uid="{4B61DE19-0833-4285-BC45-2415F52A70F2}" name="Current" dataDxfId="167"/>
    <tableColumn id="2" xr3:uid="{FF7A5DEA-48B4-4406-B63A-507DC3FADFF0}" name="2020" dataDxfId="166">
      <calculatedColumnFormula>Financials!I16-Financials!I19</calculatedColumnFormula>
    </tableColumn>
    <tableColumn id="3" xr3:uid="{D768AE89-A700-48FF-BF32-3F0D8083B809}" name="2021" dataDxfId="165">
      <calculatedColumnFormula>Financials!J16-Financials!J19</calculatedColumnFormula>
    </tableColumn>
    <tableColumn id="4" xr3:uid="{BA9A210C-7A4F-4409-9EE6-8F0200CA0C93}" name="2022" dataDxfId="164">
      <calculatedColumnFormula>Financials!K16-Financials!K19</calculatedColumnFormula>
    </tableColumn>
    <tableColumn id="5" xr3:uid="{4EB3F699-B2F8-4848-BD56-14D7D9BD7438}" name="2023" dataDxfId="163">
      <calculatedColumnFormula>Financials!L16-Financials!L19</calculatedColumnFormula>
    </tableColumn>
    <tableColumn id="6" xr3:uid="{03FEC299-0236-40AB-AECB-DAE95C4F89DC}" name="2024" dataDxfId="162">
      <calculatedColumnFormula>Financials!M16-Financials!M19</calculatedColumnFormula>
    </tableColumn>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3BA7B24-04FC-49E5-A604-9BA2ABD56B05}" name="Table20" displayName="Table20" ref="H10:N15" totalsRowShown="0" headerRowDxfId="161" dataDxfId="159" headerRowBorderDxfId="160" tableBorderDxfId="158" totalsRowBorderDxfId="157">
  <autoFilter ref="H10:N15" xr:uid="{D3BA7B24-04FC-49E5-A604-9BA2ABD56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D3D0DF6-691E-4A1B-8FE3-31448AB65E57}" name="Forecast" dataDxfId="156">
      <calculatedColumnFormula>H3</calculatedColumnFormula>
    </tableColumn>
    <tableColumn id="2" xr3:uid="{432FA86E-B88B-4771-A396-213F430CD8EB}" name="2025" dataDxfId="155">
      <calculatedColumnFormula>DCF!J2*'Assumptions &amp; WACC'!$C$7</calculatedColumnFormula>
    </tableColumn>
    <tableColumn id="3" xr3:uid="{524F3186-4375-4F5C-ABED-B948371A4DF3}" name="2026" dataDxfId="154">
      <calculatedColumnFormula>DCF!K2*'Assumptions &amp; WACC'!$C$7</calculatedColumnFormula>
    </tableColumn>
    <tableColumn id="4" xr3:uid="{2A5CB197-8A7C-47C3-84A5-7AF1EF700051}" name="2027" dataDxfId="153">
      <calculatedColumnFormula>DCF!L2*'Assumptions &amp; WACC'!$C$7</calculatedColumnFormula>
    </tableColumn>
    <tableColumn id="5" xr3:uid="{8671C00A-E75D-41EF-ADFE-FD50623F87E2}" name="2028" dataDxfId="152">
      <calculatedColumnFormula>DCF!M2*'Assumptions &amp; WACC'!$C$7</calculatedColumnFormula>
    </tableColumn>
    <tableColumn id="6" xr3:uid="{3BD5B605-DE79-442C-9609-58638AD3E947}" name="2029" dataDxfId="151">
      <calculatedColumnFormula>DCF!N2*'Assumptions &amp; WACC'!$C$7</calculatedColumnFormula>
    </tableColumn>
    <tableColumn id="7" xr3:uid="{0FC0D7D3-7652-437A-8121-BDBF28B50C7B}" name="2030" dataDxfId="150">
      <calculatedColumnFormula>DCF!O2*'Assumptions &amp; WACC'!$C$7</calculatedColumnFormula>
    </tableColumn>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2422CBE-43FD-403F-9100-87D0242B8DC4}" name="Table8" displayName="Table8" ref="A12:B22" totalsRowShown="0" headerRowDxfId="149" dataDxfId="148">
  <autoFilter ref="A12:B22" xr:uid="{42422CBE-43FD-403F-9100-87D0242B8DC4}">
    <filterColumn colId="0" hiddenButton="1"/>
    <filterColumn colId="1" hiddenButton="1"/>
  </autoFilter>
  <tableColumns count="2">
    <tableColumn id="1" xr3:uid="{AC7C4662-0A3E-434E-809C-6481DDA56CA6}" name="Metrics" dataDxfId="147"/>
    <tableColumn id="2" xr3:uid="{8EF487A0-7879-47D0-9BA6-BC6949CF34FC}" name="Value" dataDxfId="146"/>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3BB43B-1E13-4537-A72B-047D48B48DD8}" name="Table9" displayName="Table9" ref="A2:G9" totalsRowShown="0" headerRowDxfId="145" dataDxfId="144" headerRowCellStyle="Percent">
  <autoFilter ref="A2:G9" xr:uid="{AC3BB43B-1E13-4537-A72B-047D48B48DD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EAB7820-FDBB-4873-BF43-7EAD178BA0A0}" name="Particulars" dataDxfId="143"/>
    <tableColumn id="2" xr3:uid="{DE1FD5F6-36A9-4F19-978D-64665ADAAB37}" name="2025" dataDxfId="142"/>
    <tableColumn id="3" xr3:uid="{7C47F898-826A-4949-86F8-9AA50BFCD1EF}" name="2026" dataDxfId="141"/>
    <tableColumn id="4" xr3:uid="{E802C6DB-3BAF-45D2-A687-128C0CC58BE2}" name="2027" dataDxfId="140"/>
    <tableColumn id="5" xr3:uid="{5486A7CB-47D7-459B-98C1-05F889D50E25}" name="2028" dataDxfId="139"/>
    <tableColumn id="6" xr3:uid="{202F41FD-8DED-45EF-9BEA-1D8E939AEA62}" name="2029" dataDxfId="138"/>
    <tableColumn id="7" xr3:uid="{588BBFD2-0898-4E40-9908-B1D4B9D89228}" name="2030" dataDxfId="137"/>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055FFD7-43B6-44F3-A0B3-466CF1CDDC1D}" name="Table10" displayName="Table10" ref="I2:O9" totalsRowShown="0" headerRowDxfId="136" dataDxfId="135" tableBorderDxfId="134" headerRowCellStyle="Percent">
  <autoFilter ref="I2:O9" xr:uid="{C055FFD7-43B6-44F3-A0B3-466CF1CDDC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41B53DA-179D-4999-85E6-14B14846B716}" name="Particulars" dataDxfId="133"/>
    <tableColumn id="2" xr3:uid="{34392CA2-780C-47B2-B7B5-242887355A2C}" name="2025" dataDxfId="132" dataCellStyle="Comma"/>
    <tableColumn id="3" xr3:uid="{B8F69066-CC3F-494B-B623-F4403415EB63}" name="2026" dataDxfId="131" dataCellStyle="Comma"/>
    <tableColumn id="4" xr3:uid="{00557BA3-9380-4D19-B2D6-5EE5B570B191}" name="2027" dataDxfId="130" dataCellStyle="Comma"/>
    <tableColumn id="5" xr3:uid="{DFB2FA8D-63C7-454C-8F65-57AD25F2E8F5}" name="2028" dataDxfId="129" dataCellStyle="Comma"/>
    <tableColumn id="6" xr3:uid="{8D329655-682C-49DD-9B25-3D655C7751FD}" name="2029" dataDxfId="128" dataCellStyle="Comma"/>
    <tableColumn id="7" xr3:uid="{1FB06685-2518-4378-BC3A-4ADB0364A0B4}" name="2030" dataDxfId="127" dataCellStyle="Comma"/>
  </tableColumns>
  <tableStyleInfo name="TableStyleMedium1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9376572-8168-45B0-8220-77EDC3AC5357}" name="Table814" displayName="Table814" ref="I12:J22" totalsRowShown="0" headerRowDxfId="126" dataDxfId="125" tableBorderDxfId="124">
  <autoFilter ref="I12:J22" xr:uid="{F9376572-8168-45B0-8220-77EDC3AC5357}">
    <filterColumn colId="0" hiddenButton="1"/>
    <filterColumn colId="1" hiddenButton="1"/>
  </autoFilter>
  <tableColumns count="2">
    <tableColumn id="1" xr3:uid="{9F645820-C7E0-4304-81D7-D2AAA82BF258}" name="Metrics" dataDxfId="123"/>
    <tableColumn id="2" xr3:uid="{3E030C49-A7FD-479E-83CC-57258F7B3254}" name="Value" dataDxfId="122"/>
  </tableColumns>
  <tableStyleInfo name="TableStyleMedium1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AF9D2B0-0A5A-4022-BDA6-8BACA07BEC89}" name="Table826" displayName="Table826" ref="Q12:R22" totalsRowShown="0" headerRowDxfId="121" dataDxfId="120">
  <autoFilter ref="Q12:R22" xr:uid="{9AF9D2B0-0A5A-4022-BDA6-8BACA07BEC89}">
    <filterColumn colId="0" hiddenButton="1"/>
    <filterColumn colId="1" hiddenButton="1"/>
  </autoFilter>
  <tableColumns count="2">
    <tableColumn id="1" xr3:uid="{7BD14753-9EA8-48D6-A2F1-3EA3A03B4CA5}" name="Metrics" dataDxfId="119"/>
    <tableColumn id="2" xr3:uid="{DD038022-53FF-40BE-A342-3AB8B40FA3A5}" name="Value" dataDxfId="118"/>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CE2A046-3F6F-418A-8776-1AC95E2C6562}" name="Table927" displayName="Table927" ref="Q2:W9" totalsRowShown="0" headerRowDxfId="117" dataDxfId="116" headerRowCellStyle="Percent">
  <autoFilter ref="Q2:W9" xr:uid="{DCE2A046-3F6F-418A-8776-1AC95E2C656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534B754-49F6-42D0-9632-E091FA9C342F}" name="Particulars" dataDxfId="115"/>
    <tableColumn id="2" xr3:uid="{73B86D1A-7A5D-4E3A-A413-5204ABCADA8F}" name="2025" dataDxfId="114"/>
    <tableColumn id="3" xr3:uid="{B06B6C01-1D46-44BC-8203-C231A6466A66}" name="2026" dataDxfId="113"/>
    <tableColumn id="4" xr3:uid="{66D96C55-0401-48F6-A390-0FCBE184AA67}" name="2027" dataDxfId="112"/>
    <tableColumn id="5" xr3:uid="{E22018ED-D516-4B66-8A42-CF506050D051}" name="2028" dataDxfId="111"/>
    <tableColumn id="6" xr3:uid="{0D337ACC-ACD8-4D10-B1BC-16469C4A2887}" name="2029" dataDxfId="110"/>
    <tableColumn id="7" xr3:uid="{4569668B-3C08-4570-8491-F782EB545487}" name="2030" dataDxfId="109"/>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A703409-DE9E-4D6E-9855-DD2D6D16DA5E}" name="Table1028" displayName="Table1028" ref="Y2:AE9" totalsRowShown="0" headerRowDxfId="108" dataDxfId="107" tableBorderDxfId="106" headerRowCellStyle="Percent">
  <autoFilter ref="Y2:AE9" xr:uid="{EA703409-DE9E-4D6E-9855-DD2D6D16DA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B6D01FC-E359-410A-A239-95FE63BE4E64}" name="Particulars" dataDxfId="105"/>
    <tableColumn id="2" xr3:uid="{46F87D2F-7DAA-4D83-8F19-FEBC6ADA7528}" name="2025" dataDxfId="104" dataCellStyle="Comma"/>
    <tableColumn id="3" xr3:uid="{5B8D805A-0C02-4E3A-916C-D0A11258D24B}" name="2026" dataDxfId="103" dataCellStyle="Comma"/>
    <tableColumn id="4" xr3:uid="{5CE56804-94D5-433B-8D19-2DE706BECFA8}" name="2027" dataDxfId="102" dataCellStyle="Comma"/>
    <tableColumn id="5" xr3:uid="{AFD52FF8-9A39-4CD7-8AA1-24B98ACB1FFC}" name="2028" dataDxfId="101" dataCellStyle="Comma"/>
    <tableColumn id="6" xr3:uid="{0C281397-1789-403F-8822-4C9F2983B984}" name="2029" dataDxfId="100" dataCellStyle="Comma"/>
    <tableColumn id="7" xr3:uid="{2550426B-C261-4364-8A06-3B75B4A3020A}" name="2030" dataDxfId="99" dataCellStyle="Comma"/>
  </tableColumns>
  <tableStyleInfo name="TableStyleMedium1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6A3C288-0A40-4C0D-A9DE-AE8C8CEA22E8}" name="Table81429" displayName="Table81429" ref="Y12:Z22" totalsRowShown="0" headerRowDxfId="98" dataDxfId="97" tableBorderDxfId="96">
  <autoFilter ref="Y12:Z22" xr:uid="{B6A3C288-0A40-4C0D-A9DE-AE8C8CEA22E8}">
    <filterColumn colId="0" hiddenButton="1"/>
    <filterColumn colId="1" hiddenButton="1"/>
  </autoFilter>
  <tableColumns count="2">
    <tableColumn id="1" xr3:uid="{725B000E-5861-458F-9C11-6ED7B5C3D57A}" name="Metrics" dataDxfId="95"/>
    <tableColumn id="2" xr3:uid="{E43BB22F-77FC-43B2-9827-178F21FE423C}" name="Value" dataDxfId="94"/>
  </tableColumns>
  <tableStyleInfo name="TableStyleMedium1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BBB5EF2-1561-4536-B684-B033439FC249}" name="Table82630" displayName="Table82630" ref="AG12:AH22" totalsRowShown="0" headerRowDxfId="93" dataDxfId="92">
  <autoFilter ref="AG12:AH22" xr:uid="{BBBB5EF2-1561-4536-B684-B033439FC249}">
    <filterColumn colId="0" hiddenButton="1"/>
    <filterColumn colId="1" hiddenButton="1"/>
  </autoFilter>
  <tableColumns count="2">
    <tableColumn id="1" xr3:uid="{0CEFE341-29FF-463B-A410-98DC8401ADF1}" name="Metrics" dataDxfId="91"/>
    <tableColumn id="2" xr3:uid="{5130E72E-0807-4E1B-A34A-5B1C01F1774A}" name="Value" dataDxfId="90"/>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C3AEC38-0FB0-4D35-A48B-2DEA71AD6D05}" name="Table92731" displayName="Table92731" ref="AG2:AM9" totalsRowShown="0" headerRowDxfId="89" dataDxfId="88" headerRowCellStyle="Percent">
  <autoFilter ref="AG2:AM9" xr:uid="{3C3AEC38-0FB0-4D35-A48B-2DEA71AD6D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12D983F-F2D8-49A7-B0A5-7674C1CCFD07}" name="Particulars" dataDxfId="87"/>
    <tableColumn id="2" xr3:uid="{3D2B49CE-9086-4907-B344-85FCBD41FE7A}" name="2025" dataDxfId="86"/>
    <tableColumn id="3" xr3:uid="{CBD260B6-3010-45D5-989A-B6C8D9A77BEE}" name="2026" dataDxfId="85"/>
    <tableColumn id="4" xr3:uid="{D40DB91F-9D00-4470-AF6C-4A285B771CDB}" name="2027" dataDxfId="84"/>
    <tableColumn id="5" xr3:uid="{F4A1C639-CEFC-49CA-AC55-893DB370B1E6}" name="2028" dataDxfId="83"/>
    <tableColumn id="6" xr3:uid="{40F76042-73FC-4BBD-8957-6B2BE8901172}" name="2029" dataDxfId="82"/>
    <tableColumn id="7" xr3:uid="{0E0AB27D-949E-4657-82C1-C371D47CBF96}" name="2030" dataDxfId="81"/>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9AA8791-A4F9-448C-A7FF-B4E5FE0C5349}" name="Table21" displayName="Table21" ref="A22:E27" totalsRowShown="0" headerRowDxfId="80" dataDxfId="79" tableBorderDxfId="78">
  <autoFilter ref="A22:E27" xr:uid="{69AA8791-A4F9-448C-A7FF-B4E5FE0C5349}">
    <filterColumn colId="0" hiddenButton="1"/>
    <filterColumn colId="1" hiddenButton="1"/>
    <filterColumn colId="2" hiddenButton="1"/>
    <filterColumn colId="3" hiddenButton="1"/>
    <filterColumn colId="4" hiddenButton="1"/>
  </autoFilter>
  <tableColumns count="5">
    <tableColumn id="1" xr3:uid="{2EFDB72B-CFB4-432C-B33B-EA3F9472203F}" name="Company" dataDxfId="77">
      <calculatedColumnFormula>H4</calculatedColumnFormula>
    </tableColumn>
    <tableColumn id="2" xr3:uid="{4C8EABB0-48DD-4387-B267-ABD278F4CF59}" name="EBITDA" dataDxfId="76"/>
    <tableColumn id="3" xr3:uid="{A21DE3AD-FA35-4E86-BFB5-44F3E096C8BC}" name="Net Income" dataDxfId="75"/>
    <tableColumn id="4" xr3:uid="{4D220CEF-1089-4D48-90B6-23AD28E77947}" name="Revenue" dataDxfId="74"/>
    <tableColumn id="5" xr3:uid="{040FD02D-4B4C-4050-A1A6-4831D839A2AE}" name="Book Value" dataDxfId="73"/>
  </tableColumns>
  <tableStyleInfo name="TableStyleDark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54B7FFA-9D2D-445F-AACF-F12C38440A65}" name="Table24" displayName="Table24" ref="H14:K19" totalsRowShown="0" headerRowDxfId="72" dataDxfId="71">
  <autoFilter ref="H14:K19" xr:uid="{054B7FFA-9D2D-445F-AACF-F12C38440A65}">
    <filterColumn colId="0" hiddenButton="1"/>
    <filterColumn colId="1" hiddenButton="1"/>
    <filterColumn colId="2" hiddenButton="1"/>
    <filterColumn colId="3" hiddenButton="1"/>
  </autoFilter>
  <tableColumns count="4">
    <tableColumn id="1" xr3:uid="{27B59188-47DB-4227-A6AD-FB3B6245A7EC}" name="Company" dataDxfId="70">
      <calculatedColumnFormula>H6</calculatedColumnFormula>
    </tableColumn>
    <tableColumn id="2" xr3:uid="{5B4EFDB9-47BC-46CF-9023-DB7564E300CA}" name="Target Price" dataDxfId="69">
      <calculatedColumnFormula>AVERAGE(I4:L4)</calculatedColumnFormula>
    </tableColumn>
    <tableColumn id="3" xr3:uid="{C738ED94-3CED-486A-956E-F668E8939EBE}" name="CMP" dataDxfId="68" dataCellStyle="Comma"/>
    <tableColumn id="4" xr3:uid="{CF53D257-E038-4D6D-AFEF-07B5E64794B0}" name="U/D" dataDxfId="67" dataCellStyle="Percent">
      <calculatedColumnFormula>(Table24[[#This Row],[Target Price]]-J15)/J15</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1.xml"/><Relationship Id="rId3" Type="http://schemas.openxmlformats.org/officeDocument/2006/relationships/table" Target="../tables/table26.xml"/><Relationship Id="rId7" Type="http://schemas.openxmlformats.org/officeDocument/2006/relationships/table" Target="../tables/table30.xml"/><Relationship Id="rId2" Type="http://schemas.openxmlformats.org/officeDocument/2006/relationships/table" Target="../tables/table25.xml"/><Relationship Id="rId1" Type="http://schemas.openxmlformats.org/officeDocument/2006/relationships/table" Target="../tables/table24.xml"/><Relationship Id="rId6" Type="http://schemas.openxmlformats.org/officeDocument/2006/relationships/table" Target="../tables/table29.xml"/><Relationship Id="rId5" Type="http://schemas.openxmlformats.org/officeDocument/2006/relationships/table" Target="../tables/table2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O5" sqref="O5"/>
    </sheetView>
  </sheetViews>
  <sheetFormatPr defaultRowHeight="14.4" x14ac:dyDescent="0.3"/>
  <cols>
    <col min="1" max="1" width="16.44140625" bestFit="1" customWidth="1"/>
    <col min="2" max="2" width="31.109375" style="3" bestFit="1" customWidth="1"/>
    <col min="3" max="3" width="25.44140625" style="3" bestFit="1" customWidth="1"/>
    <col min="4" max="4" width="23.77734375" bestFit="1" customWidth="1"/>
    <col min="5" max="5" width="28.33203125" bestFit="1" customWidth="1"/>
    <col min="6" max="6" width="16.5546875" bestFit="1" customWidth="1"/>
  </cols>
  <sheetData>
    <row r="1" spans="1:6" s="1" customFormat="1" ht="43.2" x14ac:dyDescent="0.3">
      <c r="A1" s="15" t="s">
        <v>0</v>
      </c>
      <c r="B1" s="16" t="e" vm="1">
        <v>#VALUE!</v>
      </c>
      <c r="C1" s="16" t="e" vm="2">
        <v>#VALUE!</v>
      </c>
      <c r="D1" s="81" t="e" vm="3">
        <v>#VALUE!</v>
      </c>
      <c r="E1" s="81" t="e" vm="4">
        <v>#VALUE!</v>
      </c>
      <c r="F1" s="82" t="e" vm="5">
        <v>#VALUE!</v>
      </c>
    </row>
    <row r="2" spans="1:6" x14ac:dyDescent="0.3">
      <c r="A2" s="13" t="s">
        <v>1</v>
      </c>
      <c r="B2" s="14" t="str" cm="1">
        <f t="array" aca="1" ref="B2" ca="1">_FV(B1,"Official name",TRUE)</f>
        <v>THE PROCTER &amp; GAMBLE COMPANY</v>
      </c>
      <c r="C2" s="14" t="str" cm="1">
        <f t="array" aca="1" ref="C2" ca="1">_FV(C1,"Official name",TRUE)</f>
        <v>PEPSICO, INC.</v>
      </c>
      <c r="D2" s="14" t="str" cm="1">
        <f t="array" aca="1" ref="D2" ca="1">_FV(D1,"Official name",TRUE)</f>
        <v>THE COCA-COLA COMPANY</v>
      </c>
      <c r="E2" s="14" t="str" cm="1">
        <f t="array" aca="1" ref="E2" ca="1">_FV(E1,"Official name",TRUE)</f>
        <v>COLGATE-PALMOLIVE COMPANY</v>
      </c>
      <c r="F2" s="14" t="str" cm="1">
        <f t="array" aca="1" ref="F2" ca="1">_FV(F1,"Official name",TRUE)</f>
        <v>WALMART INC.</v>
      </c>
    </row>
    <row r="3" spans="1:6" x14ac:dyDescent="0.3">
      <c r="A3" s="4" t="s">
        <v>2</v>
      </c>
      <c r="B3" s="5" cm="1">
        <f t="array" aca="1" ref="B3" ca="1">_FV(B1,"Price")</f>
        <v>147.35</v>
      </c>
      <c r="C3" s="5" cm="1">
        <f t="array" aca="1" ref="C3" ca="1">_FV(C1,"Price")</f>
        <v>147.815</v>
      </c>
      <c r="D3" s="5" cm="1">
        <f t="array" aca="1" ref="D3" ca="1">_FV(D1,"Price")</f>
        <v>71.400000000000006</v>
      </c>
      <c r="E3" s="5" cm="1">
        <f t="array" aca="1" ref="E3" ca="1">_FV(E1,"Price")</f>
        <v>78.89</v>
      </c>
      <c r="F3" s="5" cm="1">
        <f t="array" aca="1" ref="F3" ca="1">_FV(F1,"Price")</f>
        <v>100.515</v>
      </c>
    </row>
    <row r="4" spans="1:6" x14ac:dyDescent="0.3">
      <c r="A4" s="4" t="s">
        <v>3</v>
      </c>
      <c r="B4" s="6" cm="1">
        <f t="array" aca="1" ref="B4" ca="1">_FV(B1,"Change (%)",TRUE)</f>
        <v>2.4490000000000002E-3</v>
      </c>
      <c r="C4" s="6" cm="1">
        <f t="array" aca="1" ref="C4" ca="1">_FV(C1,"Change (%)",TRUE)</f>
        <v>-6.4190000000000002E-3</v>
      </c>
      <c r="D4" s="6" cm="1">
        <f t="array" aca="1" ref="D4" ca="1">_FV(D1,"Change (%)",TRUE)</f>
        <v>2.5269999999999997E-3</v>
      </c>
      <c r="E4" s="6" cm="1">
        <f t="array" aca="1" ref="E4" ca="1">_FV(E1,"Change (%)",TRUE)</f>
        <v>-5.5459999999999997E-3</v>
      </c>
      <c r="F4" s="6" cm="1">
        <f t="array" aca="1" ref="F4" ca="1">_FV(F1,"Change (%)",TRUE)</f>
        <v>-8.6300000000000005E-3</v>
      </c>
    </row>
    <row r="5" spans="1:6" x14ac:dyDescent="0.3">
      <c r="A5" s="4" t="s">
        <v>4</v>
      </c>
      <c r="B5" s="7" cm="1">
        <f t="array" aca="1" ref="B5" ca="1">_FV(B1,"Shares outstanding",TRUE)</f>
        <v>2336734000</v>
      </c>
      <c r="C5" s="7" cm="1">
        <f t="array" aca="1" ref="C5" ca="1">_FV(C1,"Shares outstanding",TRUE)</f>
        <v>1367340000</v>
      </c>
      <c r="D5" s="7" cm="1">
        <f t="array" aca="1" ref="D5" ca="1">_FV(D1,"Shares outstanding",TRUE)</f>
        <v>4301609000</v>
      </c>
      <c r="E5" s="7" cm="1">
        <f t="array" aca="1" ref="E5" ca="1">_FV(E1,"Shares outstanding",TRUE)</f>
        <v>806064900</v>
      </c>
      <c r="F5" s="7" cm="1">
        <f t="array" aca="1" ref="F5" ca="1">_FV(F1,"Shares outstanding",TRUE)</f>
        <v>7972851000</v>
      </c>
    </row>
    <row r="6" spans="1:6" x14ac:dyDescent="0.3">
      <c r="A6" s="4" t="s">
        <v>5</v>
      </c>
      <c r="B6" s="8">
        <f ca="1">B5/1000000</f>
        <v>2336.7339999999999</v>
      </c>
      <c r="C6" s="8">
        <f ca="1">C5/1000000</f>
        <v>1367.34</v>
      </c>
      <c r="D6" s="8">
        <f t="shared" ref="D6:F6" ca="1" si="0">D5/1000000</f>
        <v>4301.6090000000004</v>
      </c>
      <c r="E6" s="8">
        <f t="shared" ca="1" si="0"/>
        <v>806.06489999999997</v>
      </c>
      <c r="F6" s="8">
        <f t="shared" ca="1" si="0"/>
        <v>7972.8509999999997</v>
      </c>
    </row>
    <row r="7" spans="1:6" x14ac:dyDescent="0.3">
      <c r="A7" s="4" t="s">
        <v>6</v>
      </c>
      <c r="B7" s="9" cm="1">
        <f t="array" aca="1" ref="B7" ca="1">_FV(B1,"Market cap",TRUE)</f>
        <v>344317754900</v>
      </c>
      <c r="C7" s="9" cm="1">
        <f t="array" aca="1" ref="C7" ca="1">_FV(C1,"Market cap",TRUE)</f>
        <v>202113362100</v>
      </c>
      <c r="D7" s="9" cm="1">
        <f t="array" aca="1" ref="D7" ca="1">_FV(D1,"Market cap",TRUE)</f>
        <v>307134882600</v>
      </c>
      <c r="E7" s="9" cm="1">
        <f t="array" aca="1" ref="E7" ca="1">_FV(E1,"Market cap",TRUE)</f>
        <v>63590459961</v>
      </c>
      <c r="F7" s="9" cm="1">
        <f t="array" aca="1" ref="F7" ca="1">_FV(F1,"Market cap",TRUE)</f>
        <v>801391118265</v>
      </c>
    </row>
    <row r="8" spans="1:6" x14ac:dyDescent="0.3">
      <c r="A8" s="4" t="s">
        <v>5</v>
      </c>
      <c r="B8" s="10">
        <f ca="1">B7/1000000</f>
        <v>344317.7549</v>
      </c>
      <c r="C8" s="10">
        <f ca="1">C7/1000000</f>
        <v>202113.3621</v>
      </c>
      <c r="D8" s="10">
        <f t="shared" ref="D8:F8" ca="1" si="1">D7/1000000</f>
        <v>307134.88260000001</v>
      </c>
      <c r="E8" s="10">
        <f t="shared" ca="1" si="1"/>
        <v>63590.459961</v>
      </c>
      <c r="F8" s="10">
        <f t="shared" ca="1" si="1"/>
        <v>801391.11826500006</v>
      </c>
    </row>
    <row r="9" spans="1:6" x14ac:dyDescent="0.3">
      <c r="A9" s="4" t="s">
        <v>7</v>
      </c>
      <c r="B9" s="11" cm="1">
        <f t="array" aca="1" ref="B9" ca="1">_FV(B1,"Beta")</f>
        <v>0.3851</v>
      </c>
      <c r="C9" s="11" cm="1">
        <f t="array" aca="1" ref="C9" ca="1">_FV(C1,"Beta")</f>
        <v>0.41299999999999998</v>
      </c>
      <c r="D9" s="11" cm="1">
        <f t="array" aca="1" ref="D9" ca="1">_FV(D1,"Beta")</f>
        <v>0.38529999999999998</v>
      </c>
      <c r="E9" s="11" cm="1">
        <f t="array" aca="1" ref="E9" ca="1">_FV(E1,"Beta")</f>
        <v>0.2863</v>
      </c>
      <c r="F9" s="11" cm="1">
        <f t="array" aca="1" ref="F9" ca="1">_FV(F1,"Beta")</f>
        <v>0.64510000000000001</v>
      </c>
    </row>
    <row r="10" spans="1:6" x14ac:dyDescent="0.3">
      <c r="A10" s="4" t="s">
        <v>8</v>
      </c>
      <c r="B10" s="11" cm="1">
        <f t="array" aca="1" ref="B10" ca="1">_FV(B1,"P/E",TRUE)</f>
        <v>21.51</v>
      </c>
      <c r="C10" s="11" cm="1">
        <f t="array" aca="1" ref="C10" ca="1">_FV(C1,"P/E",TRUE)</f>
        <v>28.107099999999999</v>
      </c>
      <c r="D10" s="11" cm="1">
        <f t="array" aca="1" ref="D10" ca="1">_FV(D1,"P/E",TRUE)</f>
        <v>23.636099999999999</v>
      </c>
      <c r="E10" s="11" cm="1">
        <f t="array" aca="1" ref="E10" ca="1">_FV(E1,"P/E",TRUE)</f>
        <v>22.107900000000001</v>
      </c>
      <c r="F10" s="11" cm="1">
        <f t="array" aca="1" ref="F10" ca="1">_FV(F1,"P/E",TRUE)</f>
        <v>37.921599999999998</v>
      </c>
    </row>
    <row r="11" spans="1:6" x14ac:dyDescent="0.3">
      <c r="A11" s="4" t="s">
        <v>9</v>
      </c>
      <c r="B11" s="12" cm="1">
        <f t="array" aca="1" ref="B11" ca="1">_FV(B1,"Year incorporated",TRUE)</f>
        <v>1905</v>
      </c>
      <c r="C11" s="12" cm="1">
        <f t="array" aca="1" ref="C11" ca="1">_FV(C1,"Year incorporated",TRUE)</f>
        <v>1986</v>
      </c>
      <c r="D11" s="12" cm="1">
        <f t="array" aca="1" ref="D11" ca="1">_FV(D1,"Year incorporated",TRUE)</f>
        <v>1919</v>
      </c>
      <c r="E11" s="12" cm="1">
        <f t="array" aca="1" ref="E11" ca="1">_FV(E1,"Year incorporated",TRUE)</f>
        <v>1923</v>
      </c>
      <c r="F11" s="12" cm="1">
        <f t="array" aca="1" ref="F11" ca="1">_FV(F1,"Year incorporated",TRUE)</f>
        <v>1969</v>
      </c>
    </row>
  </sheetData>
  <conditionalFormatting sqref="B4:F4">
    <cfRule type="cellIs" dxfId="66" priority="1" operator="greaterThan">
      <formula>0</formula>
    </cfRule>
    <cfRule type="cellIs" dxfId="65" priority="2"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DBCB8-69AC-4CE3-8633-FEEBADE31481}">
  <dimension ref="A1:AK40"/>
  <sheetViews>
    <sheetView topLeftCell="AF17" workbookViewId="0">
      <selection activeCell="AE37" sqref="AE37:AK40"/>
    </sheetView>
  </sheetViews>
  <sheetFormatPr defaultRowHeight="14.4" x14ac:dyDescent="0.3"/>
  <cols>
    <col min="1" max="1" width="29.88671875" style="17" bestFit="1" customWidth="1"/>
    <col min="2" max="6" width="9.88671875" style="17" bestFit="1" customWidth="1"/>
    <col min="7" max="7" width="8.88671875" style="17"/>
    <col min="8" max="8" width="29.88671875" style="17" bestFit="1" customWidth="1"/>
    <col min="9" max="13" width="9.88671875" style="17" bestFit="1" customWidth="1"/>
    <col min="14" max="14" width="8.88671875" style="17"/>
    <col min="15" max="15" width="29.88671875" style="17" bestFit="1" customWidth="1"/>
    <col min="16" max="19" width="9.88671875" style="20" bestFit="1" customWidth="1"/>
    <col min="20" max="20" width="11" style="20" bestFit="1" customWidth="1"/>
    <col min="21" max="21" width="11" style="20" customWidth="1"/>
    <col min="22" max="22" width="8.88671875" style="20"/>
    <col min="23" max="23" width="29.88671875" style="17" bestFit="1" customWidth="1"/>
    <col min="24" max="25" width="9.88671875" style="17" bestFit="1" customWidth="1"/>
    <col min="26" max="28" width="9.88671875" style="20" bestFit="1" customWidth="1"/>
    <col min="29" max="29" width="9.88671875" style="20" customWidth="1"/>
    <col min="30" max="30" width="12.6640625" style="20" bestFit="1" customWidth="1"/>
    <col min="31" max="31" width="29.88671875" style="20" bestFit="1" customWidth="1"/>
    <col min="32" max="32" width="10.88671875" style="20" bestFit="1" customWidth="1"/>
    <col min="33" max="37" width="10.88671875" style="17" bestFit="1" customWidth="1"/>
    <col min="38" max="16384" width="8.88671875" style="17"/>
  </cols>
  <sheetData>
    <row r="1" spans="1:36" x14ac:dyDescent="0.3">
      <c r="A1" s="21" t="s">
        <v>10</v>
      </c>
      <c r="F1" s="22" t="s">
        <v>39</v>
      </c>
      <c r="H1" s="21" t="s">
        <v>10</v>
      </c>
      <c r="M1" s="22" t="s">
        <v>40</v>
      </c>
      <c r="O1" s="21" t="s">
        <v>10</v>
      </c>
      <c r="P1" s="17"/>
      <c r="Q1" s="17"/>
      <c r="R1" s="17"/>
      <c r="S1" s="17"/>
      <c r="T1" s="22" t="s">
        <v>125</v>
      </c>
      <c r="U1" s="22"/>
      <c r="V1" s="17"/>
      <c r="W1" s="21" t="s">
        <v>10</v>
      </c>
      <c r="Z1" s="17"/>
      <c r="AA1" s="17"/>
      <c r="AB1" s="22" t="s">
        <v>126</v>
      </c>
      <c r="AC1" s="22"/>
      <c r="AE1" s="21" t="s">
        <v>10</v>
      </c>
      <c r="AF1" s="17"/>
      <c r="AJ1" s="22" t="s">
        <v>124</v>
      </c>
    </row>
    <row r="2" spans="1:36" x14ac:dyDescent="0.3">
      <c r="A2" s="17" t="s">
        <v>11</v>
      </c>
      <c r="B2" s="18" t="s">
        <v>34</v>
      </c>
      <c r="C2" s="18" t="s">
        <v>35</v>
      </c>
      <c r="D2" s="18" t="s">
        <v>36</v>
      </c>
      <c r="E2" s="18" t="s">
        <v>37</v>
      </c>
      <c r="F2" s="18" t="s">
        <v>38</v>
      </c>
      <c r="H2" s="17" t="s">
        <v>11</v>
      </c>
      <c r="I2" s="18" t="s">
        <v>34</v>
      </c>
      <c r="J2" s="18" t="s">
        <v>35</v>
      </c>
      <c r="K2" s="18" t="s">
        <v>36</v>
      </c>
      <c r="L2" s="18" t="s">
        <v>37</v>
      </c>
      <c r="M2" s="18" t="s">
        <v>38</v>
      </c>
      <c r="O2" s="17" t="s">
        <v>11</v>
      </c>
      <c r="P2" s="18" t="s">
        <v>34</v>
      </c>
      <c r="Q2" s="18" t="s">
        <v>35</v>
      </c>
      <c r="R2" s="18" t="s">
        <v>36</v>
      </c>
      <c r="S2" s="18" t="s">
        <v>37</v>
      </c>
      <c r="T2" s="18" t="s">
        <v>38</v>
      </c>
      <c r="U2" s="18"/>
      <c r="V2" s="17"/>
      <c r="W2" s="17" t="s">
        <v>11</v>
      </c>
      <c r="X2" s="18" t="s">
        <v>34</v>
      </c>
      <c r="Y2" s="18" t="s">
        <v>35</v>
      </c>
      <c r="Z2" s="18" t="s">
        <v>36</v>
      </c>
      <c r="AA2" s="18" t="s">
        <v>37</v>
      </c>
      <c r="AB2" s="18" t="s">
        <v>38</v>
      </c>
      <c r="AC2" s="18"/>
      <c r="AE2" s="17" t="s">
        <v>11</v>
      </c>
      <c r="AF2" s="18" t="s">
        <v>34</v>
      </c>
      <c r="AG2" s="18" t="s">
        <v>35</v>
      </c>
      <c r="AH2" s="18" t="s">
        <v>36</v>
      </c>
      <c r="AI2" s="18" t="s">
        <v>37</v>
      </c>
      <c r="AJ2" s="18" t="s">
        <v>38</v>
      </c>
    </row>
    <row r="3" spans="1:36" x14ac:dyDescent="0.3">
      <c r="A3" s="17" t="s">
        <v>12</v>
      </c>
      <c r="B3" s="19">
        <v>70950</v>
      </c>
      <c r="C3" s="19">
        <v>76118</v>
      </c>
      <c r="D3" s="19">
        <v>80187</v>
      </c>
      <c r="E3" s="19">
        <v>82006</v>
      </c>
      <c r="F3" s="19">
        <v>84039</v>
      </c>
      <c r="H3" s="17" t="s">
        <v>12</v>
      </c>
      <c r="I3" s="19">
        <v>70372</v>
      </c>
      <c r="J3" s="19">
        <v>79474</v>
      </c>
      <c r="K3" s="19">
        <v>86392</v>
      </c>
      <c r="L3" s="19">
        <v>91471</v>
      </c>
      <c r="M3" s="19">
        <v>91854</v>
      </c>
      <c r="O3" s="17" t="s">
        <v>12</v>
      </c>
      <c r="P3" s="19">
        <v>33014</v>
      </c>
      <c r="Q3" s="19">
        <v>38655</v>
      </c>
      <c r="R3" s="19">
        <v>43004</v>
      </c>
      <c r="S3" s="19">
        <v>45754</v>
      </c>
      <c r="T3" s="19">
        <v>47061</v>
      </c>
      <c r="U3" s="19"/>
      <c r="V3" s="17"/>
      <c r="W3" s="17" t="s">
        <v>12</v>
      </c>
      <c r="X3" s="19">
        <v>16471</v>
      </c>
      <c r="Y3" s="19">
        <v>17421</v>
      </c>
      <c r="Z3" s="19">
        <v>17967</v>
      </c>
      <c r="AA3" s="19">
        <v>19457</v>
      </c>
      <c r="AB3" s="19">
        <v>20101</v>
      </c>
      <c r="AC3" s="19"/>
      <c r="AE3" s="17" t="s">
        <v>12</v>
      </c>
      <c r="AF3" s="19">
        <v>559151</v>
      </c>
      <c r="AG3" s="19">
        <v>572754</v>
      </c>
      <c r="AH3" s="19">
        <v>611289</v>
      </c>
      <c r="AI3" s="19">
        <v>648125</v>
      </c>
      <c r="AJ3" s="19">
        <v>680985</v>
      </c>
    </row>
    <row r="4" spans="1:36" x14ac:dyDescent="0.3">
      <c r="A4" s="17" t="s">
        <v>13</v>
      </c>
      <c r="B4" s="19">
        <v>35250</v>
      </c>
      <c r="C4" s="19">
        <v>37108</v>
      </c>
      <c r="D4" s="19">
        <v>42157</v>
      </c>
      <c r="E4" s="19">
        <v>42760</v>
      </c>
      <c r="F4" s="19">
        <v>40848</v>
      </c>
      <c r="H4" s="17" t="s">
        <v>13</v>
      </c>
      <c r="I4" s="19">
        <v>31797</v>
      </c>
      <c r="J4" s="19">
        <v>37075</v>
      </c>
      <c r="K4" s="19">
        <v>40576</v>
      </c>
      <c r="L4" s="19">
        <v>41881</v>
      </c>
      <c r="M4" s="19">
        <v>41744</v>
      </c>
      <c r="O4" s="17" t="s">
        <v>13</v>
      </c>
      <c r="P4" s="19">
        <v>13433</v>
      </c>
      <c r="Q4" s="19">
        <v>15357</v>
      </c>
      <c r="R4" s="19">
        <v>18000</v>
      </c>
      <c r="S4" s="19">
        <v>18520</v>
      </c>
      <c r="T4" s="19">
        <v>18324</v>
      </c>
      <c r="U4" s="19"/>
      <c r="V4" s="17"/>
      <c r="W4" s="17" t="s">
        <v>13</v>
      </c>
      <c r="X4" s="19">
        <v>6454</v>
      </c>
      <c r="Y4" s="19">
        <v>7046</v>
      </c>
      <c r="Z4" s="19">
        <v>7719</v>
      </c>
      <c r="AA4" s="19">
        <v>8131</v>
      </c>
      <c r="AB4" s="19">
        <v>7940</v>
      </c>
      <c r="AC4" s="19"/>
      <c r="AE4" s="17" t="s">
        <v>13</v>
      </c>
      <c r="AF4" s="19">
        <v>420315</v>
      </c>
      <c r="AG4" s="19">
        <v>429000</v>
      </c>
      <c r="AH4" s="19">
        <v>463721</v>
      </c>
      <c r="AI4" s="19">
        <v>490142</v>
      </c>
      <c r="AJ4" s="19">
        <v>511753</v>
      </c>
    </row>
    <row r="5" spans="1:36" x14ac:dyDescent="0.3">
      <c r="A5" s="17" t="s">
        <v>41</v>
      </c>
      <c r="B5" s="19">
        <f>19994+0</f>
        <v>19994</v>
      </c>
      <c r="C5" s="19">
        <v>21024</v>
      </c>
      <c r="D5" s="19">
        <v>20217</v>
      </c>
      <c r="E5" s="19">
        <v>21112</v>
      </c>
      <c r="F5" s="19">
        <f>23305+1341</f>
        <v>24646</v>
      </c>
      <c r="H5" s="17" t="s">
        <v>41</v>
      </c>
      <c r="I5" s="19">
        <v>28495</v>
      </c>
      <c r="J5" s="19">
        <v>31237</v>
      </c>
      <c r="K5" s="19">
        <f>34459-3321+3166</f>
        <v>34304</v>
      </c>
      <c r="L5" s="19">
        <f>36677+927</f>
        <v>37604</v>
      </c>
      <c r="M5" s="19">
        <f>37190+33</f>
        <v>37223</v>
      </c>
      <c r="O5" s="17" t="s">
        <v>41</v>
      </c>
      <c r="P5" s="19">
        <f>9731+853-370-978-841</f>
        <v>8395</v>
      </c>
      <c r="Q5" s="19">
        <f>12144+846-276-1438-2000</f>
        <v>9276</v>
      </c>
      <c r="R5" s="19">
        <f>12880+1215-449-1472+262</f>
        <v>12436</v>
      </c>
      <c r="S5" s="19">
        <f>13972+1951-907-1691-570</f>
        <v>12755</v>
      </c>
      <c r="T5" s="19">
        <f>14582+4163-988-1770-1992</f>
        <v>13995</v>
      </c>
      <c r="U5" s="19"/>
      <c r="V5" s="17"/>
      <c r="W5" s="17" t="s">
        <v>41</v>
      </c>
      <c r="X5" s="19">
        <f>6019+113+74</f>
        <v>6206</v>
      </c>
      <c r="Y5" s="19">
        <f>6407+65+571+70</f>
        <v>7113</v>
      </c>
      <c r="Z5" s="19">
        <f>6565+69+721+80</f>
        <v>7435</v>
      </c>
      <c r="AA5" s="19">
        <f>7151+191+360+55</f>
        <v>7757</v>
      </c>
      <c r="AB5" s="19">
        <f>7729+164+87+67</f>
        <v>8047</v>
      </c>
      <c r="AC5" s="19"/>
      <c r="AE5" s="17" t="s">
        <v>41</v>
      </c>
      <c r="AF5" s="19">
        <v>116078</v>
      </c>
      <c r="AG5" s="19">
        <f>117812+3000+2410</f>
        <v>123222</v>
      </c>
      <c r="AH5" s="19">
        <f>127140+1538</f>
        <v>128678</v>
      </c>
      <c r="AI5" s="19">
        <f>130971+3027</f>
        <v>133998</v>
      </c>
      <c r="AJ5" s="19">
        <f>139884+794</f>
        <v>140678</v>
      </c>
    </row>
    <row r="6" spans="1:36" s="21" customFormat="1" x14ac:dyDescent="0.3">
      <c r="A6" s="21" t="s">
        <v>14</v>
      </c>
      <c r="B6" s="23">
        <f>B3-B4-B5</f>
        <v>15706</v>
      </c>
      <c r="C6" s="23">
        <f t="shared" ref="C6:F6" si="0">C3-C4-C5</f>
        <v>17986</v>
      </c>
      <c r="D6" s="23">
        <f t="shared" si="0"/>
        <v>17813</v>
      </c>
      <c r="E6" s="23">
        <f t="shared" si="0"/>
        <v>18134</v>
      </c>
      <c r="F6" s="23">
        <f t="shared" si="0"/>
        <v>18545</v>
      </c>
      <c r="H6" s="21" t="s">
        <v>14</v>
      </c>
      <c r="I6" s="23">
        <f>I3-I4-I5</f>
        <v>10080</v>
      </c>
      <c r="J6" s="23">
        <f t="shared" ref="J6:M6" si="1">J3-J4-J5</f>
        <v>11162</v>
      </c>
      <c r="K6" s="23">
        <f t="shared" si="1"/>
        <v>11512</v>
      </c>
      <c r="L6" s="23">
        <f t="shared" si="1"/>
        <v>11986</v>
      </c>
      <c r="M6" s="23">
        <f t="shared" si="1"/>
        <v>12887</v>
      </c>
      <c r="O6" s="21" t="s">
        <v>14</v>
      </c>
      <c r="P6" s="23">
        <f>P3-P4-P5</f>
        <v>11186</v>
      </c>
      <c r="Q6" s="23">
        <f t="shared" ref="Q6:T6" si="2">Q3-Q4-Q5</f>
        <v>14022</v>
      </c>
      <c r="R6" s="23">
        <f t="shared" si="2"/>
        <v>12568</v>
      </c>
      <c r="S6" s="23">
        <f t="shared" si="2"/>
        <v>14479</v>
      </c>
      <c r="T6" s="23">
        <f t="shared" si="2"/>
        <v>14742</v>
      </c>
      <c r="U6" s="23"/>
      <c r="W6" s="21" t="s">
        <v>14</v>
      </c>
      <c r="X6" s="23">
        <f>X3-X4-X5</f>
        <v>3811</v>
      </c>
      <c r="Y6" s="23">
        <f t="shared" ref="Y6:AB6" si="3">Y3-Y4-Y5</f>
        <v>3262</v>
      </c>
      <c r="Z6" s="23">
        <f t="shared" si="3"/>
        <v>2813</v>
      </c>
      <c r="AA6" s="23">
        <f t="shared" si="3"/>
        <v>3569</v>
      </c>
      <c r="AB6" s="23">
        <f t="shared" si="3"/>
        <v>4114</v>
      </c>
      <c r="AC6" s="23"/>
      <c r="AE6" s="21" t="s">
        <v>14</v>
      </c>
      <c r="AF6" s="23">
        <f>AF3-AF4-AF5</f>
        <v>22758</v>
      </c>
      <c r="AG6" s="23">
        <f t="shared" ref="AG6:AJ6" si="4">AG3-AG4-AG5</f>
        <v>20532</v>
      </c>
      <c r="AH6" s="23">
        <f t="shared" si="4"/>
        <v>18890</v>
      </c>
      <c r="AI6" s="23">
        <f t="shared" si="4"/>
        <v>23985</v>
      </c>
      <c r="AJ6" s="23">
        <f t="shared" si="4"/>
        <v>28554</v>
      </c>
    </row>
    <row r="7" spans="1:36" x14ac:dyDescent="0.3">
      <c r="A7" s="17" t="s">
        <v>15</v>
      </c>
      <c r="B7" s="19">
        <v>3013</v>
      </c>
      <c r="C7" s="19">
        <v>2735</v>
      </c>
      <c r="D7" s="19">
        <v>2807</v>
      </c>
      <c r="E7" s="19">
        <v>2714</v>
      </c>
      <c r="F7" s="19">
        <v>2896</v>
      </c>
      <c r="H7" s="17" t="s">
        <v>15</v>
      </c>
      <c r="I7" s="19">
        <v>2548</v>
      </c>
      <c r="J7" s="19">
        <v>2710</v>
      </c>
      <c r="K7" s="19">
        <v>2763</v>
      </c>
      <c r="L7" s="19">
        <v>2948</v>
      </c>
      <c r="M7" s="19">
        <v>3160</v>
      </c>
      <c r="O7" s="17" t="s">
        <v>15</v>
      </c>
      <c r="P7" s="19">
        <v>1536</v>
      </c>
      <c r="Q7" s="19">
        <v>1452</v>
      </c>
      <c r="R7" s="19">
        <v>1260</v>
      </c>
      <c r="S7" s="19">
        <v>1128</v>
      </c>
      <c r="T7" s="19">
        <v>1075</v>
      </c>
      <c r="U7" s="19"/>
      <c r="V7" s="17"/>
      <c r="W7" s="17" t="s">
        <v>15</v>
      </c>
      <c r="X7" s="19">
        <v>539</v>
      </c>
      <c r="Y7" s="19">
        <v>556</v>
      </c>
      <c r="Z7" s="19">
        <v>545</v>
      </c>
      <c r="AA7" s="19">
        <v>567</v>
      </c>
      <c r="AB7" s="19">
        <v>605</v>
      </c>
      <c r="AC7" s="19"/>
      <c r="AE7" s="17" t="s">
        <v>15</v>
      </c>
      <c r="AF7" s="19">
        <v>11152</v>
      </c>
      <c r="AG7" s="19">
        <v>10658</v>
      </c>
      <c r="AH7" s="19">
        <v>10945</v>
      </c>
      <c r="AI7" s="19">
        <v>11853</v>
      </c>
      <c r="AJ7" s="19">
        <v>12973</v>
      </c>
    </row>
    <row r="8" spans="1:36" x14ac:dyDescent="0.3">
      <c r="A8" s="17" t="s">
        <v>16</v>
      </c>
      <c r="B8" s="19">
        <v>465</v>
      </c>
      <c r="C8" s="19">
        <v>502</v>
      </c>
      <c r="D8" s="19">
        <v>439</v>
      </c>
      <c r="E8" s="19">
        <v>756</v>
      </c>
      <c r="F8" s="19">
        <v>925</v>
      </c>
      <c r="H8" s="17" t="s">
        <v>16</v>
      </c>
      <c r="I8" s="19">
        <v>1128</v>
      </c>
      <c r="J8" s="19">
        <v>1863</v>
      </c>
      <c r="K8" s="19">
        <v>939</v>
      </c>
      <c r="L8" s="19">
        <v>819</v>
      </c>
      <c r="M8" s="19">
        <v>919</v>
      </c>
      <c r="O8" s="17" t="s">
        <v>16</v>
      </c>
      <c r="P8" s="19">
        <v>1437</v>
      </c>
      <c r="Q8" s="19">
        <v>1597</v>
      </c>
      <c r="R8" s="19">
        <v>882</v>
      </c>
      <c r="S8" s="19">
        <v>1527</v>
      </c>
      <c r="T8" s="19">
        <v>1656</v>
      </c>
      <c r="U8" s="19"/>
      <c r="V8" s="17"/>
      <c r="W8" s="17" t="s">
        <v>16</v>
      </c>
      <c r="X8" s="19">
        <v>164</v>
      </c>
      <c r="Y8" s="19">
        <v>175</v>
      </c>
      <c r="Z8" s="19">
        <v>153</v>
      </c>
      <c r="AA8" s="19">
        <v>287</v>
      </c>
      <c r="AB8" s="19">
        <v>292</v>
      </c>
      <c r="AC8" s="19"/>
      <c r="AE8" s="17" t="s">
        <v>16</v>
      </c>
      <c r="AF8" s="19">
        <v>2194</v>
      </c>
      <c r="AG8" s="19">
        <v>1836</v>
      </c>
      <c r="AH8" s="19">
        <v>1874</v>
      </c>
      <c r="AI8" s="19">
        <v>2137</v>
      </c>
      <c r="AJ8" s="19">
        <v>2245</v>
      </c>
    </row>
    <row r="9" spans="1:36" s="21" customFormat="1" x14ac:dyDescent="0.3">
      <c r="A9" s="17" t="s">
        <v>17</v>
      </c>
      <c r="B9" s="19">
        <v>2731</v>
      </c>
      <c r="C9" s="19">
        <v>3263</v>
      </c>
      <c r="D9" s="19">
        <v>3202</v>
      </c>
      <c r="E9" s="19">
        <v>3615</v>
      </c>
      <c r="F9" s="19">
        <v>3787</v>
      </c>
      <c r="H9" s="17" t="s">
        <v>17</v>
      </c>
      <c r="I9" s="19">
        <v>1894</v>
      </c>
      <c r="J9" s="19">
        <v>2142</v>
      </c>
      <c r="K9" s="19">
        <v>1727</v>
      </c>
      <c r="L9" s="19">
        <v>2262</v>
      </c>
      <c r="M9" s="19">
        <v>2320</v>
      </c>
      <c r="O9" s="17" t="s">
        <v>17</v>
      </c>
      <c r="P9" s="19">
        <v>1981</v>
      </c>
      <c r="Q9" s="19">
        <v>2621</v>
      </c>
      <c r="R9" s="19">
        <v>2115</v>
      </c>
      <c r="S9" s="19">
        <v>2249</v>
      </c>
      <c r="T9" s="19">
        <v>2437</v>
      </c>
      <c r="U9" s="19"/>
      <c r="W9" s="17" t="s">
        <v>17</v>
      </c>
      <c r="X9" s="19">
        <v>787</v>
      </c>
      <c r="Y9" s="19">
        <v>749</v>
      </c>
      <c r="Z9" s="19">
        <v>693</v>
      </c>
      <c r="AA9" s="19">
        <v>937</v>
      </c>
      <c r="AB9" s="19">
        <v>907</v>
      </c>
      <c r="AC9" s="19"/>
      <c r="AE9" s="17" t="s">
        <v>17</v>
      </c>
      <c r="AF9" s="19">
        <v>6858</v>
      </c>
      <c r="AG9" s="19">
        <v>4756</v>
      </c>
      <c r="AH9" s="19">
        <v>5724</v>
      </c>
      <c r="AI9" s="19">
        <v>5578</v>
      </c>
      <c r="AJ9" s="19">
        <v>6152</v>
      </c>
    </row>
    <row r="10" spans="1:36" s="21" customFormat="1" x14ac:dyDescent="0.3">
      <c r="A10" s="21" t="s">
        <v>18</v>
      </c>
      <c r="B10" s="23">
        <f>B6-B7-B8-B9</f>
        <v>9497</v>
      </c>
      <c r="C10" s="23">
        <f t="shared" ref="C10:F10" si="5">C6-C7-C8-C9</f>
        <v>11486</v>
      </c>
      <c r="D10" s="23">
        <f t="shared" si="5"/>
        <v>11365</v>
      </c>
      <c r="E10" s="23">
        <f t="shared" si="5"/>
        <v>11049</v>
      </c>
      <c r="F10" s="23">
        <f t="shared" si="5"/>
        <v>10937</v>
      </c>
      <c r="H10" s="21" t="s">
        <v>18</v>
      </c>
      <c r="I10" s="23">
        <f>I6-I7-I8-I9</f>
        <v>4510</v>
      </c>
      <c r="J10" s="23">
        <f t="shared" ref="J10:M10" si="6">J6-J7-J8-J9</f>
        <v>4447</v>
      </c>
      <c r="K10" s="23">
        <f t="shared" si="6"/>
        <v>6083</v>
      </c>
      <c r="L10" s="23">
        <f t="shared" si="6"/>
        <v>5957</v>
      </c>
      <c r="M10" s="23">
        <f t="shared" si="6"/>
        <v>6488</v>
      </c>
      <c r="O10" s="21" t="s">
        <v>18</v>
      </c>
      <c r="P10" s="23">
        <f>P6-P7-P8-P9</f>
        <v>6232</v>
      </c>
      <c r="Q10" s="23">
        <f t="shared" ref="Q10:T10" si="7">Q6-Q7-Q8-Q9</f>
        <v>8352</v>
      </c>
      <c r="R10" s="23">
        <f t="shared" si="7"/>
        <v>8311</v>
      </c>
      <c r="S10" s="23">
        <f t="shared" si="7"/>
        <v>9575</v>
      </c>
      <c r="T10" s="23">
        <f t="shared" si="7"/>
        <v>9574</v>
      </c>
      <c r="U10" s="23"/>
      <c r="W10" s="21" t="s">
        <v>18</v>
      </c>
      <c r="X10" s="23">
        <f>X6-X7-X8-X9</f>
        <v>2321</v>
      </c>
      <c r="Y10" s="23">
        <f t="shared" ref="Y10:AB10" si="8">Y6-Y7-Y8-Y9</f>
        <v>1782</v>
      </c>
      <c r="Z10" s="23">
        <f t="shared" si="8"/>
        <v>1422</v>
      </c>
      <c r="AA10" s="23">
        <f t="shared" si="8"/>
        <v>1778</v>
      </c>
      <c r="AB10" s="23">
        <f t="shared" si="8"/>
        <v>2310</v>
      </c>
      <c r="AC10" s="23"/>
      <c r="AE10" s="21" t="s">
        <v>18</v>
      </c>
      <c r="AF10" s="23">
        <f>AF6-AF7-AF8-AF9</f>
        <v>2554</v>
      </c>
      <c r="AG10" s="23">
        <f t="shared" ref="AG10:AJ10" si="9">AG6-AG7-AG8-AG9</f>
        <v>3282</v>
      </c>
      <c r="AH10" s="23">
        <f t="shared" si="9"/>
        <v>347</v>
      </c>
      <c r="AI10" s="23">
        <f t="shared" si="9"/>
        <v>4417</v>
      </c>
      <c r="AJ10" s="23">
        <f t="shared" si="9"/>
        <v>7184</v>
      </c>
    </row>
    <row r="11" spans="1:36" x14ac:dyDescent="0.3">
      <c r="P11" s="17"/>
      <c r="Q11" s="17"/>
      <c r="R11" s="17"/>
      <c r="S11" s="17"/>
      <c r="T11" s="17"/>
      <c r="U11" s="17"/>
      <c r="V11" s="17"/>
      <c r="Z11" s="17"/>
      <c r="AA11" s="17"/>
      <c r="AB11" s="17"/>
      <c r="AC11" s="17"/>
      <c r="AE11" s="17"/>
      <c r="AF11" s="17"/>
    </row>
    <row r="12" spans="1:36" x14ac:dyDescent="0.3">
      <c r="A12" s="21" t="s">
        <v>19</v>
      </c>
      <c r="H12" s="21" t="s">
        <v>19</v>
      </c>
      <c r="O12" s="21" t="s">
        <v>19</v>
      </c>
      <c r="P12" s="17"/>
      <c r="Q12" s="17"/>
      <c r="R12" s="17"/>
      <c r="S12" s="17"/>
      <c r="T12" s="17"/>
      <c r="U12" s="17"/>
      <c r="V12" s="17"/>
      <c r="W12" s="21" t="s">
        <v>19</v>
      </c>
      <c r="Z12" s="17"/>
      <c r="AA12" s="17"/>
      <c r="AB12" s="17"/>
      <c r="AC12" s="17"/>
      <c r="AE12" s="21" t="s">
        <v>19</v>
      </c>
      <c r="AF12" s="17"/>
    </row>
    <row r="13" spans="1:36" x14ac:dyDescent="0.3">
      <c r="A13" s="17" t="s">
        <v>11</v>
      </c>
      <c r="B13" s="18" t="s">
        <v>34</v>
      </c>
      <c r="C13" s="18" t="s">
        <v>35</v>
      </c>
      <c r="D13" s="18" t="s">
        <v>36</v>
      </c>
      <c r="E13" s="18" t="s">
        <v>37</v>
      </c>
      <c r="F13" s="18" t="s">
        <v>38</v>
      </c>
      <c r="H13" s="17" t="s">
        <v>11</v>
      </c>
      <c r="I13" s="18" t="s">
        <v>34</v>
      </c>
      <c r="J13" s="18" t="s">
        <v>35</v>
      </c>
      <c r="K13" s="18" t="s">
        <v>36</v>
      </c>
      <c r="L13" s="18" t="s">
        <v>37</v>
      </c>
      <c r="M13" s="18" t="s">
        <v>38</v>
      </c>
      <c r="O13" s="17" t="s">
        <v>11</v>
      </c>
      <c r="P13" s="18" t="s">
        <v>34</v>
      </c>
      <c r="Q13" s="18" t="s">
        <v>35</v>
      </c>
      <c r="R13" s="18" t="s">
        <v>36</v>
      </c>
      <c r="S13" s="18" t="s">
        <v>37</v>
      </c>
      <c r="T13" s="18" t="s">
        <v>38</v>
      </c>
      <c r="U13" s="18"/>
      <c r="V13" s="17"/>
      <c r="W13" s="17" t="s">
        <v>11</v>
      </c>
      <c r="X13" s="18" t="s">
        <v>34</v>
      </c>
      <c r="Y13" s="18" t="s">
        <v>35</v>
      </c>
      <c r="Z13" s="18" t="s">
        <v>36</v>
      </c>
      <c r="AA13" s="18" t="s">
        <v>37</v>
      </c>
      <c r="AB13" s="18" t="s">
        <v>38</v>
      </c>
      <c r="AC13" s="18"/>
      <c r="AE13" s="17" t="s">
        <v>11</v>
      </c>
      <c r="AF13" s="18" t="s">
        <v>34</v>
      </c>
      <c r="AG13" s="18" t="s">
        <v>35</v>
      </c>
      <c r="AH13" s="18" t="s">
        <v>36</v>
      </c>
      <c r="AI13" s="18" t="s">
        <v>37</v>
      </c>
      <c r="AJ13" s="18" t="s">
        <v>38</v>
      </c>
    </row>
    <row r="14" spans="1:36" x14ac:dyDescent="0.3">
      <c r="A14" s="17" t="s">
        <v>20</v>
      </c>
      <c r="B14" s="19">
        <v>16181</v>
      </c>
      <c r="C14" s="19">
        <v>10288</v>
      </c>
      <c r="D14" s="19">
        <v>7214</v>
      </c>
      <c r="E14" s="19">
        <v>8246</v>
      </c>
      <c r="F14" s="19">
        <v>9482</v>
      </c>
      <c r="H14" s="17" t="s">
        <v>20</v>
      </c>
      <c r="I14" s="19">
        <v>8185</v>
      </c>
      <c r="J14" s="19">
        <v>5596</v>
      </c>
      <c r="K14" s="19">
        <v>4954</v>
      </c>
      <c r="L14" s="19">
        <v>9711</v>
      </c>
      <c r="M14" s="19">
        <v>8505</v>
      </c>
      <c r="O14" s="17" t="s">
        <v>20</v>
      </c>
      <c r="P14" s="19">
        <v>6795</v>
      </c>
      <c r="Q14" s="19">
        <v>9684</v>
      </c>
      <c r="R14" s="19">
        <v>9519</v>
      </c>
      <c r="S14" s="19">
        <v>9366</v>
      </c>
      <c r="T14" s="19">
        <v>10828</v>
      </c>
      <c r="U14" s="19"/>
      <c r="V14" s="17"/>
      <c r="W14" s="17" t="s">
        <v>20</v>
      </c>
      <c r="X14" s="19">
        <v>888</v>
      </c>
      <c r="Y14" s="19">
        <v>832</v>
      </c>
      <c r="Z14" s="19">
        <v>775</v>
      </c>
      <c r="AA14" s="19">
        <v>966</v>
      </c>
      <c r="AB14" s="19">
        <v>1096</v>
      </c>
      <c r="AC14" s="19"/>
      <c r="AE14" s="17" t="s">
        <v>20</v>
      </c>
      <c r="AF14" s="19">
        <v>17741</v>
      </c>
      <c r="AG14" s="19">
        <v>14760</v>
      </c>
      <c r="AH14" s="19">
        <v>8625</v>
      </c>
      <c r="AI14" s="19">
        <v>9867</v>
      </c>
      <c r="AJ14" s="19">
        <v>9037</v>
      </c>
    </row>
    <row r="15" spans="1:36" s="21" customFormat="1" x14ac:dyDescent="0.3">
      <c r="A15" s="21" t="s">
        <v>21</v>
      </c>
      <c r="B15" s="23">
        <v>4178</v>
      </c>
      <c r="C15" s="23">
        <v>4725</v>
      </c>
      <c r="D15" s="23">
        <v>5143</v>
      </c>
      <c r="E15" s="23">
        <v>5471</v>
      </c>
      <c r="F15" s="23">
        <v>6118</v>
      </c>
      <c r="H15" s="21" t="s">
        <v>21</v>
      </c>
      <c r="I15" s="23">
        <v>8404</v>
      </c>
      <c r="J15" s="23">
        <v>8680</v>
      </c>
      <c r="K15" s="23">
        <v>10163</v>
      </c>
      <c r="L15" s="23">
        <v>10815</v>
      </c>
      <c r="M15" s="23">
        <v>10333</v>
      </c>
      <c r="O15" s="21" t="s">
        <v>127</v>
      </c>
      <c r="P15" s="23">
        <v>87296</v>
      </c>
      <c r="Q15" s="23">
        <v>94354</v>
      </c>
      <c r="R15" s="23">
        <v>92763</v>
      </c>
      <c r="S15" s="23">
        <v>97703</v>
      </c>
      <c r="T15" s="23">
        <v>100549</v>
      </c>
      <c r="U15" s="23"/>
      <c r="W15" s="21" t="s">
        <v>127</v>
      </c>
      <c r="X15" s="23">
        <f>15920</f>
        <v>15920</v>
      </c>
      <c r="Y15" s="23">
        <v>15040</v>
      </c>
      <c r="Z15" s="23">
        <v>15731</v>
      </c>
      <c r="AA15" s="23">
        <v>16393</v>
      </c>
      <c r="AB15" s="23">
        <v>16046</v>
      </c>
      <c r="AC15" s="23"/>
      <c r="AD15" s="70"/>
      <c r="AE15" s="21" t="s">
        <v>127</v>
      </c>
      <c r="AF15" s="23">
        <v>252496</v>
      </c>
      <c r="AG15" s="23">
        <v>244860</v>
      </c>
      <c r="AH15" s="23">
        <v>243197</v>
      </c>
      <c r="AI15" s="23">
        <v>252399</v>
      </c>
      <c r="AJ15" s="23">
        <v>260823</v>
      </c>
    </row>
    <row r="16" spans="1:36" x14ac:dyDescent="0.3">
      <c r="A16" s="17" t="s">
        <v>22</v>
      </c>
      <c r="B16" s="19">
        <v>5498</v>
      </c>
      <c r="C16" s="19">
        <v>5983</v>
      </c>
      <c r="D16" s="19">
        <v>6924</v>
      </c>
      <c r="E16" s="19">
        <v>7073</v>
      </c>
      <c r="F16" s="19">
        <v>7016</v>
      </c>
      <c r="H16" s="17" t="s">
        <v>22</v>
      </c>
      <c r="I16" s="19">
        <v>4172</v>
      </c>
      <c r="J16" s="19">
        <v>4347</v>
      </c>
      <c r="K16" s="19">
        <v>5222</v>
      </c>
      <c r="L16" s="19">
        <v>5334</v>
      </c>
      <c r="M16" s="19">
        <v>5306</v>
      </c>
      <c r="O16" s="17" t="s">
        <v>22</v>
      </c>
      <c r="P16" s="19">
        <v>3266</v>
      </c>
      <c r="Q16" s="19">
        <v>3414</v>
      </c>
      <c r="R16" s="19">
        <v>4233</v>
      </c>
      <c r="S16" s="19">
        <v>4424</v>
      </c>
      <c r="T16" s="19">
        <v>4728</v>
      </c>
      <c r="U16" s="19"/>
      <c r="V16" s="17"/>
      <c r="W16" s="17" t="s">
        <v>22</v>
      </c>
      <c r="X16" s="19">
        <v>1673</v>
      </c>
      <c r="Y16" s="19">
        <v>1692</v>
      </c>
      <c r="Z16" s="19">
        <v>2074</v>
      </c>
      <c r="AA16" s="19">
        <v>1934</v>
      </c>
      <c r="AB16" s="19">
        <v>1987</v>
      </c>
      <c r="AC16" s="19"/>
      <c r="AE16" s="17" t="s">
        <v>22</v>
      </c>
      <c r="AF16" s="19">
        <v>44949</v>
      </c>
      <c r="AG16" s="19">
        <v>56511</v>
      </c>
      <c r="AH16" s="19">
        <v>56576</v>
      </c>
      <c r="AI16" s="19">
        <v>54892</v>
      </c>
      <c r="AJ16" s="19">
        <v>56435</v>
      </c>
    </row>
    <row r="17" spans="1:37" s="21" customFormat="1" x14ac:dyDescent="0.3">
      <c r="A17" s="21" t="s">
        <v>23</v>
      </c>
      <c r="B17" s="23">
        <v>27987</v>
      </c>
      <c r="C17" s="23">
        <v>23091</v>
      </c>
      <c r="D17" s="23">
        <v>21653</v>
      </c>
      <c r="E17" s="23">
        <v>22648</v>
      </c>
      <c r="F17" s="23">
        <v>24709</v>
      </c>
      <c r="H17" s="21" t="s">
        <v>23</v>
      </c>
      <c r="I17" s="23">
        <v>23001</v>
      </c>
      <c r="J17" s="23">
        <v>21783</v>
      </c>
      <c r="K17" s="23">
        <v>21539</v>
      </c>
      <c r="L17" s="23">
        <v>26950</v>
      </c>
      <c r="M17" s="23">
        <v>25826</v>
      </c>
      <c r="O17" s="21" t="s">
        <v>23</v>
      </c>
      <c r="P17" s="23">
        <v>19240</v>
      </c>
      <c r="Q17" s="23">
        <v>22545</v>
      </c>
      <c r="R17" s="23">
        <v>22591</v>
      </c>
      <c r="S17" s="23">
        <v>26732</v>
      </c>
      <c r="T17" s="23">
        <v>25997</v>
      </c>
      <c r="U17" s="23"/>
      <c r="W17" s="21" t="s">
        <v>23</v>
      </c>
      <c r="X17" s="23">
        <v>4338</v>
      </c>
      <c r="Y17" s="23">
        <v>4397</v>
      </c>
      <c r="Z17" s="23">
        <v>5113</v>
      </c>
      <c r="AA17" s="23">
        <v>5279</v>
      </c>
      <c r="AB17" s="23">
        <v>5317</v>
      </c>
      <c r="AC17" s="23"/>
      <c r="AE17" s="21" t="s">
        <v>23</v>
      </c>
      <c r="AF17" s="23">
        <v>90067</v>
      </c>
      <c r="AG17" s="23">
        <v>81070</v>
      </c>
      <c r="AH17" s="23">
        <v>75655</v>
      </c>
      <c r="AI17" s="23">
        <v>76877</v>
      </c>
      <c r="AJ17" s="23">
        <v>79458</v>
      </c>
    </row>
    <row r="18" spans="1:37" x14ac:dyDescent="0.3">
      <c r="A18" s="17" t="s">
        <v>24</v>
      </c>
      <c r="B18" s="19">
        <v>20692</v>
      </c>
      <c r="C18" s="19">
        <v>21686</v>
      </c>
      <c r="D18" s="19">
        <v>21195</v>
      </c>
      <c r="E18" s="19">
        <v>21909</v>
      </c>
      <c r="F18" s="19">
        <v>22152</v>
      </c>
      <c r="H18" s="17" t="s">
        <v>24</v>
      </c>
      <c r="I18" s="19">
        <v>21369</v>
      </c>
      <c r="J18" s="19">
        <v>22407</v>
      </c>
      <c r="K18" s="19">
        <v>24291</v>
      </c>
      <c r="L18" s="19">
        <v>27039</v>
      </c>
      <c r="M18" s="19">
        <v>28008</v>
      </c>
      <c r="O18" s="17" t="s">
        <v>24</v>
      </c>
      <c r="P18" s="19">
        <v>10777</v>
      </c>
      <c r="Q18" s="19">
        <v>9920</v>
      </c>
      <c r="R18" s="19">
        <v>9841</v>
      </c>
      <c r="S18" s="19">
        <v>9236</v>
      </c>
      <c r="T18" s="19">
        <v>10303</v>
      </c>
      <c r="U18" s="19"/>
      <c r="V18" s="17"/>
      <c r="W18" s="17" t="s">
        <v>24</v>
      </c>
      <c r="X18" s="19">
        <v>3716</v>
      </c>
      <c r="Y18" s="19">
        <v>3730</v>
      </c>
      <c r="Z18" s="19">
        <v>4307</v>
      </c>
      <c r="AA18" s="19">
        <v>4582</v>
      </c>
      <c r="AB18" s="19">
        <v>4422</v>
      </c>
      <c r="AC18" s="19"/>
      <c r="AE18" s="17" t="s">
        <v>24</v>
      </c>
      <c r="AF18" s="19">
        <v>92201</v>
      </c>
      <c r="AG18" s="19">
        <v>84515</v>
      </c>
      <c r="AH18" s="19">
        <v>100760</v>
      </c>
      <c r="AI18" s="19">
        <v>110810</v>
      </c>
      <c r="AJ18" s="19">
        <v>119993</v>
      </c>
    </row>
    <row r="19" spans="1:37" x14ac:dyDescent="0.3">
      <c r="A19" s="17" t="s">
        <v>25</v>
      </c>
      <c r="B19" s="19">
        <v>12071</v>
      </c>
      <c r="C19" s="19">
        <v>13720</v>
      </c>
      <c r="D19" s="19">
        <v>14882</v>
      </c>
      <c r="E19" s="19">
        <v>14598</v>
      </c>
      <c r="F19" s="19">
        <v>15364</v>
      </c>
      <c r="H19" s="17" t="s">
        <v>25</v>
      </c>
      <c r="I19" s="19">
        <v>19592</v>
      </c>
      <c r="J19" s="19">
        <v>21159</v>
      </c>
      <c r="K19" s="19">
        <v>23371</v>
      </c>
      <c r="L19" s="19">
        <v>25137</v>
      </c>
      <c r="M19" s="19">
        <v>24454</v>
      </c>
      <c r="O19" s="17" t="s">
        <v>25</v>
      </c>
      <c r="P19" s="19">
        <v>11145</v>
      </c>
      <c r="Q19" s="19">
        <v>14619</v>
      </c>
      <c r="R19" s="19">
        <v>15749</v>
      </c>
      <c r="S19" s="19">
        <v>15485</v>
      </c>
      <c r="T19" s="19">
        <v>21715</v>
      </c>
      <c r="U19" s="19"/>
      <c r="V19" s="17"/>
      <c r="W19" s="17" t="s">
        <v>25</v>
      </c>
      <c r="X19" s="19">
        <v>1393</v>
      </c>
      <c r="Y19" s="19">
        <v>1479</v>
      </c>
      <c r="Z19" s="19">
        <v>1551</v>
      </c>
      <c r="AA19" s="19">
        <v>1698</v>
      </c>
      <c r="AB19" s="19">
        <v>1805</v>
      </c>
      <c r="AC19" s="19"/>
      <c r="AE19" s="17" t="s">
        <v>25</v>
      </c>
      <c r="AF19" s="19">
        <v>49141</v>
      </c>
      <c r="AG19" s="19">
        <v>55261</v>
      </c>
      <c r="AH19" s="19">
        <v>53742</v>
      </c>
      <c r="AI19" s="19">
        <v>56812</v>
      </c>
      <c r="AJ19" s="19">
        <v>58666</v>
      </c>
    </row>
    <row r="20" spans="1:37" s="21" customFormat="1" x14ac:dyDescent="0.3">
      <c r="A20" s="21" t="s">
        <v>26</v>
      </c>
      <c r="B20" s="23">
        <v>32976</v>
      </c>
      <c r="C20" s="23">
        <v>33132</v>
      </c>
      <c r="D20" s="23">
        <v>33081</v>
      </c>
      <c r="E20" s="23">
        <v>35756</v>
      </c>
      <c r="F20" s="23">
        <v>33627</v>
      </c>
      <c r="H20" s="21" t="s">
        <v>26</v>
      </c>
      <c r="I20" s="23">
        <v>23372</v>
      </c>
      <c r="J20" s="23">
        <v>26220</v>
      </c>
      <c r="K20" s="23">
        <v>26785</v>
      </c>
      <c r="L20" s="23">
        <v>31647</v>
      </c>
      <c r="M20" s="23">
        <v>31536</v>
      </c>
      <c r="O20" s="21" t="s">
        <v>26</v>
      </c>
      <c r="P20" s="23">
        <v>14601</v>
      </c>
      <c r="Q20" s="23">
        <v>19950</v>
      </c>
      <c r="R20" s="23">
        <v>19724</v>
      </c>
      <c r="S20" s="23">
        <v>23571</v>
      </c>
      <c r="T20" s="23">
        <v>25249</v>
      </c>
      <c r="U20" s="23"/>
      <c r="W20" s="21" t="s">
        <v>26</v>
      </c>
      <c r="X20" s="23">
        <v>4404</v>
      </c>
      <c r="Y20" s="23">
        <v>4051</v>
      </c>
      <c r="Z20" s="23">
        <v>4004</v>
      </c>
      <c r="AA20" s="23">
        <v>4741</v>
      </c>
      <c r="AB20" s="23">
        <v>5759</v>
      </c>
      <c r="AC20" s="23"/>
      <c r="AE20" s="21" t="s">
        <v>26</v>
      </c>
      <c r="AF20" s="23">
        <v>92645</v>
      </c>
      <c r="AG20" s="23">
        <v>87379</v>
      </c>
      <c r="AH20" s="23">
        <v>92198</v>
      </c>
      <c r="AI20" s="23">
        <v>92415</v>
      </c>
      <c r="AJ20" s="23">
        <v>96584</v>
      </c>
    </row>
    <row r="21" spans="1:37" x14ac:dyDescent="0.3">
      <c r="A21" s="17" t="s">
        <v>27</v>
      </c>
      <c r="B21" s="19">
        <f>11183+22537</f>
        <v>33720</v>
      </c>
      <c r="C21" s="19">
        <f>8889+23099</f>
        <v>31988</v>
      </c>
      <c r="D21" s="19">
        <f>8645+22848</f>
        <v>31493</v>
      </c>
      <c r="E21" s="19">
        <f>10229+24378</f>
        <v>34607</v>
      </c>
      <c r="F21" s="19">
        <f>7191+25269</f>
        <v>32460</v>
      </c>
      <c r="H21" s="17" t="s">
        <v>27</v>
      </c>
      <c r="I21" s="19">
        <f>3780+40370</f>
        <v>44150</v>
      </c>
      <c r="J21" s="19">
        <f>4308+36026</f>
        <v>40334</v>
      </c>
      <c r="K21" s="19">
        <f>3414+35657</f>
        <v>39071</v>
      </c>
      <c r="L21" s="19">
        <f>6510+37595</f>
        <v>44105</v>
      </c>
      <c r="M21" s="19">
        <f>7082+37224</f>
        <v>44306</v>
      </c>
      <c r="O21" s="17" t="s">
        <v>27</v>
      </c>
      <c r="P21" s="19">
        <f>2183+485+40125</f>
        <v>42793</v>
      </c>
      <c r="Q21" s="19">
        <f>3307+1338+38116</f>
        <v>42761</v>
      </c>
      <c r="R21" s="19">
        <f>2373+399+36377</f>
        <v>39149</v>
      </c>
      <c r="S21" s="19">
        <f>4557+1960+35547</f>
        <v>42064</v>
      </c>
      <c r="T21" s="19">
        <f>1499+648+42375</f>
        <v>44522</v>
      </c>
      <c r="U21" s="19"/>
      <c r="V21" s="17"/>
      <c r="W21" s="17" t="s">
        <v>27</v>
      </c>
      <c r="X21" s="19">
        <f>258+9+7334</f>
        <v>7601</v>
      </c>
      <c r="Y21" s="19">
        <f>39+12+7194</f>
        <v>7245</v>
      </c>
      <c r="Z21" s="19">
        <f>11+14+8741</f>
        <v>8766</v>
      </c>
      <c r="AA21" s="19">
        <f>330+8219</f>
        <v>8549</v>
      </c>
      <c r="AB21" s="19">
        <f>660+7289</f>
        <v>7949</v>
      </c>
      <c r="AC21" s="19"/>
      <c r="AE21" s="17" t="s">
        <v>27</v>
      </c>
      <c r="AF21" s="19">
        <f>3115+491+41194+12909+3847+1466+224</f>
        <v>63246</v>
      </c>
      <c r="AG21" s="19">
        <f>2803+1483+511+34864+13009+4243+410</f>
        <v>57323</v>
      </c>
      <c r="AH21" s="19">
        <f>4191+1473+567+34649+12828+4843+372</f>
        <v>58923</v>
      </c>
      <c r="AI21" s="19">
        <f>878+3447+1487+725+36132+12943+5709</f>
        <v>61321</v>
      </c>
      <c r="AJ21" s="19">
        <f>3068+2598+1499+800+33401+12825+5923</f>
        <v>60114</v>
      </c>
    </row>
    <row r="22" spans="1:37" x14ac:dyDescent="0.3">
      <c r="A22" s="17" t="s">
        <v>28</v>
      </c>
      <c r="B22" s="19">
        <v>46878</v>
      </c>
      <c r="C22" s="19">
        <v>46654</v>
      </c>
      <c r="D22" s="19">
        <v>46854</v>
      </c>
      <c r="E22" s="19">
        <v>47065</v>
      </c>
      <c r="F22" s="19">
        <v>50559</v>
      </c>
      <c r="H22" s="17" t="s">
        <v>28</v>
      </c>
      <c r="I22" s="19">
        <v>13552</v>
      </c>
      <c r="J22" s="19">
        <v>16151</v>
      </c>
      <c r="K22" s="19">
        <v>17273</v>
      </c>
      <c r="L22" s="19">
        <v>18637</v>
      </c>
      <c r="M22" s="19">
        <v>18171</v>
      </c>
      <c r="O22" s="17" t="s">
        <v>28</v>
      </c>
      <c r="P22" s="19">
        <v>21284</v>
      </c>
      <c r="Q22" s="19">
        <v>24860</v>
      </c>
      <c r="R22" s="19">
        <v>25826</v>
      </c>
      <c r="S22" s="19">
        <v>27480</v>
      </c>
      <c r="T22" s="19">
        <v>26372</v>
      </c>
      <c r="U22" s="19"/>
      <c r="V22" s="17"/>
      <c r="W22" s="17" t="s">
        <v>28</v>
      </c>
      <c r="X22" s="19">
        <v>1101</v>
      </c>
      <c r="Y22" s="19">
        <v>971</v>
      </c>
      <c r="Z22" s="19">
        <v>806</v>
      </c>
      <c r="AA22" s="19">
        <v>957</v>
      </c>
      <c r="AB22" s="19">
        <v>544</v>
      </c>
      <c r="AC22" s="19"/>
      <c r="AE22" s="17" t="s">
        <v>28</v>
      </c>
      <c r="AF22" s="19">
        <v>87531</v>
      </c>
      <c r="AG22" s="19">
        <v>91891</v>
      </c>
      <c r="AH22" s="19">
        <v>83754</v>
      </c>
      <c r="AI22" s="19">
        <v>90349</v>
      </c>
      <c r="AJ22" s="19">
        <v>97421</v>
      </c>
    </row>
    <row r="23" spans="1:37" x14ac:dyDescent="0.3">
      <c r="P23" s="17"/>
      <c r="Q23" s="17"/>
      <c r="R23" s="17"/>
      <c r="S23" s="17"/>
      <c r="T23" s="17"/>
      <c r="U23" s="17"/>
      <c r="V23" s="17"/>
      <c r="Z23" s="17"/>
      <c r="AA23" s="17"/>
      <c r="AB23" s="17"/>
      <c r="AC23" s="17"/>
      <c r="AE23" s="17"/>
      <c r="AF23" s="17"/>
    </row>
    <row r="24" spans="1:37" x14ac:dyDescent="0.3">
      <c r="A24" s="21" t="s">
        <v>29</v>
      </c>
      <c r="H24" s="21" t="s">
        <v>29</v>
      </c>
      <c r="O24" s="21" t="s">
        <v>29</v>
      </c>
      <c r="P24" s="17"/>
      <c r="Q24" s="17"/>
      <c r="R24" s="17"/>
      <c r="S24" s="17"/>
      <c r="T24" s="17"/>
      <c r="U24" s="17"/>
      <c r="V24" s="17"/>
      <c r="W24" s="21" t="s">
        <v>29</v>
      </c>
      <c r="Z24" s="17"/>
      <c r="AA24" s="17"/>
      <c r="AB24" s="17"/>
      <c r="AC24" s="17"/>
      <c r="AE24" s="21" t="s">
        <v>29</v>
      </c>
      <c r="AF24" s="17"/>
    </row>
    <row r="25" spans="1:37" x14ac:dyDescent="0.3">
      <c r="A25" s="17" t="s">
        <v>11</v>
      </c>
      <c r="B25" s="18" t="s">
        <v>34</v>
      </c>
      <c r="C25" s="18" t="s">
        <v>35</v>
      </c>
      <c r="D25" s="18" t="s">
        <v>36</v>
      </c>
      <c r="E25" s="18" t="s">
        <v>37</v>
      </c>
      <c r="F25" s="18" t="s">
        <v>38</v>
      </c>
      <c r="H25" s="17" t="s">
        <v>11</v>
      </c>
      <c r="I25" s="18" t="s">
        <v>34</v>
      </c>
      <c r="J25" s="18" t="s">
        <v>35</v>
      </c>
      <c r="K25" s="18" t="s">
        <v>36</v>
      </c>
      <c r="L25" s="18" t="s">
        <v>37</v>
      </c>
      <c r="M25" s="18" t="s">
        <v>38</v>
      </c>
      <c r="O25" s="17" t="s">
        <v>11</v>
      </c>
      <c r="P25" s="18" t="s">
        <v>34</v>
      </c>
      <c r="Q25" s="18" t="s">
        <v>35</v>
      </c>
      <c r="R25" s="18" t="s">
        <v>36</v>
      </c>
      <c r="S25" s="18" t="s">
        <v>37</v>
      </c>
      <c r="T25" s="18" t="s">
        <v>38</v>
      </c>
      <c r="U25" s="18"/>
      <c r="V25" s="17"/>
      <c r="W25" s="17" t="s">
        <v>11</v>
      </c>
      <c r="X25" s="18" t="s">
        <v>34</v>
      </c>
      <c r="Y25" s="18" t="s">
        <v>35</v>
      </c>
      <c r="Z25" s="18" t="s">
        <v>36</v>
      </c>
      <c r="AA25" s="18" t="s">
        <v>37</v>
      </c>
      <c r="AB25" s="18" t="s">
        <v>38</v>
      </c>
      <c r="AC25" s="18"/>
      <c r="AE25" s="17" t="s">
        <v>11</v>
      </c>
      <c r="AF25" s="18" t="s">
        <v>34</v>
      </c>
      <c r="AG25" s="18" t="s">
        <v>35</v>
      </c>
      <c r="AH25" s="18" t="s">
        <v>36</v>
      </c>
      <c r="AI25" s="18" t="s">
        <v>37</v>
      </c>
      <c r="AJ25" s="18" t="s">
        <v>38</v>
      </c>
    </row>
    <row r="26" spans="1:37" x14ac:dyDescent="0.3">
      <c r="A26" s="17" t="s">
        <v>30</v>
      </c>
      <c r="B26" s="19">
        <v>17403</v>
      </c>
      <c r="C26" s="19">
        <v>17403</v>
      </c>
      <c r="D26" s="19">
        <v>18371</v>
      </c>
      <c r="E26" s="19">
        <v>16848</v>
      </c>
      <c r="F26" s="19">
        <v>19846</v>
      </c>
      <c r="H26" s="17" t="s">
        <v>30</v>
      </c>
      <c r="I26" s="19">
        <v>10613</v>
      </c>
      <c r="J26" s="19">
        <v>11616</v>
      </c>
      <c r="K26" s="19">
        <v>10811</v>
      </c>
      <c r="L26" s="19">
        <v>13442</v>
      </c>
      <c r="M26" s="19">
        <v>12507</v>
      </c>
      <c r="O26" s="17" t="s">
        <v>30</v>
      </c>
      <c r="P26" s="19">
        <v>9844</v>
      </c>
      <c r="Q26" s="19">
        <v>12625</v>
      </c>
      <c r="R26" s="19">
        <v>11018</v>
      </c>
      <c r="S26" s="19">
        <v>11599</v>
      </c>
      <c r="T26" s="19">
        <v>6805</v>
      </c>
      <c r="U26" s="19"/>
      <c r="V26" s="17"/>
      <c r="W26" s="17" t="s">
        <v>30</v>
      </c>
      <c r="X26" s="19">
        <f>3719</f>
        <v>3719</v>
      </c>
      <c r="Y26" s="19">
        <v>3325</v>
      </c>
      <c r="Z26" s="19">
        <v>2556</v>
      </c>
      <c r="AA26" s="19">
        <v>3745</v>
      </c>
      <c r="AB26" s="19">
        <v>4107</v>
      </c>
      <c r="AC26" s="19"/>
      <c r="AE26" s="17" t="s">
        <v>30</v>
      </c>
      <c r="AF26" s="19">
        <v>36074</v>
      </c>
      <c r="AG26" s="19">
        <v>24181</v>
      </c>
      <c r="AH26" s="19">
        <v>28841</v>
      </c>
      <c r="AI26" s="19">
        <v>35726</v>
      </c>
      <c r="AJ26" s="19">
        <v>36443</v>
      </c>
    </row>
    <row r="27" spans="1:37" x14ac:dyDescent="0.3">
      <c r="A27" s="17" t="s">
        <v>31</v>
      </c>
      <c r="B27" s="19">
        <v>3073</v>
      </c>
      <c r="C27" s="19">
        <v>2787</v>
      </c>
      <c r="D27" s="19">
        <v>3156</v>
      </c>
      <c r="E27" s="19">
        <v>3062</v>
      </c>
      <c r="F27" s="19">
        <v>3322</v>
      </c>
      <c r="H27" s="17" t="s">
        <v>31</v>
      </c>
      <c r="I27" s="19">
        <v>4240</v>
      </c>
      <c r="J27" s="19">
        <v>4625</v>
      </c>
      <c r="K27" s="19">
        <v>5207</v>
      </c>
      <c r="L27" s="19">
        <v>5518</v>
      </c>
      <c r="M27" s="19">
        <v>5318</v>
      </c>
      <c r="O27" s="17" t="s">
        <v>31</v>
      </c>
      <c r="P27" s="19">
        <v>1177</v>
      </c>
      <c r="Q27" s="19">
        <v>1367</v>
      </c>
      <c r="R27" s="19">
        <v>1484</v>
      </c>
      <c r="S27" s="19">
        <v>1852</v>
      </c>
      <c r="T27" s="19">
        <v>2064</v>
      </c>
      <c r="U27" s="19"/>
      <c r="V27" s="17"/>
      <c r="W27" s="17" t="s">
        <v>31</v>
      </c>
      <c r="X27" s="19">
        <v>410</v>
      </c>
      <c r="Y27" s="19">
        <v>567</v>
      </c>
      <c r="Z27" s="19">
        <v>696</v>
      </c>
      <c r="AA27" s="19">
        <v>705</v>
      </c>
      <c r="AB27" s="19">
        <v>561</v>
      </c>
      <c r="AC27" s="19"/>
      <c r="AE27" s="17" t="s">
        <v>31</v>
      </c>
      <c r="AF27" s="19">
        <v>10264</v>
      </c>
      <c r="AG27" s="19">
        <v>13106</v>
      </c>
      <c r="AH27" s="19">
        <v>16857</v>
      </c>
      <c r="AI27" s="19">
        <v>20606</v>
      </c>
      <c r="AJ27" s="19">
        <v>23783</v>
      </c>
    </row>
    <row r="28" spans="1:37" x14ac:dyDescent="0.3">
      <c r="A28" s="17" t="s">
        <v>32</v>
      </c>
      <c r="B28" s="19">
        <v>7789</v>
      </c>
      <c r="C28" s="19">
        <v>8263</v>
      </c>
      <c r="D28" s="19">
        <v>8770</v>
      </c>
      <c r="E28" s="19">
        <v>8999</v>
      </c>
      <c r="F28" s="19">
        <v>9312</v>
      </c>
      <c r="H28" s="17" t="s">
        <v>32</v>
      </c>
      <c r="I28" s="19">
        <v>5509</v>
      </c>
      <c r="J28" s="19">
        <v>5815</v>
      </c>
      <c r="K28" s="19">
        <v>6172</v>
      </c>
      <c r="L28" s="19">
        <v>6682</v>
      </c>
      <c r="M28" s="19">
        <v>7229</v>
      </c>
      <c r="O28" s="17" t="s">
        <v>32</v>
      </c>
      <c r="P28" s="19">
        <v>7047</v>
      </c>
      <c r="Q28" s="19">
        <v>7252</v>
      </c>
      <c r="R28" s="19">
        <v>7616</v>
      </c>
      <c r="S28" s="19">
        <v>7952</v>
      </c>
      <c r="T28" s="19">
        <v>8359</v>
      </c>
      <c r="U28" s="19"/>
      <c r="V28" s="17"/>
      <c r="W28" s="17" t="s">
        <v>32</v>
      </c>
      <c r="X28" s="19">
        <v>1654</v>
      </c>
      <c r="Y28" s="19">
        <v>1679</v>
      </c>
      <c r="Z28" s="19">
        <v>1691</v>
      </c>
      <c r="AA28" s="19">
        <v>1749</v>
      </c>
      <c r="AB28" s="19">
        <v>1789</v>
      </c>
      <c r="AC28" s="19"/>
      <c r="AE28" s="17" t="s">
        <v>32</v>
      </c>
      <c r="AF28" s="19">
        <v>6116</v>
      </c>
      <c r="AG28" s="19">
        <v>6152</v>
      </c>
      <c r="AH28" s="19">
        <v>6114</v>
      </c>
      <c r="AI28" s="19">
        <v>6140</v>
      </c>
      <c r="AJ28" s="19">
        <v>6688</v>
      </c>
    </row>
    <row r="29" spans="1:37" x14ac:dyDescent="0.3">
      <c r="A29" s="17" t="s">
        <v>33</v>
      </c>
      <c r="B29" s="19">
        <v>2447</v>
      </c>
      <c r="C29" s="19">
        <v>4987</v>
      </c>
      <c r="D29" s="19">
        <v>2343</v>
      </c>
      <c r="E29" s="19">
        <v>1878</v>
      </c>
      <c r="F29" s="19">
        <v>2335</v>
      </c>
      <c r="H29" s="17" t="s">
        <v>33</v>
      </c>
      <c r="I29" s="19">
        <f>1830+3554</f>
        <v>5384</v>
      </c>
      <c r="J29" s="19">
        <f>3455+397</f>
        <v>3852</v>
      </c>
      <c r="K29" s="19">
        <f>2458+1951</f>
        <v>4409</v>
      </c>
      <c r="L29" s="19">
        <f>3005+3106</f>
        <v>6111</v>
      </c>
      <c r="M29" s="19">
        <f>3886+5639</f>
        <v>9525</v>
      </c>
      <c r="O29" s="17" t="s">
        <v>33</v>
      </c>
      <c r="P29" s="19">
        <v>28796</v>
      </c>
      <c r="Q29" s="19">
        <v>12866</v>
      </c>
      <c r="R29" s="19">
        <v>4930</v>
      </c>
      <c r="S29" s="19">
        <v>5034</v>
      </c>
      <c r="T29" s="19">
        <v>9533</v>
      </c>
      <c r="U29" s="19"/>
      <c r="V29" s="17"/>
      <c r="W29" s="17" t="s">
        <v>33</v>
      </c>
      <c r="X29" s="19">
        <v>1061</v>
      </c>
      <c r="Y29" s="19">
        <f>171+703</f>
        <v>874</v>
      </c>
      <c r="Z29" s="19">
        <f>406</f>
        <v>406</v>
      </c>
      <c r="AA29" s="19">
        <f>906+903</f>
        <v>1809</v>
      </c>
      <c r="AB29" s="19">
        <v>503</v>
      </c>
      <c r="AC29" s="19"/>
      <c r="AE29" s="17" t="s">
        <v>33</v>
      </c>
      <c r="AF29" s="19">
        <v>5382</v>
      </c>
      <c r="AG29" s="19">
        <v>13010</v>
      </c>
      <c r="AH29" s="19">
        <v>2689</v>
      </c>
      <c r="AI29" s="19">
        <v>4217</v>
      </c>
      <c r="AJ29" s="19">
        <v>3468</v>
      </c>
    </row>
    <row r="32" spans="1:37" x14ac:dyDescent="0.3">
      <c r="O32" s="17" t="s">
        <v>11</v>
      </c>
      <c r="P32" s="20" t="s">
        <v>34</v>
      </c>
      <c r="Q32" s="20" t="s">
        <v>35</v>
      </c>
      <c r="R32" s="20" t="s">
        <v>36</v>
      </c>
      <c r="S32" s="20" t="s">
        <v>37</v>
      </c>
      <c r="T32" s="20" t="s">
        <v>38</v>
      </c>
      <c r="W32" s="17" t="s">
        <v>11</v>
      </c>
      <c r="X32" s="20" t="s">
        <v>34</v>
      </c>
      <c r="Y32" s="20" t="s">
        <v>35</v>
      </c>
      <c r="Z32" s="20" t="s">
        <v>36</v>
      </c>
      <c r="AA32" s="20" t="s">
        <v>37</v>
      </c>
      <c r="AB32" s="20" t="s">
        <v>38</v>
      </c>
      <c r="AE32" s="17" t="s">
        <v>11</v>
      </c>
      <c r="AF32" s="20" t="s">
        <v>34</v>
      </c>
      <c r="AG32" s="20" t="s">
        <v>35</v>
      </c>
      <c r="AH32" s="20" t="s">
        <v>36</v>
      </c>
      <c r="AI32" s="20" t="s">
        <v>37</v>
      </c>
      <c r="AJ32" s="20" t="s">
        <v>38</v>
      </c>
      <c r="AK32" s="20"/>
    </row>
    <row r="33" spans="15:37" x14ac:dyDescent="0.3">
      <c r="O33" s="17" t="s">
        <v>12</v>
      </c>
      <c r="P33" s="37">
        <f>P3</f>
        <v>33014</v>
      </c>
      <c r="Q33" s="37">
        <f t="shared" ref="Q33:T33" si="10">Q3</f>
        <v>38655</v>
      </c>
      <c r="R33" s="37">
        <f t="shared" si="10"/>
        <v>43004</v>
      </c>
      <c r="S33" s="37">
        <f t="shared" si="10"/>
        <v>45754</v>
      </c>
      <c r="T33" s="37">
        <f t="shared" si="10"/>
        <v>47061</v>
      </c>
      <c r="W33" s="17" t="s">
        <v>12</v>
      </c>
      <c r="X33" s="37">
        <f>X3</f>
        <v>16471</v>
      </c>
      <c r="Y33" s="37">
        <f t="shared" ref="Y33:AB33" si="11">Y3</f>
        <v>17421</v>
      </c>
      <c r="Z33" s="37">
        <f t="shared" si="11"/>
        <v>17967</v>
      </c>
      <c r="AA33" s="37">
        <f t="shared" si="11"/>
        <v>19457</v>
      </c>
      <c r="AB33" s="37">
        <f t="shared" si="11"/>
        <v>20101</v>
      </c>
      <c r="AE33" s="17" t="s">
        <v>12</v>
      </c>
      <c r="AF33" s="37">
        <f>AF3</f>
        <v>559151</v>
      </c>
      <c r="AG33" s="37">
        <f t="shared" ref="AG33:AJ33" si="12">AG3</f>
        <v>572754</v>
      </c>
      <c r="AH33" s="37">
        <f t="shared" si="12"/>
        <v>611289</v>
      </c>
      <c r="AI33" s="37">
        <f t="shared" si="12"/>
        <v>648125</v>
      </c>
      <c r="AJ33" s="37">
        <f t="shared" si="12"/>
        <v>680985</v>
      </c>
      <c r="AK33" s="20"/>
    </row>
    <row r="34" spans="15:37" x14ac:dyDescent="0.3">
      <c r="O34" s="17" t="s">
        <v>122</v>
      </c>
      <c r="P34" s="37">
        <f>P6</f>
        <v>11186</v>
      </c>
      <c r="Q34" s="37">
        <f t="shared" ref="Q34:T34" si="13">Q6</f>
        <v>14022</v>
      </c>
      <c r="R34" s="37">
        <f t="shared" si="13"/>
        <v>12568</v>
      </c>
      <c r="S34" s="37">
        <f t="shared" si="13"/>
        <v>14479</v>
      </c>
      <c r="T34" s="37">
        <f t="shared" si="13"/>
        <v>14742</v>
      </c>
      <c r="W34" s="17" t="s">
        <v>122</v>
      </c>
      <c r="X34" s="37">
        <f>X6</f>
        <v>3811</v>
      </c>
      <c r="Y34" s="37">
        <f t="shared" ref="Y34:AB34" si="14">Y6</f>
        <v>3262</v>
      </c>
      <c r="Z34" s="37">
        <f t="shared" si="14"/>
        <v>2813</v>
      </c>
      <c r="AA34" s="37">
        <f t="shared" si="14"/>
        <v>3569</v>
      </c>
      <c r="AB34" s="37">
        <f t="shared" si="14"/>
        <v>4114</v>
      </c>
      <c r="AE34" s="17" t="s">
        <v>122</v>
      </c>
      <c r="AF34" s="37">
        <f>AF6</f>
        <v>22758</v>
      </c>
      <c r="AG34" s="37">
        <f t="shared" ref="AG34:AJ34" si="15">AG6</f>
        <v>20532</v>
      </c>
      <c r="AH34" s="37">
        <f t="shared" si="15"/>
        <v>18890</v>
      </c>
      <c r="AI34" s="37">
        <f t="shared" si="15"/>
        <v>23985</v>
      </c>
      <c r="AJ34" s="37">
        <f t="shared" si="15"/>
        <v>28554</v>
      </c>
      <c r="AK34" s="20"/>
    </row>
    <row r="35" spans="15:37" x14ac:dyDescent="0.3">
      <c r="O35" s="17" t="s">
        <v>18</v>
      </c>
      <c r="P35" s="37">
        <f>P10</f>
        <v>6232</v>
      </c>
      <c r="Q35" s="37">
        <f t="shared" ref="Q35:T35" si="16">Q10</f>
        <v>8352</v>
      </c>
      <c r="R35" s="37">
        <f t="shared" si="16"/>
        <v>8311</v>
      </c>
      <c r="S35" s="37">
        <f t="shared" si="16"/>
        <v>9575</v>
      </c>
      <c r="T35" s="37">
        <f t="shared" si="16"/>
        <v>9574</v>
      </c>
      <c r="W35" s="17" t="s">
        <v>18</v>
      </c>
      <c r="X35" s="37">
        <f>X10</f>
        <v>2321</v>
      </c>
      <c r="Y35" s="37">
        <f t="shared" ref="Y35:AB35" si="17">Y10</f>
        <v>1782</v>
      </c>
      <c r="Z35" s="37">
        <f t="shared" si="17"/>
        <v>1422</v>
      </c>
      <c r="AA35" s="37">
        <f t="shared" si="17"/>
        <v>1778</v>
      </c>
      <c r="AB35" s="37">
        <f t="shared" si="17"/>
        <v>2310</v>
      </c>
      <c r="AE35" s="17" t="s">
        <v>18</v>
      </c>
      <c r="AF35" s="37">
        <f>AF10</f>
        <v>2554</v>
      </c>
      <c r="AG35" s="37">
        <f t="shared" ref="AG35:AJ35" si="18">AG10</f>
        <v>3282</v>
      </c>
      <c r="AH35" s="37">
        <f t="shared" si="18"/>
        <v>347</v>
      </c>
      <c r="AI35" s="37">
        <f t="shared" si="18"/>
        <v>4417</v>
      </c>
      <c r="AJ35" s="37">
        <f t="shared" si="18"/>
        <v>7184</v>
      </c>
      <c r="AK35" s="20"/>
    </row>
    <row r="36" spans="15:37" x14ac:dyDescent="0.3">
      <c r="X36" s="20"/>
      <c r="Y36" s="20"/>
      <c r="AE36" s="17"/>
      <c r="AG36" s="20"/>
      <c r="AH36" s="20"/>
      <c r="AI36" s="20"/>
      <c r="AJ36" s="20"/>
      <c r="AK36" s="20"/>
    </row>
    <row r="37" spans="15:37" x14ac:dyDescent="0.3">
      <c r="O37" s="17" t="s">
        <v>11</v>
      </c>
      <c r="P37" s="20" t="s">
        <v>69</v>
      </c>
      <c r="Q37" s="20" t="s">
        <v>70</v>
      </c>
      <c r="R37" s="20" t="s">
        <v>71</v>
      </c>
      <c r="S37" s="20" t="s">
        <v>72</v>
      </c>
      <c r="T37" s="20" t="s">
        <v>73</v>
      </c>
      <c r="U37" s="20" t="s">
        <v>74</v>
      </c>
      <c r="W37" s="17" t="s">
        <v>11</v>
      </c>
      <c r="X37" s="20" t="s">
        <v>69</v>
      </c>
      <c r="Y37" s="20" t="s">
        <v>70</v>
      </c>
      <c r="Z37" s="20" t="s">
        <v>71</v>
      </c>
      <c r="AA37" s="20" t="s">
        <v>72</v>
      </c>
      <c r="AB37" s="20" t="s">
        <v>73</v>
      </c>
      <c r="AC37" s="20" t="s">
        <v>74</v>
      </c>
      <c r="AE37" s="17" t="s">
        <v>11</v>
      </c>
      <c r="AF37" s="20" t="s">
        <v>69</v>
      </c>
      <c r="AG37" s="20" t="s">
        <v>70</v>
      </c>
      <c r="AH37" s="20" t="s">
        <v>71</v>
      </c>
      <c r="AI37" s="20" t="s">
        <v>72</v>
      </c>
      <c r="AJ37" s="20" t="s">
        <v>73</v>
      </c>
      <c r="AK37" s="20" t="s">
        <v>74</v>
      </c>
    </row>
    <row r="38" spans="15:37" x14ac:dyDescent="0.3">
      <c r="O38" s="17" t="s">
        <v>12</v>
      </c>
      <c r="P38" s="37">
        <f>DCF!R3</f>
        <v>50518.88446924826</v>
      </c>
      <c r="Q38" s="37">
        <f>DCF!S3</f>
        <v>54230.842693892038</v>
      </c>
      <c r="R38" s="37">
        <f>DCF!T3</f>
        <v>58215.543161486326</v>
      </c>
      <c r="S38" s="37">
        <f>DCF!U3</f>
        <v>62493.026057450195</v>
      </c>
      <c r="T38" s="37">
        <f>DCF!V3</f>
        <v>67084.804052826075</v>
      </c>
      <c r="U38" s="37">
        <f>DCF!W3</f>
        <v>72013.970497585644</v>
      </c>
      <c r="W38" s="17" t="s">
        <v>12</v>
      </c>
      <c r="X38" s="37">
        <f>DCF!Z3</f>
        <v>20917.857632436884</v>
      </c>
      <c r="Y38" s="37">
        <f>DCF!AA3</f>
        <v>21767.91044877857</v>
      </c>
      <c r="Z38" s="37">
        <f>DCF!AB3</f>
        <v>22652.50742366974</v>
      </c>
      <c r="AA38" s="37">
        <f>DCF!AC3</f>
        <v>23573.052350929967</v>
      </c>
      <c r="AB38" s="37">
        <f>DCF!AD3</f>
        <v>24531.006071276788</v>
      </c>
      <c r="AC38" s="37">
        <f>DCF!AE3</f>
        <v>25527.888790578218</v>
      </c>
      <c r="AE38" s="17" t="s">
        <v>12</v>
      </c>
      <c r="AF38" s="37">
        <f>DCF!AH3</f>
        <v>708368.48900123418</v>
      </c>
      <c r="AG38" s="37">
        <f>DCF!AI3</f>
        <v>736853.11161022878</v>
      </c>
      <c r="AH38" s="37">
        <f>DCF!AJ3</f>
        <v>766483.14615915995</v>
      </c>
      <c r="AI38" s="37">
        <f>DCF!AK3</f>
        <v>797304.65148230328</v>
      </c>
      <c r="AJ38" s="37">
        <f>DCF!AL3</f>
        <v>829365.53851285239</v>
      </c>
      <c r="AK38" s="37">
        <f>DCF!AM3</f>
        <v>862715.64475876</v>
      </c>
    </row>
    <row r="39" spans="15:37" x14ac:dyDescent="0.3">
      <c r="O39" s="17" t="s">
        <v>122</v>
      </c>
      <c r="P39" s="37">
        <f>DCF!R4</f>
        <v>16312.334702663411</v>
      </c>
      <c r="Q39" s="37">
        <f>DCF!S4</f>
        <v>17510.910356081728</v>
      </c>
      <c r="R39" s="37">
        <f>DCF!T4</f>
        <v>18797.553329301452</v>
      </c>
      <c r="S39" s="37">
        <f>DCF!U4</f>
        <v>20178.734513663396</v>
      </c>
      <c r="T39" s="37">
        <f>DCF!V4</f>
        <v>21661.400259905098</v>
      </c>
      <c r="U39" s="37">
        <f>DCF!W4</f>
        <v>23253.00731332292</v>
      </c>
      <c r="W39" s="17" t="s">
        <v>122</v>
      </c>
      <c r="X39" s="37">
        <f>DCF!Z4</f>
        <v>4020.1039275439316</v>
      </c>
      <c r="Y39" s="37">
        <f>DCF!AA4</f>
        <v>4183.4715498713658</v>
      </c>
      <c r="Z39" s="37">
        <f>DCF!AB4</f>
        <v>4353.4780503238308</v>
      </c>
      <c r="AA39" s="37">
        <f>DCF!AC4</f>
        <v>4530.3932173828562</v>
      </c>
      <c r="AB39" s="37">
        <f>DCF!AD4</f>
        <v>4714.4978031029441</v>
      </c>
      <c r="AC39" s="37">
        <f>DCF!AE4</f>
        <v>4906.0839686455329</v>
      </c>
      <c r="AE39" s="17" t="s">
        <v>122</v>
      </c>
      <c r="AF39" s="37">
        <f>DCF!AH4</f>
        <v>26450.287696052401</v>
      </c>
      <c r="AG39" s="37">
        <f>DCF!AI4</f>
        <v>27513.895796384026</v>
      </c>
      <c r="AH39" s="37">
        <f>DCF!AJ4</f>
        <v>28620.273268606448</v>
      </c>
      <c r="AI39" s="37">
        <f>DCF!AK4</f>
        <v>29771.139937128079</v>
      </c>
      <c r="AJ39" s="37">
        <f>DCF!AL4</f>
        <v>30968.284783229756</v>
      </c>
      <c r="AK39" s="37">
        <f>DCF!AM4</f>
        <v>32213.568725972487</v>
      </c>
    </row>
    <row r="40" spans="15:37" x14ac:dyDescent="0.3">
      <c r="O40" s="17" t="s">
        <v>18</v>
      </c>
      <c r="P40" s="37">
        <f>DCF!R5</f>
        <v>12560.497721050826</v>
      </c>
      <c r="Q40" s="37">
        <f>DCF!S5</f>
        <v>13483.40097418293</v>
      </c>
      <c r="R40" s="37">
        <f>DCF!T5</f>
        <v>14474.116063562118</v>
      </c>
      <c r="S40" s="37">
        <f>DCF!U5</f>
        <v>15537.625575520815</v>
      </c>
      <c r="T40" s="37">
        <f>DCF!V5</f>
        <v>16679.278200126926</v>
      </c>
      <c r="U40" s="37">
        <f>DCF!W5</f>
        <v>17904.815631258647</v>
      </c>
      <c r="W40" s="17" t="s">
        <v>18</v>
      </c>
      <c r="X40" s="37">
        <f>DCF!Z5</f>
        <v>3095.4800242088272</v>
      </c>
      <c r="Y40" s="37">
        <f>DCF!AA5</f>
        <v>3221.2730934009519</v>
      </c>
      <c r="Z40" s="37">
        <f>DCF!AB5</f>
        <v>3352.1780987493498</v>
      </c>
      <c r="AA40" s="37">
        <f>DCF!AC5</f>
        <v>3488.4027773847993</v>
      </c>
      <c r="AB40" s="37">
        <f>DCF!AD5</f>
        <v>3630.1633083892671</v>
      </c>
      <c r="AC40" s="37">
        <f>DCF!AE5</f>
        <v>3777.6846558570605</v>
      </c>
      <c r="AE40" s="17" t="s">
        <v>18</v>
      </c>
      <c r="AF40" s="37">
        <f>DCF!AH5</f>
        <v>20366.721525960351</v>
      </c>
      <c r="AG40" s="37">
        <f>DCF!AI5</f>
        <v>21185.6997632157</v>
      </c>
      <c r="AH40" s="37">
        <f>DCF!AJ5</f>
        <v>22037.610416826967</v>
      </c>
      <c r="AI40" s="37">
        <f>DCF!AK5</f>
        <v>22923.777751588623</v>
      </c>
      <c r="AJ40" s="37">
        <f>DCF!AL5</f>
        <v>23845.579283086914</v>
      </c>
      <c r="AK40" s="37">
        <f>DCF!AM5</f>
        <v>24804.447918998816</v>
      </c>
    </row>
  </sheetData>
  <pageMargins left="0.7" right="0.7" top="0.75" bottom="0.75" header="0.3" footer="0.3"/>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DE39-46B3-428F-B0C1-97A021A8D71F}">
  <dimension ref="A1:N26"/>
  <sheetViews>
    <sheetView zoomScale="94" workbookViewId="0">
      <selection activeCell="G25" sqref="G25"/>
    </sheetView>
  </sheetViews>
  <sheetFormatPr defaultRowHeight="14.4" x14ac:dyDescent="0.3"/>
  <cols>
    <col min="1" max="1" width="27" style="17" bestFit="1" customWidth="1"/>
    <col min="2" max="3" width="11.44140625" style="20" bestFit="1" customWidth="1"/>
    <col min="4" max="6" width="11.6640625" style="20" customWidth="1"/>
    <col min="7" max="7" width="8.88671875" style="17"/>
    <col min="8" max="8" width="12.33203125" style="17" bestFit="1" customWidth="1"/>
    <col min="9" max="14" width="11" style="17" bestFit="1" customWidth="1"/>
    <col min="15" max="16384" width="8.88671875" style="17"/>
  </cols>
  <sheetData>
    <row r="1" spans="1:14" x14ac:dyDescent="0.3">
      <c r="A1" s="17" t="s">
        <v>42</v>
      </c>
    </row>
    <row r="2" spans="1:14" x14ac:dyDescent="0.3">
      <c r="A2" s="85" t="s">
        <v>43</v>
      </c>
      <c r="B2" s="86" t="s">
        <v>39</v>
      </c>
      <c r="C2" s="86" t="s">
        <v>40</v>
      </c>
      <c r="D2" s="86" t="s">
        <v>125</v>
      </c>
      <c r="E2" s="86" t="s">
        <v>126</v>
      </c>
      <c r="F2" s="87" t="s">
        <v>124</v>
      </c>
      <c r="H2" s="64" t="s">
        <v>64</v>
      </c>
      <c r="I2" s="65" t="s">
        <v>34</v>
      </c>
      <c r="J2" s="65" t="s">
        <v>35</v>
      </c>
      <c r="K2" s="65" t="s">
        <v>36</v>
      </c>
      <c r="L2" s="65" t="s">
        <v>37</v>
      </c>
      <c r="M2" s="66" t="s">
        <v>38</v>
      </c>
    </row>
    <row r="3" spans="1:14" x14ac:dyDescent="0.3">
      <c r="A3" s="83" t="s">
        <v>45</v>
      </c>
      <c r="B3" s="84">
        <f>(Table1[[#This Row],[2024]]/Table1[[#This Row],[2020]])^(1/5)-1</f>
        <v>3.4440928051111763E-2</v>
      </c>
      <c r="C3" s="84">
        <f>(Table18[[#This Row],[2024]]/Table18[[#This Row],[2020]])^(1/5)-1</f>
        <v>5.4725961063701867E-2</v>
      </c>
      <c r="D3" s="59">
        <f>(Table15[[#This Row],[2024]]/Table15[[#This Row],[2020]])^(1/5)-1</f>
        <v>7.3476646676616797E-2</v>
      </c>
      <c r="E3" s="59">
        <f>(Table1811[[#This Row],[2024]]/Table1811[[#This Row],[2020]])^(1/5)-1</f>
        <v>4.0637661431614625E-2</v>
      </c>
      <c r="F3" s="59">
        <f>(Table181114[[#This Row],[2024]]/Table181114[[#This Row],[2020]])^(1/5)-1</f>
        <v>4.0211589097020051E-2</v>
      </c>
      <c r="H3" s="39" t="s">
        <v>65</v>
      </c>
      <c r="I3" s="62">
        <f>Financials!B17-Financials!B20</f>
        <v>-4989</v>
      </c>
      <c r="J3" s="62">
        <f>Financials!C17-Financials!C20</f>
        <v>-10041</v>
      </c>
      <c r="K3" s="62">
        <f>Financials!D17-Financials!D20</f>
        <v>-11428</v>
      </c>
      <c r="L3" s="62">
        <f>Financials!E17-Financials!E20</f>
        <v>-13108</v>
      </c>
      <c r="M3" s="63">
        <f>Financials!F17-Financials!F20</f>
        <v>-8918</v>
      </c>
    </row>
    <row r="4" spans="1:14" x14ac:dyDescent="0.3">
      <c r="A4" s="44" t="s">
        <v>46</v>
      </c>
      <c r="B4" s="59">
        <f>AVERAGE(Financials!B6:F6)/AVERAGE(Financials!B3:F3)</f>
        <v>0.22421561149249936</v>
      </c>
      <c r="C4" s="59">
        <f>AVERAGE(Financials!I6:M6)/AVERAGE(Financials!I3:M3)</f>
        <v>0.13735005231633865</v>
      </c>
      <c r="D4" s="59">
        <f>AVERAGE(Financials!P6:T6)/AVERAGE(Financials!P3:T3)</f>
        <v>0.32289578192473783</v>
      </c>
      <c r="E4" s="59">
        <f>AVERAGE(Financials!X6:AB6)/AVERAGE(Financials!X3:AB3)</f>
        <v>0.1921852609470886</v>
      </c>
      <c r="F4" s="59">
        <f>AVERAGE(Financials!AF6:AJ6)/AVERAGE(Financials!AF3:AJ3)</f>
        <v>3.7339729401777946E-2</v>
      </c>
      <c r="H4" s="40" t="s">
        <v>67</v>
      </c>
      <c r="I4" s="41">
        <f>Financials!I17-Financials!I20</f>
        <v>-371</v>
      </c>
      <c r="J4" s="41">
        <f>Financials!J17-Financials!J20</f>
        <v>-4437</v>
      </c>
      <c r="K4" s="41">
        <f>Financials!K17-Financials!K20</f>
        <v>-5246</v>
      </c>
      <c r="L4" s="41">
        <f>Financials!L17-Financials!L20</f>
        <v>-4697</v>
      </c>
      <c r="M4" s="42">
        <f>Financials!M17-Financials!M20</f>
        <v>-5710</v>
      </c>
    </row>
    <row r="5" spans="1:14" x14ac:dyDescent="0.3">
      <c r="A5" s="44" t="s">
        <v>47</v>
      </c>
      <c r="B5" s="59">
        <f>AVERAGE(Financials!B7:F7)/AVERAGE(Financials!B3:F3)</f>
        <v>3.6015764047800658E-2</v>
      </c>
      <c r="C5" s="59">
        <f>AVERAGE(Financials!I7:M7)/AVERAGE(Financials!I3:M3)</f>
        <v>3.3675514761787859E-2</v>
      </c>
      <c r="D5" s="59">
        <f>AVERAGE(Financials!P7:T7)/AVERAGE(Financials!P3:T3)</f>
        <v>3.1090954657618755E-2</v>
      </c>
      <c r="E5" s="59">
        <f>AVERAGE(Financials!X7:AB7)/AVERAGE(Financials!X3:AB3)</f>
        <v>3.0760143080608635E-2</v>
      </c>
      <c r="F5" s="59">
        <f>AVERAGE(Financials!AF7:AJ7)/AVERAGE(Financials!AF3:AJ3)</f>
        <v>1.8741960430999016E-2</v>
      </c>
      <c r="H5" s="40" t="s">
        <v>128</v>
      </c>
      <c r="I5" s="41">
        <f>Financials!P17-Financials!P20</f>
        <v>4639</v>
      </c>
      <c r="J5" s="41">
        <f>Financials!Q17-Financials!Q20</f>
        <v>2595</v>
      </c>
      <c r="K5" s="41">
        <f>Financials!R17-Financials!R20</f>
        <v>2867</v>
      </c>
      <c r="L5" s="41">
        <f>Financials!S17-Financials!S20</f>
        <v>3161</v>
      </c>
      <c r="M5" s="41">
        <f>Financials!T17-Financials!T20</f>
        <v>748</v>
      </c>
    </row>
    <row r="6" spans="1:14" x14ac:dyDescent="0.3">
      <c r="A6" s="44" t="s">
        <v>48</v>
      </c>
      <c r="B6" s="59">
        <f>AVERAGE(Financials!B27:F27)/AVERAGE(Financials!B3:F3)</f>
        <v>3.915586066615815E-2</v>
      </c>
      <c r="C6" s="59">
        <f>AVERAGE(Financials!I27:M27)/AVERAGE(Financials!I3:M3)</f>
        <v>5.9366531367160594E-2</v>
      </c>
      <c r="D6" s="59">
        <f>AVERAGE(Financials!P27:T27)/AVERAGE(Financials!P3:T3)</f>
        <v>3.8286551511412706E-2</v>
      </c>
      <c r="E6" s="59">
        <f>AVERAGE(Financials!X27:AB27)/AVERAGE(Financials!X3:AB3)</f>
        <v>3.2149381406084206E-2</v>
      </c>
      <c r="F6" s="59">
        <f>AVERAGE(Financials!AF27:AJ27)/AVERAGE(Financials!AF3:AJ3)</f>
        <v>2.75415453679063E-2</v>
      </c>
      <c r="H6" s="40" t="s">
        <v>129</v>
      </c>
      <c r="I6" s="41">
        <f>Financials!X17-Financials!X20</f>
        <v>-66</v>
      </c>
      <c r="J6" s="41">
        <f>Financials!Y17-Financials!Y20</f>
        <v>346</v>
      </c>
      <c r="K6" s="41">
        <f>Financials!Z17-Financials!Z20</f>
        <v>1109</v>
      </c>
      <c r="L6" s="41">
        <f>Financials!AA17-Financials!AA20</f>
        <v>538</v>
      </c>
      <c r="M6" s="41">
        <f>Financials!AB17-Financials!AB20</f>
        <v>-442</v>
      </c>
    </row>
    <row r="7" spans="1:14" x14ac:dyDescent="0.3">
      <c r="A7" s="44" t="s">
        <v>49</v>
      </c>
      <c r="B7" s="59">
        <f>AVERAGE(I3:M3)/AVERAGE(Financials!B3:F3)</f>
        <v>-0.12327485380116958</v>
      </c>
      <c r="C7" s="59">
        <f>AVERAGE(I4:M4)/AVERAGE(Financials!I3:M3)</f>
        <v>-4.8767407993555195E-2</v>
      </c>
      <c r="D7" s="59">
        <f>AVERAGE(I5:M5)/AVERAGE(Financials!P3:T3)</f>
        <v>6.7521977174583594E-2</v>
      </c>
      <c r="E7" s="59">
        <f>AVERAGE(I6:M6)/AVERAGE(Financials!X3:AB3)</f>
        <v>1.6244243412056839E-2</v>
      </c>
      <c r="F7" s="59">
        <f>AVERAGE(Table19[[#This Row],[2020]:[2024]])/AVERAGE(Financials!AF3:AJ3)</f>
        <v>-1.890893609486561E-2</v>
      </c>
      <c r="H7" s="40" t="s">
        <v>130</v>
      </c>
      <c r="I7" s="41">
        <f>Financials!AF17-Financials!AF20</f>
        <v>-2578</v>
      </c>
      <c r="J7" s="41">
        <f>Financials!AG17-Financials!AG20</f>
        <v>-6309</v>
      </c>
      <c r="K7" s="41">
        <f>Financials!AH17-Financials!AH20</f>
        <v>-16543</v>
      </c>
      <c r="L7" s="41">
        <f>Financials!AI17-Financials!AI20</f>
        <v>-15538</v>
      </c>
      <c r="M7" s="41">
        <f>Financials!AJ17-Financials!AJ20</f>
        <v>-17126</v>
      </c>
    </row>
    <row r="8" spans="1:14" x14ac:dyDescent="0.3">
      <c r="A8" s="44" t="s">
        <v>92</v>
      </c>
      <c r="B8" s="60">
        <v>6</v>
      </c>
      <c r="C8" s="60">
        <v>6</v>
      </c>
      <c r="D8" s="60">
        <v>6</v>
      </c>
      <c r="E8" s="60">
        <v>6</v>
      </c>
      <c r="F8" s="60">
        <v>6</v>
      </c>
    </row>
    <row r="9" spans="1:14" x14ac:dyDescent="0.3">
      <c r="A9" s="44" t="s">
        <v>50</v>
      </c>
      <c r="B9" s="59">
        <v>4.0590000000000001E-2</v>
      </c>
      <c r="C9" s="59">
        <v>4.0590000000000001E-2</v>
      </c>
      <c r="D9" s="59">
        <v>4.0590000000000001E-2</v>
      </c>
      <c r="E9" s="59">
        <v>4.0590000000000001E-2</v>
      </c>
      <c r="F9" s="59">
        <v>4.0590000000000001E-2</v>
      </c>
    </row>
    <row r="10" spans="1:14" x14ac:dyDescent="0.3">
      <c r="A10" s="44" t="s">
        <v>51</v>
      </c>
      <c r="B10" s="59">
        <v>4.8000000000000001E-2</v>
      </c>
      <c r="C10" s="59">
        <v>4.8000000000000001E-2</v>
      </c>
      <c r="D10" s="59">
        <v>4.8000000000000001E-2</v>
      </c>
      <c r="E10" s="59">
        <v>4.8000000000000001E-2</v>
      </c>
      <c r="F10" s="59">
        <v>4.8000000000000001E-2</v>
      </c>
      <c r="H10" s="64" t="s">
        <v>66</v>
      </c>
      <c r="I10" s="65" t="s">
        <v>69</v>
      </c>
      <c r="J10" s="65" t="s">
        <v>70</v>
      </c>
      <c r="K10" s="65" t="s">
        <v>71</v>
      </c>
      <c r="L10" s="65" t="s">
        <v>72</v>
      </c>
      <c r="M10" s="65" t="s">
        <v>73</v>
      </c>
      <c r="N10" s="66" t="s">
        <v>74</v>
      </c>
    </row>
    <row r="11" spans="1:14" x14ac:dyDescent="0.3">
      <c r="A11" s="44" t="s">
        <v>7</v>
      </c>
      <c r="B11" s="61">
        <f ca="1">'Company profile'!B9</f>
        <v>0.3851</v>
      </c>
      <c r="C11" s="61">
        <f ca="1">'Company profile'!C9</f>
        <v>0.41299999999999998</v>
      </c>
      <c r="D11" s="61">
        <f ca="1">'Company profile'!D9</f>
        <v>0.38529999999999998</v>
      </c>
      <c r="E11" s="61">
        <f ca="1">'Company profile'!E9</f>
        <v>0.2863</v>
      </c>
      <c r="F11" s="61">
        <f ca="1">'Company profile'!F9</f>
        <v>0.64510000000000001</v>
      </c>
      <c r="H11" s="39" t="str">
        <f>H3</f>
        <v>WC-P&amp;G</v>
      </c>
      <c r="I11" s="62">
        <f>DCF!B3*'Assumptions &amp; WACC'!$B$7</f>
        <v>-10716.699852014232</v>
      </c>
      <c r="J11" s="62">
        <f>DCF!C3*'Assumptions &amp; WACC'!$B$7</f>
        <v>-11085.792940562815</v>
      </c>
      <c r="K11" s="62">
        <f>DCF!D3*'Assumptions &amp; WACC'!$B$7</f>
        <v>-11467.59793761826</v>
      </c>
      <c r="L11" s="62">
        <f>DCF!E3*'Assumptions &amp; WACC'!$B$7</f>
        <v>-11862.552653106848</v>
      </c>
      <c r="M11" s="62">
        <f>DCF!F3*'Assumptions &amp; WACC'!$B$7</f>
        <v>-12271.109975535026</v>
      </c>
      <c r="N11" s="63">
        <f>DCF!G3*'Assumptions &amp; WACC'!$B$7</f>
        <v>-12693.738391309709</v>
      </c>
    </row>
    <row r="12" spans="1:14" x14ac:dyDescent="0.3">
      <c r="A12" s="49" t="s">
        <v>52</v>
      </c>
      <c r="B12" s="74">
        <f ca="1">B9+(B10*B11)</f>
        <v>5.9074799999999997E-2</v>
      </c>
      <c r="C12" s="74">
        <f ca="1">C9+(C10*C11)</f>
        <v>6.0413999999999995E-2</v>
      </c>
      <c r="D12" s="74">
        <f t="shared" ref="D12:F12" ca="1" si="0">D9+(D10*D11)</f>
        <v>5.9084399999999995E-2</v>
      </c>
      <c r="E12" s="74">
        <f t="shared" ca="1" si="0"/>
        <v>5.4332400000000003E-2</v>
      </c>
      <c r="F12" s="74">
        <f t="shared" ca="1" si="0"/>
        <v>7.1554800000000002E-2</v>
      </c>
      <c r="H12" s="40" t="str">
        <f>H4</f>
        <v>WC-PepsiCo</v>
      </c>
      <c r="I12" s="41">
        <f>DCF!J3*'Assumptions &amp; WACC'!$C$7</f>
        <v>-4724.6254236574814</v>
      </c>
      <c r="J12" s="41">
        <f>DCF!K3*'Assumptions &amp; WACC'!$C$7</f>
        <v>-4983.1850906331365</v>
      </c>
      <c r="K12" s="41">
        <f>DCF!L3*'Assumptions &amp; WACC'!$C$7</f>
        <v>-5255.894683876345</v>
      </c>
      <c r="L12" s="41">
        <f>DCF!M3*'Assumptions &amp; WACC'!$C$7</f>
        <v>-5543.5285717010793</v>
      </c>
      <c r="M12" s="41">
        <f>DCF!N3*'Assumptions &amp; WACC'!$C$7</f>
        <v>-5846.9035004715115</v>
      </c>
      <c r="N12" s="42">
        <f>DCF!O3*'Assumptions &amp; WACC'!$C$7</f>
        <v>-6166.8809137815379</v>
      </c>
    </row>
    <row r="13" spans="1:14" x14ac:dyDescent="0.3">
      <c r="A13" s="44" t="s">
        <v>53</v>
      </c>
      <c r="B13" s="59">
        <f>AVERAGE(Financials!B8:F8)/AVERAGE(Financials!B21:F21)</f>
        <v>1.8792461100153406E-2</v>
      </c>
      <c r="C13" s="59">
        <f>AVERAGE(Financials!I8:M8)/AVERAGE(Financials!I21:M21)</f>
        <v>2.67401375692328E-2</v>
      </c>
      <c r="D13" s="59">
        <f>AVERAGE(Financials!P8:T8)/AVERAGE(Financials!P21:T21)</f>
        <v>3.3598530922101952E-2</v>
      </c>
      <c r="E13" s="59">
        <f>AVERAGE(Financials!X8:AB8)/AVERAGE(Financials!X21:AB21)</f>
        <v>2.670157068062827E-2</v>
      </c>
      <c r="F13" s="59">
        <f>AVERAGE(Financials!AF8:AJ8)/AVERAGE(Financials!AF21:AJ21)</f>
        <v>3.4181047230723724E-2</v>
      </c>
      <c r="H13" s="89" t="str">
        <f>H5</f>
        <v>WC-CocaCola</v>
      </c>
      <c r="I13" s="90">
        <f>DCF!R3*'Assumptions &amp; WACC'!$D$7</f>
        <v>3411.1349640180065</v>
      </c>
      <c r="J13" s="90">
        <f>DCF!S3*'Assumptions &amp; WACC'!$D$7</f>
        <v>3661.7737225354117</v>
      </c>
      <c r="K13" s="90">
        <f>DCF!T3*'Assumptions &amp; WACC'!$D$7</f>
        <v>3930.8285765558658</v>
      </c>
      <c r="L13" s="90">
        <f>DCF!U3*'Assumptions &amp; WACC'!$D$7</f>
        <v>4219.6526790218095</v>
      </c>
      <c r="M13" s="90">
        <f>DCF!V3*'Assumptions &amp; WACC'!$D$7</f>
        <v>4529.6986080163351</v>
      </c>
      <c r="N13" s="90">
        <f>DCF!W3*'Assumptions &amp; WACC'!$D$7</f>
        <v>4862.5256721891146</v>
      </c>
    </row>
    <row r="14" spans="1:14" x14ac:dyDescent="0.3">
      <c r="A14" s="44" t="s">
        <v>54</v>
      </c>
      <c r="B14" s="59">
        <v>0.23</v>
      </c>
      <c r="C14" s="59">
        <v>0.23</v>
      </c>
      <c r="D14" s="59">
        <v>0.23</v>
      </c>
      <c r="E14" s="59">
        <v>0.23</v>
      </c>
      <c r="F14" s="59">
        <v>0.23</v>
      </c>
      <c r="H14" s="89" t="str">
        <f t="shared" ref="H14:H15" si="1">H6</f>
        <v>WC-Colgate</v>
      </c>
      <c r="I14" s="90">
        <f>DCF!Z3*'Assumptions &amp; WACC'!$E$7</f>
        <v>339.79477104005571</v>
      </c>
      <c r="J14" s="90">
        <f>DCF!AA3*'Assumptions &amp; WACC'!$E$7</f>
        <v>353.60323590181451</v>
      </c>
      <c r="K14" s="90">
        <f>DCF!AB3*'Assumptions &amp; WACC'!$E$7</f>
        <v>367.97284448351581</v>
      </c>
      <c r="L14" s="90">
        <f>DCF!AC3*'Assumptions &amp; WACC'!$E$7</f>
        <v>382.92640035366509</v>
      </c>
      <c r="M14" s="90">
        <f>DCF!AD3*'Assumptions &amp; WACC'!$E$7</f>
        <v>398.48763376446425</v>
      </c>
      <c r="N14" s="90">
        <f>DCF!AE3*'Assumptions &amp; WACC'!$E$7</f>
        <v>414.68123931006983</v>
      </c>
    </row>
    <row r="15" spans="1:14" x14ac:dyDescent="0.3">
      <c r="A15" s="49" t="s">
        <v>55</v>
      </c>
      <c r="B15" s="74">
        <f>B13*(1-B14)</f>
        <v>1.4470195047118124E-2</v>
      </c>
      <c r="C15" s="74">
        <f>C13*(1-C14)</f>
        <v>2.0589905928309258E-2</v>
      </c>
      <c r="D15" s="74">
        <f t="shared" ref="D15:F15" si="2">D13*(1-D14)</f>
        <v>2.5870868810018502E-2</v>
      </c>
      <c r="E15" s="74">
        <f t="shared" si="2"/>
        <v>2.0560209424083768E-2</v>
      </c>
      <c r="F15" s="74">
        <f t="shared" si="2"/>
        <v>2.6319406367657269E-2</v>
      </c>
      <c r="H15" s="40" t="str">
        <f t="shared" si="1"/>
        <v>WC-Walmart</v>
      </c>
      <c r="I15" s="41">
        <f>DCF!AH3*'Assumptions &amp; WACC'!$F$7</f>
        <v>-13394.494490140849</v>
      </c>
      <c r="J15" s="41">
        <f>DCF!AI3*'Assumptions &amp; WACC'!$F$7</f>
        <v>-13933.108398740693</v>
      </c>
      <c r="K15" s="41">
        <f>DCF!AJ3*'Assumptions &amp; WACC'!$F$7</f>
        <v>-14493.380828515092</v>
      </c>
      <c r="L15" s="41">
        <f>DCF!AK3*'Assumptions &amp; WACC'!$F$7</f>
        <v>-15076.18270301797</v>
      </c>
      <c r="M15" s="41">
        <f>DCF!AL3*'Assumptions &amp; WACC'!$F$7</f>
        <v>-15682.419967023328</v>
      </c>
      <c r="N15" s="41">
        <f>DCF!AM3*'Assumptions &amp; WACC'!$F$7</f>
        <v>-16313.034994784173</v>
      </c>
    </row>
    <row r="16" spans="1:14" x14ac:dyDescent="0.3">
      <c r="A16" s="44" t="s">
        <v>27</v>
      </c>
      <c r="B16" s="45">
        <f>Financials!F21</f>
        <v>32460</v>
      </c>
      <c r="C16" s="45">
        <f>Financials!M21</f>
        <v>44306</v>
      </c>
      <c r="D16" s="45">
        <f>Financials!T21</f>
        <v>44522</v>
      </c>
      <c r="E16" s="45">
        <f>Financials!AB21</f>
        <v>7949</v>
      </c>
      <c r="F16" s="45">
        <f>Financials!AJ21</f>
        <v>60114</v>
      </c>
    </row>
    <row r="17" spans="1:6" x14ac:dyDescent="0.3">
      <c r="A17" s="44" t="s">
        <v>6</v>
      </c>
      <c r="B17" s="45">
        <f ca="1">'Company profile'!B8</f>
        <v>344317.7549</v>
      </c>
      <c r="C17" s="45">
        <f ca="1">'Company profile'!C8</f>
        <v>202113.3621</v>
      </c>
      <c r="D17" s="45">
        <f ca="1">'Company profile'!D8</f>
        <v>307134.88260000001</v>
      </c>
      <c r="E17" s="45">
        <f ca="1">'Company profile'!E8</f>
        <v>63590.459961</v>
      </c>
      <c r="F17" s="45">
        <f ca="1">'Company profile'!F8</f>
        <v>801391.11826500006</v>
      </c>
    </row>
    <row r="18" spans="1:6" x14ac:dyDescent="0.3">
      <c r="A18" s="44" t="s">
        <v>56</v>
      </c>
      <c r="B18" s="45">
        <f ca="1">B16+B17</f>
        <v>376777.7549</v>
      </c>
      <c r="C18" s="45">
        <f ca="1">C16+C17</f>
        <v>246419.3621</v>
      </c>
      <c r="D18" s="45">
        <f t="shared" ref="D18:F18" ca="1" si="3">D16+D17</f>
        <v>351656.88260000001</v>
      </c>
      <c r="E18" s="45">
        <f t="shared" ca="1" si="3"/>
        <v>71539.459961</v>
      </c>
      <c r="F18" s="45">
        <f t="shared" ca="1" si="3"/>
        <v>861505.11826500006</v>
      </c>
    </row>
    <row r="19" spans="1:6" x14ac:dyDescent="0.3">
      <c r="A19" s="44" t="s">
        <v>57</v>
      </c>
      <c r="B19" s="59">
        <f ca="1">B16/B18</f>
        <v>8.6151582936777035E-2</v>
      </c>
      <c r="C19" s="59">
        <f ca="1">C16/C18</f>
        <v>0.17979918307726192</v>
      </c>
      <c r="D19" s="59">
        <f t="shared" ref="D19:F19" ca="1" si="4">D16/D18</f>
        <v>0.12660636604301173</v>
      </c>
      <c r="E19" s="59">
        <f t="shared" ca="1" si="4"/>
        <v>0.11111350301404885</v>
      </c>
      <c r="F19" s="59">
        <f t="shared" ca="1" si="4"/>
        <v>6.9777879115871785E-2</v>
      </c>
    </row>
    <row r="20" spans="1:6" x14ac:dyDescent="0.3">
      <c r="A20" s="44" t="s">
        <v>58</v>
      </c>
      <c r="B20" s="59">
        <f ca="1">B17/B18</f>
        <v>0.91384841706322295</v>
      </c>
      <c r="C20" s="59">
        <f ca="1">C17/C18</f>
        <v>0.82020081692273805</v>
      </c>
      <c r="D20" s="59">
        <f t="shared" ref="D20:F20" ca="1" si="5">D17/D18</f>
        <v>0.87339363395698832</v>
      </c>
      <c r="E20" s="59">
        <f t="shared" ca="1" si="5"/>
        <v>0.88888649698595112</v>
      </c>
      <c r="F20" s="59">
        <f t="shared" ca="1" si="5"/>
        <v>0.93022212088412826</v>
      </c>
    </row>
    <row r="21" spans="1:6" x14ac:dyDescent="0.3">
      <c r="A21" s="49" t="s">
        <v>59</v>
      </c>
      <c r="B21" s="74">
        <f ca="1">(B12*B20)+(B15*B19)</f>
        <v>5.5232042677039614E-2</v>
      </c>
      <c r="C21" s="74">
        <f ca="1">(C12*C20)+(C15*C19)</f>
        <v>5.3253660419117964E-2</v>
      </c>
      <c r="D21" s="74">
        <f t="shared" ref="D21:F21" ca="1" si="6">(D12*D20)+(D15*D19)</f>
        <v>5.4879355512580212E-2</v>
      </c>
      <c r="E21" s="74">
        <f t="shared" ca="1" si="6"/>
        <v>5.0579853600651904E-2</v>
      </c>
      <c r="F21" s="74">
        <f t="shared" ca="1" si="6"/>
        <v>6.8398370171363521E-2</v>
      </c>
    </row>
    <row r="22" spans="1:6" x14ac:dyDescent="0.3">
      <c r="A22" s="44" t="s">
        <v>60</v>
      </c>
      <c r="B22" s="60">
        <v>2030</v>
      </c>
      <c r="C22" s="60">
        <v>2030</v>
      </c>
      <c r="D22" s="60">
        <v>2030</v>
      </c>
      <c r="E22" s="60">
        <v>2030</v>
      </c>
      <c r="F22" s="60">
        <v>2030</v>
      </c>
    </row>
    <row r="23" spans="1:6" x14ac:dyDescent="0.3">
      <c r="A23" s="44" t="s">
        <v>61</v>
      </c>
      <c r="B23" s="59">
        <f ca="1">1/(1+B21)^6</f>
        <v>0.72428948130435922</v>
      </c>
      <c r="C23" s="59">
        <f ca="1">1/(1+C21)^6</f>
        <v>0.73249073739599946</v>
      </c>
      <c r="D23" s="59">
        <f t="shared" ref="D23:F23" ca="1" si="7">1/(1+D21)^6</f>
        <v>0.72574364501947253</v>
      </c>
      <c r="E23" s="59">
        <f t="shared" ca="1" si="7"/>
        <v>0.74374762188886001</v>
      </c>
      <c r="F23" s="59">
        <f t="shared" ca="1" si="7"/>
        <v>0.67235818934671376</v>
      </c>
    </row>
    <row r="24" spans="1:6" x14ac:dyDescent="0.3">
      <c r="A24" s="44" t="s">
        <v>62</v>
      </c>
      <c r="B24" s="45">
        <f>Financials!F14</f>
        <v>9482</v>
      </c>
      <c r="C24" s="45">
        <f>Financials!M14</f>
        <v>8505</v>
      </c>
      <c r="D24" s="88">
        <f>Financials!T14</f>
        <v>10828</v>
      </c>
      <c r="E24" s="88">
        <f>Financials!AB14</f>
        <v>1096</v>
      </c>
      <c r="F24" s="88">
        <f>Financials!AJ14</f>
        <v>9037</v>
      </c>
    </row>
    <row r="25" spans="1:6" x14ac:dyDescent="0.3">
      <c r="A25" s="44" t="s">
        <v>63</v>
      </c>
      <c r="B25" s="59">
        <v>0.02</v>
      </c>
      <c r="C25" s="59">
        <v>0.02</v>
      </c>
      <c r="D25" s="59">
        <v>0.02</v>
      </c>
      <c r="E25" s="59">
        <v>0.02</v>
      </c>
      <c r="F25" s="59">
        <v>0.03</v>
      </c>
    </row>
    <row r="26" spans="1:6" x14ac:dyDescent="0.3">
      <c r="A26" s="44" t="s">
        <v>91</v>
      </c>
      <c r="B26" s="45">
        <v>2354.0509870000001</v>
      </c>
      <c r="C26" s="45">
        <v>1370</v>
      </c>
      <c r="D26" s="88">
        <f ca="1">'Company profile'!D6</f>
        <v>4301.6090000000004</v>
      </c>
      <c r="E26" s="88">
        <f ca="1">'Company profile'!E6</f>
        <v>806.06489999999997</v>
      </c>
      <c r="F26" s="88">
        <f ca="1">'Company profile'!F6</f>
        <v>7972.8509999999997</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67FB-DBEF-4FFD-A5F4-78ACC5084499}">
  <dimension ref="A1:AM22"/>
  <sheetViews>
    <sheetView tabSelected="1" topLeftCell="AG1" workbookViewId="0">
      <selection activeCell="AI12" sqref="AI12"/>
    </sheetView>
  </sheetViews>
  <sheetFormatPr defaultRowHeight="14.4" x14ac:dyDescent="0.3"/>
  <cols>
    <col min="1" max="1" width="22.77734375" bestFit="1" customWidth="1"/>
    <col min="2" max="2" width="12.33203125" bestFit="1" customWidth="1"/>
    <col min="3" max="7" width="10.88671875" bestFit="1" customWidth="1"/>
    <col min="9" max="9" width="22.77734375" bestFit="1" customWidth="1"/>
    <col min="10" max="10" width="12.33203125" bestFit="1" customWidth="1"/>
    <col min="11" max="15" width="10.88671875" bestFit="1" customWidth="1"/>
    <col min="17" max="17" width="22.77734375" style="92" bestFit="1" customWidth="1"/>
    <col min="18" max="18" width="12.33203125" bestFit="1" customWidth="1"/>
    <col min="19" max="23" width="10.88671875" bestFit="1" customWidth="1"/>
    <col min="25" max="25" width="22.77734375" bestFit="1" customWidth="1"/>
    <col min="26" max="26" width="12.33203125" bestFit="1" customWidth="1"/>
    <col min="27" max="31" width="10.88671875" bestFit="1" customWidth="1"/>
    <col min="33" max="33" width="22.77734375" bestFit="1" customWidth="1"/>
    <col min="34" max="39" width="10.88671875" bestFit="1" customWidth="1"/>
  </cols>
  <sheetData>
    <row r="1" spans="1:39" x14ac:dyDescent="0.3">
      <c r="A1" s="17" t="s">
        <v>68</v>
      </c>
      <c r="B1" s="17"/>
      <c r="C1" s="17"/>
      <c r="D1" s="17"/>
      <c r="E1" s="17"/>
      <c r="F1" s="17"/>
      <c r="G1" s="22" t="s">
        <v>39</v>
      </c>
      <c r="H1" s="17"/>
      <c r="I1" s="17"/>
      <c r="J1" s="18"/>
      <c r="K1" s="18"/>
      <c r="L1" s="18"/>
      <c r="M1" s="18"/>
      <c r="N1" s="18"/>
      <c r="O1" s="22" t="s">
        <v>40</v>
      </c>
      <c r="Q1" s="43" t="s">
        <v>68</v>
      </c>
      <c r="R1" s="17"/>
      <c r="S1" s="17"/>
      <c r="T1" s="17"/>
      <c r="U1" s="17"/>
      <c r="V1" s="17"/>
      <c r="W1" s="22" t="str">
        <f>'Assumptions &amp; WACC'!D2</f>
        <v>Coca-Cola</v>
      </c>
      <c r="X1" s="17"/>
      <c r="Y1" s="17"/>
      <c r="Z1" s="18"/>
      <c r="AA1" s="18"/>
      <c r="AB1" s="18"/>
      <c r="AC1" s="18"/>
      <c r="AD1" s="18"/>
      <c r="AE1" s="22" t="str">
        <f>'Assumptions &amp; WACC'!E2</f>
        <v>Colgate</v>
      </c>
      <c r="AG1" s="17" t="s">
        <v>68</v>
      </c>
      <c r="AH1" s="17"/>
      <c r="AI1" s="17"/>
      <c r="AJ1" s="17"/>
      <c r="AK1" s="17"/>
      <c r="AL1" s="17"/>
      <c r="AM1" s="22" t="str">
        <f>'Assumptions &amp; WACC'!F2</f>
        <v>Walmart</v>
      </c>
    </row>
    <row r="2" spans="1:39" x14ac:dyDescent="0.3">
      <c r="A2" s="17" t="s">
        <v>11</v>
      </c>
      <c r="B2" s="25" t="s">
        <v>69</v>
      </c>
      <c r="C2" s="25" t="s">
        <v>70</v>
      </c>
      <c r="D2" s="25" t="s">
        <v>71</v>
      </c>
      <c r="E2" s="25" t="s">
        <v>72</v>
      </c>
      <c r="F2" s="25" t="s">
        <v>73</v>
      </c>
      <c r="G2" s="25" t="s">
        <v>74</v>
      </c>
      <c r="H2" s="17"/>
      <c r="I2" s="17" t="s">
        <v>11</v>
      </c>
      <c r="J2" s="26" t="s">
        <v>69</v>
      </c>
      <c r="K2" s="26" t="s">
        <v>70</v>
      </c>
      <c r="L2" s="26" t="s">
        <v>71</v>
      </c>
      <c r="M2" s="26" t="s">
        <v>72</v>
      </c>
      <c r="N2" s="26" t="s">
        <v>73</v>
      </c>
      <c r="O2" s="26" t="s">
        <v>74</v>
      </c>
      <c r="Q2" s="43" t="s">
        <v>11</v>
      </c>
      <c r="R2" s="25" t="s">
        <v>69</v>
      </c>
      <c r="S2" s="25" t="s">
        <v>70</v>
      </c>
      <c r="T2" s="25" t="s">
        <v>71</v>
      </c>
      <c r="U2" s="25" t="s">
        <v>72</v>
      </c>
      <c r="V2" s="25" t="s">
        <v>73</v>
      </c>
      <c r="W2" s="25" t="s">
        <v>74</v>
      </c>
      <c r="X2" s="17"/>
      <c r="Y2" s="17" t="s">
        <v>11</v>
      </c>
      <c r="Z2" s="26" t="s">
        <v>69</v>
      </c>
      <c r="AA2" s="26" t="s">
        <v>70</v>
      </c>
      <c r="AB2" s="26" t="s">
        <v>71</v>
      </c>
      <c r="AC2" s="26" t="s">
        <v>72</v>
      </c>
      <c r="AD2" s="26" t="s">
        <v>73</v>
      </c>
      <c r="AE2" s="26" t="s">
        <v>74</v>
      </c>
      <c r="AG2" s="17" t="s">
        <v>11</v>
      </c>
      <c r="AH2" s="25" t="s">
        <v>69</v>
      </c>
      <c r="AI2" s="25" t="s">
        <v>70</v>
      </c>
      <c r="AJ2" s="25" t="s">
        <v>71</v>
      </c>
      <c r="AK2" s="25" t="s">
        <v>72</v>
      </c>
      <c r="AL2" s="25" t="s">
        <v>73</v>
      </c>
      <c r="AM2" s="25" t="s">
        <v>74</v>
      </c>
    </row>
    <row r="3" spans="1:39" x14ac:dyDescent="0.3">
      <c r="A3" s="17" t="s">
        <v>12</v>
      </c>
      <c r="B3" s="24">
        <f>Table1[[#This Row],[2024]]*(1+'Assumptions &amp; WACC'!B3)</f>
        <v>86933.381152487374</v>
      </c>
      <c r="C3" s="24">
        <f>Table9[[#This Row],[2025]]*(1+'Assumptions &amp; WACC'!$B$3)</f>
        <v>89927.447478000075</v>
      </c>
      <c r="D3" s="24">
        <f>Table9[[#This Row],[2026]]*(1+'Assumptions &amp; WACC'!$B$3)</f>
        <v>93024.632226410002</v>
      </c>
      <c r="E3" s="24">
        <f>Table9[[#This Row],[2027]]*(1+'Assumptions &amp; WACC'!$B$3)</f>
        <v>96228.486891900917</v>
      </c>
      <c r="F3" s="24">
        <f>Table9[[#This Row],[2028]]*(1+'Assumptions &amp; WACC'!$B$3)</f>
        <v>99542.685285412226</v>
      </c>
      <c r="G3" s="24">
        <f>Table9[[#This Row],[2029]]*(1+'Assumptions &amp; WACC'!$B$3)</f>
        <v>102971.02774734158</v>
      </c>
      <c r="H3" s="17"/>
      <c r="I3" s="27" t="s">
        <v>12</v>
      </c>
      <c r="J3" s="28">
        <f>Table18[[#This Row],[2024]]*(1+'Assumptions &amp; WACC'!C3)</f>
        <v>96880.798427545276</v>
      </c>
      <c r="K3" s="28">
        <f>Table10[[#This Row],[2025]]*(1+'Assumptions &amp; WACC'!$C$3)</f>
        <v>102182.69323011147</v>
      </c>
      <c r="L3" s="28">
        <f>Table10[[#This Row],[2026]]*(1+'Assumptions &amp; WACC'!$C$3)</f>
        <v>107774.73932120674</v>
      </c>
      <c r="M3" s="28">
        <f>Table10[[#This Row],[2027]]*(1+'Assumptions &amp; WACC'!$C$3)</f>
        <v>113672.81550894972</v>
      </c>
      <c r="N3" s="28">
        <f>Table10[[#This Row],[2028]]*(1+'Assumptions &amp; WACC'!$C$3)</f>
        <v>119893.66958449387</v>
      </c>
      <c r="O3" s="28">
        <f>Table10[[#This Row],[2029]]*(1+'Assumptions &amp; WACC'!$C$3)</f>
        <v>126454.96587795921</v>
      </c>
      <c r="Q3" s="43" t="s">
        <v>12</v>
      </c>
      <c r="R3" s="24">
        <f>Table15[[#This Row],[2024]]*(1+'Assumptions &amp; WACC'!D3)</f>
        <v>50518.88446924826</v>
      </c>
      <c r="S3" s="24">
        <f>Table927[[#This Row],[2025]]*(1+'Assumptions &amp; WACC'!$D$3)</f>
        <v>54230.842693892038</v>
      </c>
      <c r="T3" s="24">
        <f>Table927[[#This Row],[2026]]*(1+'Assumptions &amp; WACC'!$D$3)</f>
        <v>58215.543161486326</v>
      </c>
      <c r="U3" s="24">
        <f>Table927[[#This Row],[2027]]*(1+'Assumptions &amp; WACC'!$D$3)</f>
        <v>62493.026057450195</v>
      </c>
      <c r="V3" s="24">
        <f>Table927[[#This Row],[2028]]*(1+'Assumptions &amp; WACC'!$D$3)</f>
        <v>67084.804052826075</v>
      </c>
      <c r="W3" s="24">
        <f>Table927[[#This Row],[2029]]*(1+'Assumptions &amp; WACC'!$D$3)</f>
        <v>72013.970497585644</v>
      </c>
      <c r="X3" s="17"/>
      <c r="Y3" s="27" t="s">
        <v>12</v>
      </c>
      <c r="Z3" s="28">
        <f>Table1811[[#This Row],[2024]]*(1+'Assumptions &amp; WACC'!E3)</f>
        <v>20917.857632436884</v>
      </c>
      <c r="AA3" s="28">
        <f>Table1028[[#This Row],[2025]]*(1+'Assumptions &amp; WACC'!$E$3)</f>
        <v>21767.91044877857</v>
      </c>
      <c r="AB3" s="28">
        <f>Table1028[[#This Row],[2026]]*(1+'Assumptions &amp; WACC'!$E$3)</f>
        <v>22652.50742366974</v>
      </c>
      <c r="AC3" s="28">
        <f>Table1028[[#This Row],[2027]]*(1+'Assumptions &amp; WACC'!$E$3)</f>
        <v>23573.052350929967</v>
      </c>
      <c r="AD3" s="28">
        <f>Table1028[[#This Row],[2028]]*(1+'Assumptions &amp; WACC'!$E$3)</f>
        <v>24531.006071276788</v>
      </c>
      <c r="AE3" s="28">
        <f>Table1028[[#This Row],[2029]]*(1+'Assumptions &amp; WACC'!$E$3)</f>
        <v>25527.888790578218</v>
      </c>
      <c r="AG3" s="17" t="s">
        <v>12</v>
      </c>
      <c r="AH3" s="24">
        <f>Table181114[[#This Row],[2024]]*(1+'Assumptions &amp; WACC'!F3)</f>
        <v>708368.48900123418</v>
      </c>
      <c r="AI3" s="24">
        <f>Table92731[[#This Row],[2025]]*(1+'Assumptions &amp; WACC'!$F$3)</f>
        <v>736853.11161022878</v>
      </c>
      <c r="AJ3" s="24">
        <f>Table92731[[#This Row],[2026]]*(1+'Assumptions &amp; WACC'!$F$3)</f>
        <v>766483.14615915995</v>
      </c>
      <c r="AK3" s="24">
        <f>Table92731[[#This Row],[2027]]*(1+'Assumptions &amp; WACC'!$F$3)</f>
        <v>797304.65148230328</v>
      </c>
      <c r="AL3" s="24">
        <f>Table92731[[#This Row],[2028]]*(1+'Assumptions &amp; WACC'!$F$3)</f>
        <v>829365.53851285239</v>
      </c>
      <c r="AM3" s="24">
        <f>Table92731[[#This Row],[2029]]*(1+'Assumptions &amp; WACC'!$F$3)</f>
        <v>862715.64475876</v>
      </c>
    </row>
    <row r="4" spans="1:39" x14ac:dyDescent="0.3">
      <c r="A4" s="17" t="s">
        <v>75</v>
      </c>
      <c r="B4" s="24">
        <f>B3*'Assumptions &amp; WACC'!$B$4</f>
        <v>19491.821214215473</v>
      </c>
      <c r="C4" s="24">
        <f>C3*'Assumptions &amp; WACC'!$B$4</f>
        <v>20163.137626239404</v>
      </c>
      <c r="D4" s="24">
        <f>D3*'Assumptions &amp; WACC'!$B$4</f>
        <v>20857.57479850938</v>
      </c>
      <c r="E4" s="24">
        <f>E3*'Assumptions &amp; WACC'!$B$4</f>
        <v>21575.929031465523</v>
      </c>
      <c r="F4" s="24">
        <f>F3*'Assumptions &amp; WACC'!$B$4</f>
        <v>22319.024050874119</v>
      </c>
      <c r="G4" s="24">
        <f>G3*'Assumptions &amp; WACC'!$B$4</f>
        <v>23087.711952381309</v>
      </c>
      <c r="H4" s="17"/>
      <c r="I4" s="27" t="s">
        <v>75</v>
      </c>
      <c r="J4" s="28">
        <f>J3*'Assumptions &amp; WACC'!$C$4</f>
        <v>13306.582732472003</v>
      </c>
      <c r="K4" s="28">
        <f>K3*'Assumptions &amp; WACC'!$C$4</f>
        <v>14034.798260980195</v>
      </c>
      <c r="L4" s="28">
        <f>L3*'Assumptions &amp; WACC'!$C$4</f>
        <v>14802.866084147507</v>
      </c>
      <c r="M4" s="28">
        <f>M3*'Assumptions &amp; WACC'!$C$4</f>
        <v>15612.967157099754</v>
      </c>
      <c r="N4" s="28">
        <f>N3*'Assumptions &amp; WACC'!$C$4</f>
        <v>16467.401789828051</v>
      </c>
      <c r="O4" s="28">
        <f>O3*'Assumptions &amp; WACC'!$C$4</f>
        <v>17368.596178998516</v>
      </c>
      <c r="Q4" s="43" t="s">
        <v>75</v>
      </c>
      <c r="R4" s="24">
        <f>R3*'Assumptions &amp; WACC'!$D$4</f>
        <v>16312.334702663411</v>
      </c>
      <c r="S4" s="24">
        <f>S3*'Assumptions &amp; WACC'!$D$4</f>
        <v>17510.910356081728</v>
      </c>
      <c r="T4" s="24">
        <f>T3*'Assumptions &amp; WACC'!$D$4</f>
        <v>18797.553329301452</v>
      </c>
      <c r="U4" s="24">
        <f>U3*'Assumptions &amp; WACC'!$D$4</f>
        <v>20178.734513663396</v>
      </c>
      <c r="V4" s="24">
        <f>V3*'Assumptions &amp; WACC'!$D$4</f>
        <v>21661.400259905098</v>
      </c>
      <c r="W4" s="24">
        <f>W3*'Assumptions &amp; WACC'!$D$4</f>
        <v>23253.00731332292</v>
      </c>
      <c r="X4" s="17"/>
      <c r="Y4" s="27" t="s">
        <v>75</v>
      </c>
      <c r="Z4" s="28">
        <f>Z3*'Assumptions &amp; WACC'!$E$4</f>
        <v>4020.1039275439316</v>
      </c>
      <c r="AA4" s="28">
        <f>AA3*'Assumptions &amp; WACC'!$E$4</f>
        <v>4183.4715498713658</v>
      </c>
      <c r="AB4" s="28">
        <f>AB3*'Assumptions &amp; WACC'!$E$4</f>
        <v>4353.4780503238308</v>
      </c>
      <c r="AC4" s="28">
        <f>AC3*'Assumptions &amp; WACC'!$E$4</f>
        <v>4530.3932173828562</v>
      </c>
      <c r="AD4" s="28">
        <f>AD3*'Assumptions &amp; WACC'!$E$4</f>
        <v>4714.4978031029441</v>
      </c>
      <c r="AE4" s="28">
        <f>AE3*'Assumptions &amp; WACC'!$E$4</f>
        <v>4906.0839686455329</v>
      </c>
      <c r="AG4" s="17" t="s">
        <v>75</v>
      </c>
      <c r="AH4" s="24">
        <f>AH3*'Assumptions &amp; WACC'!$F$4</f>
        <v>26450.287696052401</v>
      </c>
      <c r="AI4" s="24">
        <f>AI3*'Assumptions &amp; WACC'!$F$4</f>
        <v>27513.895796384026</v>
      </c>
      <c r="AJ4" s="24">
        <f>AJ3*'Assumptions &amp; WACC'!$F$4</f>
        <v>28620.273268606448</v>
      </c>
      <c r="AK4" s="24">
        <f>AK3*'Assumptions &amp; WACC'!$F$4</f>
        <v>29771.139937128079</v>
      </c>
      <c r="AL4" s="24">
        <f>AL3*'Assumptions &amp; WACC'!$F$4</f>
        <v>30968.284783229756</v>
      </c>
      <c r="AM4" s="24">
        <f>AM3*'Assumptions &amp; WACC'!$F$4</f>
        <v>32213.568725972487</v>
      </c>
    </row>
    <row r="5" spans="1:39" s="95" customFormat="1" x14ac:dyDescent="0.3">
      <c r="A5" s="21" t="s">
        <v>76</v>
      </c>
      <c r="B5" s="30">
        <f>B4*(1-'Assumptions &amp; WACC'!$B$14)</f>
        <v>15008.702334945914</v>
      </c>
      <c r="C5" s="30">
        <f>C4*(1-'Assumptions &amp; WACC'!$B$14)</f>
        <v>15525.615972204341</v>
      </c>
      <c r="D5" s="30">
        <f>D4*(1-'Assumptions &amp; WACC'!$B$14)</f>
        <v>16060.332594852223</v>
      </c>
      <c r="E5" s="30">
        <f>E4*(1-'Assumptions &amp; WACC'!$B$14)</f>
        <v>16613.465354228454</v>
      </c>
      <c r="F5" s="30">
        <f>F4*(1-'Assumptions &amp; WACC'!$B$14)</f>
        <v>17185.648519173072</v>
      </c>
      <c r="G5" s="30">
        <f>G4*(1-'Assumptions &amp; WACC'!$B$14)</f>
        <v>17777.53820333361</v>
      </c>
      <c r="H5" s="21"/>
      <c r="I5" s="93" t="s">
        <v>76</v>
      </c>
      <c r="J5" s="94">
        <f>J4*(1-'Assumptions &amp; WACC'!$C$14)</f>
        <v>10246.068704003443</v>
      </c>
      <c r="K5" s="94">
        <f>K4*(1-'Assumptions &amp; WACC'!$C$14)</f>
        <v>10806.794660954751</v>
      </c>
      <c r="L5" s="94">
        <f>L4*(1-'Assumptions &amp; WACC'!$C$14)</f>
        <v>11398.206884793581</v>
      </c>
      <c r="M5" s="94">
        <f>M4*(1-'Assumptions &amp; WACC'!$C$14)</f>
        <v>12021.984710966812</v>
      </c>
      <c r="N5" s="94">
        <f>N4*(1-'Assumptions &amp; WACC'!$C$14)</f>
        <v>12679.8993781676</v>
      </c>
      <c r="O5" s="94">
        <f>O4*(1-'Assumptions &amp; WACC'!$C$14)</f>
        <v>13373.819057828858</v>
      </c>
      <c r="Q5" s="91" t="s">
        <v>76</v>
      </c>
      <c r="R5" s="30">
        <f>R4*(1-'Assumptions &amp; WACC'!$B$14)</f>
        <v>12560.497721050826</v>
      </c>
      <c r="S5" s="30">
        <f>S4*(1-'Assumptions &amp; WACC'!$B$14)</f>
        <v>13483.40097418293</v>
      </c>
      <c r="T5" s="30">
        <f>T4*(1-'Assumptions &amp; WACC'!$B$14)</f>
        <v>14474.116063562118</v>
      </c>
      <c r="U5" s="30">
        <f>U4*(1-'Assumptions &amp; WACC'!$B$14)</f>
        <v>15537.625575520815</v>
      </c>
      <c r="V5" s="30">
        <f>V4*(1-'Assumptions &amp; WACC'!$B$14)</f>
        <v>16679.278200126926</v>
      </c>
      <c r="W5" s="30">
        <f>W4*(1-'Assumptions &amp; WACC'!$B$14)</f>
        <v>17904.815631258647</v>
      </c>
      <c r="X5" s="21"/>
      <c r="Y5" s="93" t="s">
        <v>76</v>
      </c>
      <c r="Z5" s="94">
        <f>Z4*(1-'Assumptions &amp; WACC'!$C$14)</f>
        <v>3095.4800242088272</v>
      </c>
      <c r="AA5" s="94">
        <f>AA4*(1-'Assumptions &amp; WACC'!$C$14)</f>
        <v>3221.2730934009519</v>
      </c>
      <c r="AB5" s="94">
        <f>AB4*(1-'Assumptions &amp; WACC'!$C$14)</f>
        <v>3352.1780987493498</v>
      </c>
      <c r="AC5" s="94">
        <f>AC4*(1-'Assumptions &amp; WACC'!$C$14)</f>
        <v>3488.4027773847993</v>
      </c>
      <c r="AD5" s="94">
        <f>AD4*(1-'Assumptions &amp; WACC'!$C$14)</f>
        <v>3630.1633083892671</v>
      </c>
      <c r="AE5" s="94">
        <f>AE4*(1-'Assumptions &amp; WACC'!$C$14)</f>
        <v>3777.6846558570605</v>
      </c>
      <c r="AG5" s="21" t="s">
        <v>76</v>
      </c>
      <c r="AH5" s="30">
        <f>AH4*(1-'Assumptions &amp; WACC'!$B$14)</f>
        <v>20366.721525960351</v>
      </c>
      <c r="AI5" s="30">
        <f>AI4*(1-'Assumptions &amp; WACC'!$B$14)</f>
        <v>21185.6997632157</v>
      </c>
      <c r="AJ5" s="30">
        <f>AJ4*(1-'Assumptions &amp; WACC'!$B$14)</f>
        <v>22037.610416826967</v>
      </c>
      <c r="AK5" s="30">
        <f>AK4*(1-'Assumptions &amp; WACC'!$B$14)</f>
        <v>22923.777751588623</v>
      </c>
      <c r="AL5" s="30">
        <f>AL4*(1-'Assumptions &amp; WACC'!$B$14)</f>
        <v>23845.579283086914</v>
      </c>
      <c r="AM5" s="30">
        <f>AM4*(1-'Assumptions &amp; WACC'!$B$14)</f>
        <v>24804.447918998816</v>
      </c>
    </row>
    <row r="6" spans="1:39" x14ac:dyDescent="0.3">
      <c r="A6" s="17" t="s">
        <v>77</v>
      </c>
      <c r="B6" s="24">
        <f>B3*'Assumptions &amp; WACC'!$B$5</f>
        <v>3130.9721434655062</v>
      </c>
      <c r="C6" s="24">
        <f>C3*'Assumptions &amp; WACC'!$B$5</f>
        <v>3238.8057297886371</v>
      </c>
      <c r="D6" s="24">
        <f>D3*'Assumptions &amp; WACC'!$B$5</f>
        <v>3350.3532048998159</v>
      </c>
      <c r="E6" s="24">
        <f>E3*'Assumptions &amp; WACC'!$B$5</f>
        <v>3465.742478575582</v>
      </c>
      <c r="F6" s="24">
        <f>F3*'Assumptions &amp; WACC'!$B$5</f>
        <v>3585.1058659238852</v>
      </c>
      <c r="G6" s="24">
        <f>G3*'Assumptions &amp; WACC'!$B$5</f>
        <v>3708.5802391077887</v>
      </c>
      <c r="H6" s="17"/>
      <c r="I6" s="27" t="s">
        <v>77</v>
      </c>
      <c r="J6" s="28">
        <f>J3*'Assumptions &amp; WACC'!$C$5</f>
        <v>3262.5107575805951</v>
      </c>
      <c r="K6" s="28">
        <f>K3*'Assumptions &amp; WACC'!$C$5</f>
        <v>3441.054794269859</v>
      </c>
      <c r="L6" s="28">
        <f>L3*'Assumptions &amp; WACC'!$C$5</f>
        <v>3629.3698249591362</v>
      </c>
      <c r="M6" s="28">
        <f>M3*'Assumptions &amp; WACC'!$C$5</f>
        <v>3827.9905766856241</v>
      </c>
      <c r="N6" s="28">
        <f>N3*'Assumptions &amp; WACC'!$C$5</f>
        <v>4037.4810399375392</v>
      </c>
      <c r="O6" s="28">
        <f>O3*'Assumptions &amp; WACC'!$C$5</f>
        <v>4258.4360701245951</v>
      </c>
      <c r="Q6" s="43" t="s">
        <v>77</v>
      </c>
      <c r="R6" s="24">
        <f>R3*'Assumptions &amp; WACC'!$D$5</f>
        <v>1570.680346386878</v>
      </c>
      <c r="S6" s="24">
        <f>S3*'Assumptions &amp; WACC'!$D$5</f>
        <v>1686.0886712402528</v>
      </c>
      <c r="T6" s="24">
        <f>T3*'Assumptions &amp; WACC'!$D$5</f>
        <v>1809.9768128024189</v>
      </c>
      <c r="U6" s="24">
        <f>U3*'Assumptions &amp; WACC'!$D$5</f>
        <v>1942.9678395695714</v>
      </c>
      <c r="V6" s="24">
        <f>V3*'Assumptions &amp; WACC'!$D$5</f>
        <v>2085.7306010216544</v>
      </c>
      <c r="W6" s="24">
        <f>W3*'Assumptions &amp; WACC'!$D$5</f>
        <v>2238.98309145553</v>
      </c>
      <c r="X6" s="17"/>
      <c r="Y6" s="27" t="s">
        <v>77</v>
      </c>
      <c r="Z6" s="28">
        <f>Z3*'Assumptions &amp; WACC'!$E$5</f>
        <v>643.43629371355996</v>
      </c>
      <c r="AA6" s="28">
        <f>AA3*'Assumptions &amp; WACC'!$E$5</f>
        <v>669.5840399703045</v>
      </c>
      <c r="AB6" s="28">
        <f>AB3*'Assumptions &amp; WACC'!$E$5</f>
        <v>696.79436948663044</v>
      </c>
      <c r="AC6" s="28">
        <f>AC3*'Assumptions &amp; WACC'!$E$5</f>
        <v>725.11046316128352</v>
      </c>
      <c r="AD6" s="28">
        <f>AD3*'Assumptions &amp; WACC'!$E$5</f>
        <v>754.57725666375313</v>
      </c>
      <c r="AE6" s="28">
        <f>AE3*'Assumptions &amp; WACC'!$E$5</f>
        <v>785.24151174405131</v>
      </c>
      <c r="AG6" s="17" t="s">
        <v>77</v>
      </c>
      <c r="AH6" s="24">
        <f>AH3*'Assumptions &amp; WACC'!$F$5</f>
        <v>13276.214191427693</v>
      </c>
      <c r="AI6" s="24">
        <f>AI3*'Assumptions &amp; WACC'!$F$5</f>
        <v>13810.071861257409</v>
      </c>
      <c r="AJ6" s="24">
        <f>AJ3*'Assumptions &amp; WACC'!$F$5</f>
        <v>14365.396796342611</v>
      </c>
      <c r="AK6" s="24">
        <f>AK3*'Assumptions &amp; WACC'!$F$5</f>
        <v>14943.052229532788</v>
      </c>
      <c r="AL6" s="24">
        <f>AL3*'Assumptions &amp; WACC'!$F$5</f>
        <v>15543.936105642069</v>
      </c>
      <c r="AM6" s="24">
        <f>AM3*'Assumptions &amp; WACC'!$F$5</f>
        <v>16168.982477272484</v>
      </c>
    </row>
    <row r="7" spans="1:39" x14ac:dyDescent="0.3">
      <c r="A7" s="17" t="s">
        <v>31</v>
      </c>
      <c r="B7" s="24">
        <f>B3*'Assumptions &amp; WACC'!$B$6</f>
        <v>3403.9513596448146</v>
      </c>
      <c r="C7" s="24">
        <f>C3*'Assumptions &amp; WACC'!$B$6</f>
        <v>3521.186603511826</v>
      </c>
      <c r="D7" s="24">
        <f>D3*'Assumptions &amp; WACC'!$B$6</f>
        <v>3642.4595379779153</v>
      </c>
      <c r="E7" s="24">
        <f>E3*'Assumptions &amp; WACC'!$B$6</f>
        <v>3767.9092248544985</v>
      </c>
      <c r="F7" s="24">
        <f>F3*'Assumptions &amp; WACC'!$B$6</f>
        <v>3897.6795153708322</v>
      </c>
      <c r="G7" s="24">
        <f>G3*'Assumptions &amp; WACC'!$B$6</f>
        <v>4031.9192151260117</v>
      </c>
      <c r="H7" s="17"/>
      <c r="I7" s="27" t="s">
        <v>31</v>
      </c>
      <c r="J7" s="28">
        <f>J3*'Assumptions &amp; WACC'!$C$6</f>
        <v>5751.4769587244291</v>
      </c>
      <c r="K7" s="28">
        <f>K3*'Assumptions &amp; WACC'!$C$6</f>
        <v>6066.2320628263615</v>
      </c>
      <c r="L7" s="28">
        <f>L3*'Assumptions &amp; WACC'!$C$6</f>
        <v>6398.2124424999765</v>
      </c>
      <c r="M7" s="28">
        <f>M3*'Assumptions &amp; WACC'!$C$6</f>
        <v>6748.3607675055227</v>
      </c>
      <c r="N7" s="28">
        <f>N3*'Assumptions &amp; WACC'!$C$6</f>
        <v>7117.6712961118428</v>
      </c>
      <c r="O7" s="28">
        <f>O3*'Assumptions &amp; WACC'!$C$6</f>
        <v>7507.1926983270878</v>
      </c>
      <c r="Q7" s="43" t="s">
        <v>31</v>
      </c>
      <c r="R7" s="24">
        <f>R3*'Assumptions &amp; WACC'!$D$6</f>
        <v>1934.1938725309808</v>
      </c>
      <c r="S7" s="24">
        <f>S3*'Assumptions &amp; WACC'!$D$6</f>
        <v>2076.3119523070168</v>
      </c>
      <c r="T7" s="24">
        <f>T3*'Assumptions &amp; WACC'!$D$6</f>
        <v>2228.872392017116</v>
      </c>
      <c r="U7" s="24">
        <f>U3*'Assumptions &amp; WACC'!$D$6</f>
        <v>2392.6424612526234</v>
      </c>
      <c r="V7" s="24">
        <f>V3*'Assumptions &amp; WACC'!$D$6</f>
        <v>2568.4458060015536</v>
      </c>
      <c r="W7" s="24">
        <f>W3*'Assumptions &amp; WACC'!$D$6</f>
        <v>2757.1665909971675</v>
      </c>
      <c r="X7" s="17"/>
      <c r="Y7" s="27" t="s">
        <v>31</v>
      </c>
      <c r="Z7" s="28">
        <f>Z3*'Assumptions &amp; WACC'!$E$6</f>
        <v>672.4961832233829</v>
      </c>
      <c r="AA7" s="28">
        <f>AA3*'Assumptions &amp; WACC'!$E$6</f>
        <v>699.82485543126791</v>
      </c>
      <c r="AB7" s="28">
        <f>AB3*'Assumptions &amp; WACC'!$E$6</f>
        <v>728.26410096771235</v>
      </c>
      <c r="AC7" s="28">
        <f>AC3*'Assumptions &amp; WACC'!$E$6</f>
        <v>757.85905093563747</v>
      </c>
      <c r="AD7" s="28">
        <f>AD3*'Assumptions &amp; WACC'!$E$6</f>
        <v>788.65667046044473</v>
      </c>
      <c r="AE7" s="28">
        <f>AE3*'Assumptions &amp; WACC'!$E$6</f>
        <v>820.70583322040079</v>
      </c>
      <c r="AG7" s="17" t="s">
        <v>31</v>
      </c>
      <c r="AH7" s="24">
        <f>AH3*'Assumptions &amp; WACC'!$F$6</f>
        <v>19509.562877022727</v>
      </c>
      <c r="AI7" s="24">
        <f>AI3*'Assumptions &amp; WACC'!$F$6</f>
        <v>20294.07340289604</v>
      </c>
      <c r="AJ7" s="24">
        <f>AJ3*'Assumptions &amp; WACC'!$F$6</f>
        <v>21110.130343678058</v>
      </c>
      <c r="AK7" s="24">
        <f>AK3*'Assumptions &amp; WACC'!$F$6</f>
        <v>21959.002230842576</v>
      </c>
      <c r="AL7" s="24">
        <f>AL3*'Assumptions &amp; WACC'!$F$6</f>
        <v>22842.008605529765</v>
      </c>
      <c r="AM7" s="24">
        <f>AM3*'Assumptions &amp; WACC'!$F$6</f>
        <v>23760.522069725925</v>
      </c>
    </row>
    <row r="8" spans="1:39" x14ac:dyDescent="0.3">
      <c r="A8" s="29" t="s">
        <v>78</v>
      </c>
      <c r="B8" s="24">
        <f>'Assumptions &amp; WACC'!I11-'Assumptions &amp; WACC'!M3</f>
        <v>-1798.6998520142315</v>
      </c>
      <c r="C8" s="24">
        <f>'Assumptions &amp; WACC'!J11-'Assumptions &amp; WACC'!I11</f>
        <v>-369.09308854858318</v>
      </c>
      <c r="D8" s="24">
        <f>'Assumptions &amp; WACC'!K11-'Assumptions &amp; WACC'!J11</f>
        <v>-381.80499705544571</v>
      </c>
      <c r="E8" s="24">
        <f>'Assumptions &amp; WACC'!L11-'Assumptions &amp; WACC'!K11</f>
        <v>-394.95471548858768</v>
      </c>
      <c r="F8" s="24">
        <f>'Assumptions &amp; WACC'!M11-'Assumptions &amp; WACC'!L11</f>
        <v>-408.55732242817794</v>
      </c>
      <c r="G8" s="24">
        <f>'Assumptions &amp; WACC'!N11-'Assumptions &amp; WACC'!M11</f>
        <v>-422.62841577468316</v>
      </c>
      <c r="H8" s="17"/>
      <c r="I8" s="27" t="s">
        <v>78</v>
      </c>
      <c r="J8" s="28">
        <f>'Assumptions &amp; WACC'!I12-'Assumptions &amp; WACC'!M4</f>
        <v>985.37457634251859</v>
      </c>
      <c r="K8" s="28">
        <f>'Assumptions &amp; WACC'!J12-'Assumptions &amp; WACC'!I12</f>
        <v>-258.55966697565509</v>
      </c>
      <c r="L8" s="28">
        <f>'Assumptions &amp; WACC'!K12-'Assumptions &amp; WACC'!J12</f>
        <v>-272.70959324320847</v>
      </c>
      <c r="M8" s="28">
        <f>'Assumptions &amp; WACC'!L12-'Assumptions &amp; WACC'!K12</f>
        <v>-287.6338878247343</v>
      </c>
      <c r="N8" s="28">
        <f>'Assumptions &amp; WACC'!M12-'Assumptions &amp; WACC'!L12</f>
        <v>-303.37492877043223</v>
      </c>
      <c r="O8" s="28">
        <f>'Assumptions &amp; WACC'!N12-'Assumptions &amp; WACC'!M12</f>
        <v>-319.97741331002635</v>
      </c>
      <c r="Q8" s="29" t="s">
        <v>78</v>
      </c>
      <c r="R8" s="24">
        <f>'Assumptions &amp; WACC'!I13-'Assumptions &amp; WACC'!M5</f>
        <v>2663.1349640180065</v>
      </c>
      <c r="S8" s="24">
        <f>'Assumptions &amp; WACC'!J13-'Assumptions &amp; WACC'!I13</f>
        <v>250.63875851740522</v>
      </c>
      <c r="T8" s="24">
        <f>'Assumptions &amp; WACC'!K13-'Assumptions &amp; WACC'!J13</f>
        <v>269.05485402045406</v>
      </c>
      <c r="U8" s="24">
        <f>'Assumptions &amp; WACC'!L13-'Assumptions &amp; WACC'!K13</f>
        <v>288.82410246594372</v>
      </c>
      <c r="V8" s="24">
        <f>'Assumptions &amp; WACC'!M13-'Assumptions &amp; WACC'!L13</f>
        <v>310.04592899452564</v>
      </c>
      <c r="W8" s="24">
        <f>'Assumptions &amp; WACC'!N13-'Assumptions &amp; WACC'!M13</f>
        <v>332.8270641727795</v>
      </c>
      <c r="X8" s="17"/>
      <c r="Y8" s="27" t="s">
        <v>78</v>
      </c>
      <c r="Z8" s="28">
        <f>'Assumptions &amp; WACC'!I14-'Assumptions &amp; WACC'!M6</f>
        <v>781.79477104005571</v>
      </c>
      <c r="AA8" s="28">
        <f>'Assumptions &amp; WACC'!J14-'Assumptions &amp; WACC'!I14</f>
        <v>13.808464861758807</v>
      </c>
      <c r="AB8" s="28">
        <f>'Assumptions &amp; WACC'!K14-'Assumptions &amp; WACC'!J14</f>
        <v>14.3696085817013</v>
      </c>
      <c r="AC8" s="28">
        <f>'Assumptions &amp; WACC'!L14-'Assumptions &amp; WACC'!K14</f>
        <v>14.953555870149273</v>
      </c>
      <c r="AD8" s="28">
        <f>'Assumptions &amp; WACC'!M14-'Assumptions &amp; WACC'!L14</f>
        <v>15.561233410799161</v>
      </c>
      <c r="AE8" s="28">
        <f>'Assumptions &amp; WACC'!N14-'Assumptions &amp; WACC'!M14</f>
        <v>16.193605545605578</v>
      </c>
      <c r="AG8" s="29" t="s">
        <v>78</v>
      </c>
      <c r="AH8" s="24">
        <f>'Assumptions &amp; WACC'!I15-'Assumptions &amp; WACC'!M7</f>
        <v>3731.5055098591511</v>
      </c>
      <c r="AI8" s="24">
        <f>'Assumptions &amp; WACC'!J15-'Assumptions &amp; WACC'!I15</f>
        <v>-538.61390859984385</v>
      </c>
      <c r="AJ8" s="24">
        <f>'Assumptions &amp; WACC'!K15-'Assumptions &amp; WACC'!J15</f>
        <v>-560.27242977439892</v>
      </c>
      <c r="AK8" s="24">
        <f>'Assumptions &amp; WACC'!L15-'Assumptions &amp; WACC'!K15</f>
        <v>-582.80187450287849</v>
      </c>
      <c r="AL8" s="24">
        <f>'Assumptions &amp; WACC'!M15-'Assumptions &amp; WACC'!L15</f>
        <v>-606.23726400535816</v>
      </c>
      <c r="AM8" s="24">
        <f>'Assumptions &amp; WACC'!N15-'Assumptions &amp; WACC'!M15</f>
        <v>-630.6150277608449</v>
      </c>
    </row>
    <row r="9" spans="1:39" x14ac:dyDescent="0.3">
      <c r="A9" s="21" t="s">
        <v>79</v>
      </c>
      <c r="B9" s="30">
        <f>B5+B6-B7-B8</f>
        <v>16534.422970780837</v>
      </c>
      <c r="C9" s="30">
        <f t="shared" ref="C9:G9" si="0">C5+C6-C7-C8</f>
        <v>15612.328187029736</v>
      </c>
      <c r="D9" s="30">
        <f t="shared" si="0"/>
        <v>16150.031258829569</v>
      </c>
      <c r="E9" s="30">
        <f t="shared" si="0"/>
        <v>16706.253323438126</v>
      </c>
      <c r="F9" s="30">
        <f t="shared" si="0"/>
        <v>17281.632192154299</v>
      </c>
      <c r="G9" s="30">
        <f t="shared" si="0"/>
        <v>17876.827643090073</v>
      </c>
      <c r="H9" s="17"/>
      <c r="I9" s="31" t="s">
        <v>79</v>
      </c>
      <c r="J9" s="32">
        <f>J5+J6-J7-J8</f>
        <v>6771.727926517091</v>
      </c>
      <c r="K9" s="32">
        <f t="shared" ref="K9:O9" si="1">K5+K6-K7-K8</f>
        <v>8440.1770593739038</v>
      </c>
      <c r="L9" s="32">
        <f t="shared" si="1"/>
        <v>8902.0738604959479</v>
      </c>
      <c r="M9" s="32">
        <f t="shared" si="1"/>
        <v>9389.2484079716487</v>
      </c>
      <c r="N9" s="32">
        <f t="shared" si="1"/>
        <v>9903.0840507637276</v>
      </c>
      <c r="O9" s="32">
        <f t="shared" si="1"/>
        <v>10445.039842936392</v>
      </c>
      <c r="Q9" s="91" t="s">
        <v>79</v>
      </c>
      <c r="R9" s="30">
        <f>R5+R6-R7-R8</f>
        <v>9533.8492308887162</v>
      </c>
      <c r="S9" s="30">
        <f t="shared" ref="S9:W9" si="2">S5+S6-S7-S8</f>
        <v>12842.538934598762</v>
      </c>
      <c r="T9" s="30">
        <f t="shared" si="2"/>
        <v>13786.165630326966</v>
      </c>
      <c r="U9" s="30">
        <f t="shared" si="2"/>
        <v>14799.126851371817</v>
      </c>
      <c r="V9" s="30">
        <f t="shared" si="2"/>
        <v>15886.517066152501</v>
      </c>
      <c r="W9" s="30">
        <f t="shared" si="2"/>
        <v>17053.805067544232</v>
      </c>
      <c r="X9" s="17"/>
      <c r="Y9" s="31" t="s">
        <v>79</v>
      </c>
      <c r="Z9" s="32">
        <f>Z5+Z6-Z7-Z8</f>
        <v>2284.6253636589481</v>
      </c>
      <c r="AA9" s="32">
        <f t="shared" ref="AA9:AE9" si="3">AA5+AA6-AA7-AA8</f>
        <v>3177.2238130782298</v>
      </c>
      <c r="AB9" s="32">
        <f t="shared" si="3"/>
        <v>3306.3387586865665</v>
      </c>
      <c r="AC9" s="32">
        <f t="shared" si="3"/>
        <v>3440.7006337402963</v>
      </c>
      <c r="AD9" s="32">
        <f t="shared" si="3"/>
        <v>3580.5226611817761</v>
      </c>
      <c r="AE9" s="32">
        <f t="shared" si="3"/>
        <v>3726.026728835106</v>
      </c>
      <c r="AG9" s="21" t="s">
        <v>79</v>
      </c>
      <c r="AH9" s="30">
        <f>AH5+AH6-AH7-AH8</f>
        <v>10401.867330506164</v>
      </c>
      <c r="AI9" s="30">
        <f t="shared" ref="AI9:AM9" si="4">AI5+AI6-AI7-AI8</f>
        <v>15240.312130176917</v>
      </c>
      <c r="AJ9" s="30">
        <f t="shared" si="4"/>
        <v>15853.149299265919</v>
      </c>
      <c r="AK9" s="30">
        <f t="shared" si="4"/>
        <v>16490.629624781712</v>
      </c>
      <c r="AL9" s="30">
        <f t="shared" si="4"/>
        <v>17153.744047204578</v>
      </c>
      <c r="AM9" s="30">
        <f t="shared" si="4"/>
        <v>17843.52335430622</v>
      </c>
    </row>
    <row r="10" spans="1:39" x14ac:dyDescent="0.3">
      <c r="A10" s="22"/>
      <c r="B10" s="33"/>
      <c r="C10" s="33"/>
      <c r="D10" s="33"/>
      <c r="E10" s="33"/>
      <c r="F10" s="33"/>
      <c r="G10" s="33"/>
      <c r="H10" s="21"/>
      <c r="I10" s="21"/>
      <c r="J10" s="34"/>
      <c r="K10" s="34"/>
      <c r="L10" s="34"/>
      <c r="M10" s="34"/>
      <c r="N10" s="34"/>
      <c r="O10" s="34"/>
      <c r="Q10" s="91"/>
      <c r="R10" s="33"/>
      <c r="S10" s="33"/>
      <c r="T10" s="33"/>
      <c r="U10" s="33"/>
      <c r="V10" s="33"/>
      <c r="W10" s="33"/>
      <c r="X10" s="21"/>
      <c r="Y10" s="21"/>
      <c r="Z10" s="34"/>
      <c r="AA10" s="34"/>
      <c r="AB10" s="34"/>
      <c r="AC10" s="34"/>
      <c r="AD10" s="34"/>
      <c r="AE10" s="34"/>
      <c r="AG10" s="22"/>
      <c r="AH10" s="33"/>
      <c r="AI10" s="33"/>
      <c r="AJ10" s="33"/>
      <c r="AK10" s="33"/>
      <c r="AL10" s="33"/>
      <c r="AM10" s="33"/>
    </row>
    <row r="11" spans="1:39" x14ac:dyDescent="0.3">
      <c r="A11" s="17"/>
      <c r="B11" s="17"/>
      <c r="C11" s="17"/>
      <c r="D11" s="17"/>
      <c r="E11" s="17"/>
      <c r="F11" s="17"/>
      <c r="G11" s="17"/>
      <c r="H11" s="17"/>
      <c r="I11" s="17"/>
      <c r="J11" s="18"/>
      <c r="K11" s="18"/>
      <c r="L11" s="18"/>
      <c r="M11" s="18"/>
      <c r="N11" s="18"/>
      <c r="O11" s="18"/>
      <c r="Q11" s="43"/>
      <c r="R11" s="17"/>
      <c r="S11" s="17"/>
      <c r="T11" s="17"/>
      <c r="U11" s="17"/>
      <c r="V11" s="17"/>
      <c r="W11" s="17"/>
      <c r="X11" s="17"/>
      <c r="Y11" s="17"/>
      <c r="Z11" s="18"/>
      <c r="AA11" s="18"/>
      <c r="AB11" s="18"/>
      <c r="AC11" s="18"/>
      <c r="AD11" s="18"/>
      <c r="AE11" s="18"/>
      <c r="AG11" s="17"/>
      <c r="AH11" s="17"/>
      <c r="AI11" s="17"/>
      <c r="AJ11" s="17"/>
      <c r="AK11" s="17"/>
      <c r="AL11" s="17"/>
      <c r="AM11" s="17"/>
    </row>
    <row r="12" spans="1:39" x14ac:dyDescent="0.3">
      <c r="A12" s="17" t="s">
        <v>80</v>
      </c>
      <c r="B12" s="18" t="s">
        <v>44</v>
      </c>
      <c r="C12" s="17"/>
      <c r="D12" s="17"/>
      <c r="E12" s="17"/>
      <c r="F12" s="17"/>
      <c r="G12" s="17"/>
      <c r="H12" s="17"/>
      <c r="I12" s="17" t="s">
        <v>80</v>
      </c>
      <c r="J12" s="18" t="s">
        <v>44</v>
      </c>
      <c r="K12" s="18"/>
      <c r="L12" s="18"/>
      <c r="M12" s="18"/>
      <c r="N12" s="18"/>
      <c r="O12" s="18"/>
      <c r="Q12" s="43" t="s">
        <v>80</v>
      </c>
      <c r="R12" s="18" t="s">
        <v>44</v>
      </c>
      <c r="S12" s="17"/>
      <c r="T12" s="17"/>
      <c r="U12" s="17"/>
      <c r="V12" s="17"/>
      <c r="W12" s="17"/>
      <c r="X12" s="17"/>
      <c r="Y12" s="17" t="s">
        <v>80</v>
      </c>
      <c r="Z12" s="18" t="s">
        <v>44</v>
      </c>
      <c r="AA12" s="18"/>
      <c r="AB12" s="18"/>
      <c r="AC12" s="18"/>
      <c r="AD12" s="18"/>
      <c r="AE12" s="18"/>
      <c r="AG12" s="17" t="s">
        <v>80</v>
      </c>
      <c r="AH12" s="18" t="s">
        <v>44</v>
      </c>
      <c r="AI12" s="17"/>
      <c r="AJ12" s="17"/>
      <c r="AK12" s="17"/>
      <c r="AL12" s="17"/>
      <c r="AM12" s="17"/>
    </row>
    <row r="13" spans="1:39" x14ac:dyDescent="0.3">
      <c r="A13" s="17" t="s">
        <v>81</v>
      </c>
      <c r="B13" s="19">
        <f ca="1">G9*(1+'Assumptions &amp; WACC'!B25)/('Assumptions &amp; WACC'!B21-'Assumptions &amp; WACC'!B25)</f>
        <v>517550.58209653676</v>
      </c>
      <c r="C13" s="17"/>
      <c r="D13" s="17"/>
      <c r="E13" s="17"/>
      <c r="F13" s="17"/>
      <c r="G13" s="17"/>
      <c r="H13" s="17"/>
      <c r="I13" s="27" t="s">
        <v>81</v>
      </c>
      <c r="J13" s="28">
        <f ca="1">O9*(1+'Assumptions &amp; WACC'!C25)/('Assumptions &amp; WACC'!C21-'Assumptions &amp; WACC'!C25)</f>
        <v>320383.99699511065</v>
      </c>
      <c r="K13" s="18"/>
      <c r="L13" s="18"/>
      <c r="M13" s="18"/>
      <c r="N13" s="18"/>
      <c r="O13" s="18"/>
      <c r="Q13" s="43" t="s">
        <v>81</v>
      </c>
      <c r="R13" s="19">
        <f ca="1">W9*(1+'Assumptions &amp; WACC'!D25)/('Assumptions &amp; WACC'!D21-'Assumptions &amp; WACC'!D25)</f>
        <v>498715.67043780861</v>
      </c>
      <c r="S13" s="17"/>
      <c r="T13" s="17"/>
      <c r="U13" s="17"/>
      <c r="V13" s="17"/>
      <c r="W13" s="17"/>
      <c r="X13" s="17"/>
      <c r="Y13" s="27" t="s">
        <v>81</v>
      </c>
      <c r="Z13" s="28">
        <f ca="1">AE9*(1+'Assumptions &amp; WACC'!E25)/('Assumptions &amp; WACC'!E21-'Assumptions &amp; WACC'!E25)</f>
        <v>124282.71609942528</v>
      </c>
      <c r="AA13" s="18"/>
      <c r="AB13" s="18"/>
      <c r="AC13" s="18"/>
      <c r="AD13" s="18"/>
      <c r="AE13" s="18"/>
      <c r="AG13" s="17" t="s">
        <v>81</v>
      </c>
      <c r="AH13" s="19">
        <f ca="1">AM9*(1+'Assumptions &amp; WACC'!F25)/('Assumptions &amp; WACC'!F21-'Assumptions &amp; WACC'!F25)</f>
        <v>478635.65492271457</v>
      </c>
      <c r="AI13" s="17"/>
      <c r="AJ13" s="17"/>
      <c r="AK13" s="17"/>
      <c r="AL13" s="17"/>
      <c r="AM13" s="17"/>
    </row>
    <row r="14" spans="1:39" x14ac:dyDescent="0.3">
      <c r="A14" s="17" t="s">
        <v>82</v>
      </c>
      <c r="B14" s="19">
        <f ca="1">B13*'Assumptions &amp; WACC'!B23</f>
        <v>374856.44265546981</v>
      </c>
      <c r="C14" s="17"/>
      <c r="D14" s="17"/>
      <c r="E14" s="17"/>
      <c r="F14" s="17"/>
      <c r="G14" s="17"/>
      <c r="H14" s="17"/>
      <c r="I14" s="27" t="s">
        <v>82</v>
      </c>
      <c r="J14" s="28">
        <f ca="1">J13*'Assumptions &amp; WACC'!C23</f>
        <v>234678.31020882627</v>
      </c>
      <c r="K14" s="18"/>
      <c r="L14" s="18"/>
      <c r="M14" s="18"/>
      <c r="N14" s="18"/>
      <c r="O14" s="18"/>
      <c r="Q14" s="43" t="s">
        <v>82</v>
      </c>
      <c r="R14" s="19">
        <f ca="1">R13*'Assumptions &amp; WACC'!D23</f>
        <v>361939.72849186521</v>
      </c>
      <c r="S14" s="17"/>
      <c r="T14" s="17"/>
      <c r="U14" s="17"/>
      <c r="V14" s="17"/>
      <c r="W14" s="17"/>
      <c r="X14" s="17"/>
      <c r="Y14" s="27" t="s">
        <v>82</v>
      </c>
      <c r="Z14" s="28">
        <f ca="1">Z13*'Assumptions &amp; WACC'!E23</f>
        <v>92434.974540835887</v>
      </c>
      <c r="AA14" s="18"/>
      <c r="AB14" s="18"/>
      <c r="AC14" s="18"/>
      <c r="AD14" s="18"/>
      <c r="AE14" s="18"/>
      <c r="AG14" s="17" t="s">
        <v>82</v>
      </c>
      <c r="AH14" s="19">
        <f ca="1">AH13*'Assumptions &amp; WACC'!F23</f>
        <v>321814.60230061488</v>
      </c>
      <c r="AI14" s="17"/>
      <c r="AJ14" s="17"/>
      <c r="AK14" s="17"/>
      <c r="AL14" s="17"/>
      <c r="AM14" s="17"/>
    </row>
    <row r="15" spans="1:39" x14ac:dyDescent="0.3">
      <c r="A15" s="17" t="s">
        <v>83</v>
      </c>
      <c r="B15" s="19">
        <f ca="1">NPV('Assumptions &amp; WACC'!B21,DCF!B9:G9)</f>
        <v>83064.220742294638</v>
      </c>
      <c r="C15" s="17"/>
      <c r="D15" s="17"/>
      <c r="E15" s="17"/>
      <c r="F15" s="17"/>
      <c r="G15" s="17"/>
      <c r="H15" s="17"/>
      <c r="I15" s="27" t="s">
        <v>83</v>
      </c>
      <c r="J15" s="28">
        <f ca="1">NPV('Assumptions &amp; WACC'!C21,DCF!J9:O9)</f>
        <v>44577.166124338539</v>
      </c>
      <c r="K15" s="18"/>
      <c r="L15" s="18"/>
      <c r="M15" s="18"/>
      <c r="N15" s="18"/>
      <c r="O15" s="18"/>
      <c r="Q15" s="43" t="s">
        <v>83</v>
      </c>
      <c r="R15" s="19">
        <f ca="1">NPV('Assumptions &amp; WACC'!D21,DCF!R9:W9)</f>
        <v>68813.954708770179</v>
      </c>
      <c r="S15" s="17"/>
      <c r="T15" s="17"/>
      <c r="U15" s="17"/>
      <c r="V15" s="17"/>
      <c r="W15" s="17"/>
      <c r="X15" s="17"/>
      <c r="Y15" s="27" t="s">
        <v>83</v>
      </c>
      <c r="Z15" s="28">
        <f ca="1">NPV('Assumptions &amp; WACC'!E21,DCF!Z9:AE9)</f>
        <v>16298.053065106209</v>
      </c>
      <c r="AA15" s="18"/>
      <c r="AB15" s="18"/>
      <c r="AC15" s="18"/>
      <c r="AD15" s="18"/>
      <c r="AE15" s="18"/>
      <c r="AG15" s="17" t="s">
        <v>83</v>
      </c>
      <c r="AH15" s="19">
        <f ca="1">NPV('Assumptions &amp; WACC'!F21,DCF!AH9:AM9)</f>
        <v>73062.341494225722</v>
      </c>
      <c r="AI15" s="17"/>
      <c r="AJ15" s="17"/>
      <c r="AK15" s="17"/>
      <c r="AL15" s="17"/>
      <c r="AM15" s="17"/>
    </row>
    <row r="16" spans="1:39" x14ac:dyDescent="0.3">
      <c r="A16" s="17" t="s">
        <v>84</v>
      </c>
      <c r="B16" s="19">
        <f ca="1">B14+B15</f>
        <v>457920.66339776444</v>
      </c>
      <c r="C16" s="17"/>
      <c r="D16" s="17"/>
      <c r="E16" s="17"/>
      <c r="F16" s="17"/>
      <c r="G16" s="17"/>
      <c r="H16" s="17"/>
      <c r="I16" s="27" t="s">
        <v>84</v>
      </c>
      <c r="J16" s="28">
        <f ca="1">J14+J15</f>
        <v>279255.47633316478</v>
      </c>
      <c r="K16" s="18"/>
      <c r="L16" s="18"/>
      <c r="M16" s="18"/>
      <c r="N16" s="18"/>
      <c r="O16" s="18"/>
      <c r="Q16" s="43" t="s">
        <v>84</v>
      </c>
      <c r="R16" s="19">
        <f ca="1">R14+R15</f>
        <v>430753.68320063537</v>
      </c>
      <c r="S16" s="17"/>
      <c r="T16" s="17"/>
      <c r="U16" s="17"/>
      <c r="V16" s="17"/>
      <c r="W16" s="17"/>
      <c r="X16" s="17"/>
      <c r="Y16" s="27" t="s">
        <v>84</v>
      </c>
      <c r="Z16" s="28">
        <f ca="1">Z14+Z15</f>
        <v>108733.0276059421</v>
      </c>
      <c r="AA16" s="18"/>
      <c r="AB16" s="18"/>
      <c r="AC16" s="18"/>
      <c r="AD16" s="18"/>
      <c r="AE16" s="18"/>
      <c r="AG16" s="17" t="s">
        <v>84</v>
      </c>
      <c r="AH16" s="19">
        <f ca="1">AH14+AH15</f>
        <v>394876.9437948406</v>
      </c>
      <c r="AI16" s="17"/>
      <c r="AJ16" s="17"/>
      <c r="AK16" s="17"/>
      <c r="AL16" s="17"/>
      <c r="AM16" s="17"/>
    </row>
    <row r="17" spans="1:39" x14ac:dyDescent="0.3">
      <c r="A17" s="17" t="s">
        <v>85</v>
      </c>
      <c r="B17" s="19">
        <f>Financials!F21-'Assumptions &amp; WACC'!B24</f>
        <v>22978</v>
      </c>
      <c r="C17" s="17"/>
      <c r="D17" s="17"/>
      <c r="E17" s="17"/>
      <c r="F17" s="17"/>
      <c r="G17" s="17"/>
      <c r="H17" s="17"/>
      <c r="I17" s="27" t="s">
        <v>85</v>
      </c>
      <c r="J17" s="28">
        <f>Financials!M21-'Assumptions &amp; WACC'!C24</f>
        <v>35801</v>
      </c>
      <c r="K17" s="18"/>
      <c r="L17" s="18"/>
      <c r="M17" s="18"/>
      <c r="N17" s="18"/>
      <c r="O17" s="18"/>
      <c r="Q17" s="43" t="s">
        <v>85</v>
      </c>
      <c r="R17" s="19">
        <f>'Assumptions &amp; WACC'!D16-'Assumptions &amp; WACC'!D24</f>
        <v>33694</v>
      </c>
      <c r="S17" s="17"/>
      <c r="T17" s="17"/>
      <c r="U17" s="17"/>
      <c r="V17" s="17"/>
      <c r="W17" s="17"/>
      <c r="X17" s="17"/>
      <c r="Y17" s="27" t="s">
        <v>85</v>
      </c>
      <c r="Z17" s="28">
        <f>'Assumptions &amp; WACC'!E16-'Assumptions &amp; WACC'!E24</f>
        <v>6853</v>
      </c>
      <c r="AA17" s="18"/>
      <c r="AB17" s="18"/>
      <c r="AC17" s="18"/>
      <c r="AD17" s="18"/>
      <c r="AE17" s="18"/>
      <c r="AG17" s="17" t="s">
        <v>85</v>
      </c>
      <c r="AH17" s="19">
        <f>'Assumptions &amp; WACC'!F16-'Assumptions &amp; WACC'!F24</f>
        <v>51077</v>
      </c>
      <c r="AI17" s="17"/>
      <c r="AJ17" s="17"/>
      <c r="AK17" s="17"/>
      <c r="AL17" s="17"/>
      <c r="AM17" s="17"/>
    </row>
    <row r="18" spans="1:39" x14ac:dyDescent="0.3">
      <c r="A18" s="17" t="s">
        <v>86</v>
      </c>
      <c r="B18" s="19">
        <f ca="1">B16-B17</f>
        <v>434942.66339776444</v>
      </c>
      <c r="C18" s="17"/>
      <c r="D18" s="17"/>
      <c r="E18" s="17"/>
      <c r="F18" s="17"/>
      <c r="G18" s="17"/>
      <c r="H18" s="17"/>
      <c r="I18" s="27" t="s">
        <v>86</v>
      </c>
      <c r="J18" s="28">
        <f ca="1">J16-J17</f>
        <v>243454.47633316478</v>
      </c>
      <c r="K18" s="18"/>
      <c r="L18" s="18"/>
      <c r="M18" s="18"/>
      <c r="N18" s="18"/>
      <c r="O18" s="18"/>
      <c r="Q18" s="43" t="s">
        <v>86</v>
      </c>
      <c r="R18" s="19">
        <f ca="1">R16-R17</f>
        <v>397059.68320063537</v>
      </c>
      <c r="S18" s="17"/>
      <c r="T18" s="17"/>
      <c r="U18" s="17"/>
      <c r="V18" s="17"/>
      <c r="W18" s="17"/>
      <c r="X18" s="17"/>
      <c r="Y18" s="27" t="s">
        <v>86</v>
      </c>
      <c r="Z18" s="28">
        <f ca="1">Z16-Z17</f>
        <v>101880.0276059421</v>
      </c>
      <c r="AA18" s="18"/>
      <c r="AB18" s="18"/>
      <c r="AC18" s="18"/>
      <c r="AD18" s="18"/>
      <c r="AE18" s="18"/>
      <c r="AG18" s="17" t="s">
        <v>86</v>
      </c>
      <c r="AH18" s="19">
        <f ca="1">AH16-AH17</f>
        <v>343799.9437948406</v>
      </c>
      <c r="AI18" s="17"/>
      <c r="AJ18" s="17"/>
      <c r="AK18" s="17"/>
      <c r="AL18" s="17"/>
      <c r="AM18" s="17"/>
    </row>
    <row r="19" spans="1:39" x14ac:dyDescent="0.3">
      <c r="A19" s="17" t="s">
        <v>87</v>
      </c>
      <c r="B19" s="37">
        <f>'Assumptions &amp; WACC'!B26</f>
        <v>2354.0509870000001</v>
      </c>
      <c r="C19" s="17"/>
      <c r="D19" s="17"/>
      <c r="E19" s="17"/>
      <c r="F19" s="17"/>
      <c r="G19" s="17"/>
      <c r="H19" s="17"/>
      <c r="I19" s="27" t="s">
        <v>87</v>
      </c>
      <c r="J19" s="38">
        <f>'Assumptions &amp; WACC'!C26</f>
        <v>1370</v>
      </c>
      <c r="K19" s="18"/>
      <c r="L19" s="18"/>
      <c r="M19" s="18"/>
      <c r="N19" s="18"/>
      <c r="O19" s="18"/>
      <c r="Q19" s="43" t="s">
        <v>87</v>
      </c>
      <c r="R19" s="37">
        <f ca="1">'Assumptions &amp; WACC'!D26</f>
        <v>4301.6090000000004</v>
      </c>
      <c r="S19" s="17"/>
      <c r="T19" s="17"/>
      <c r="U19" s="17"/>
      <c r="V19" s="17"/>
      <c r="W19" s="17"/>
      <c r="X19" s="17"/>
      <c r="Y19" s="27" t="s">
        <v>87</v>
      </c>
      <c r="Z19" s="38">
        <f ca="1">'Assumptions &amp; WACC'!E26</f>
        <v>806.06489999999997</v>
      </c>
      <c r="AA19" s="18"/>
      <c r="AB19" s="18"/>
      <c r="AC19" s="18"/>
      <c r="AD19" s="18"/>
      <c r="AE19" s="18"/>
      <c r="AG19" s="17" t="s">
        <v>87</v>
      </c>
      <c r="AH19" s="37">
        <f ca="1">'Assumptions &amp; WACC'!F26</f>
        <v>7972.8509999999997</v>
      </c>
      <c r="AI19" s="17"/>
      <c r="AJ19" s="17"/>
      <c r="AK19" s="17"/>
      <c r="AL19" s="17"/>
      <c r="AM19" s="17"/>
    </row>
    <row r="20" spans="1:39" x14ac:dyDescent="0.3">
      <c r="A20" s="17" t="s">
        <v>88</v>
      </c>
      <c r="B20" s="19">
        <f ca="1">B18/B19</f>
        <v>184.76348464824667</v>
      </c>
      <c r="C20" s="17"/>
      <c r="D20" s="17"/>
      <c r="E20" s="17"/>
      <c r="F20" s="17"/>
      <c r="G20" s="17"/>
      <c r="H20" s="17"/>
      <c r="I20" s="27" t="s">
        <v>88</v>
      </c>
      <c r="J20" s="28">
        <f ca="1">J18/J19</f>
        <v>177.70399732347795</v>
      </c>
      <c r="K20" s="18"/>
      <c r="L20" s="18"/>
      <c r="M20" s="18"/>
      <c r="N20" s="18"/>
      <c r="O20" s="18"/>
      <c r="Q20" s="43" t="s">
        <v>88</v>
      </c>
      <c r="R20" s="19">
        <f ca="1">R18/R19</f>
        <v>92.304921995614976</v>
      </c>
      <c r="S20" s="17"/>
      <c r="T20" s="17"/>
      <c r="U20" s="17"/>
      <c r="V20" s="17"/>
      <c r="W20" s="17"/>
      <c r="X20" s="17"/>
      <c r="Y20" s="27" t="s">
        <v>88</v>
      </c>
      <c r="Z20" s="28">
        <f ca="1">Z18/Z19</f>
        <v>126.39184215308482</v>
      </c>
      <c r="AA20" s="18"/>
      <c r="AB20" s="18"/>
      <c r="AC20" s="18"/>
      <c r="AD20" s="18"/>
      <c r="AE20" s="18"/>
      <c r="AG20" s="17" t="s">
        <v>88</v>
      </c>
      <c r="AH20" s="19">
        <f ca="1">AH18/AH19</f>
        <v>43.121330599912206</v>
      </c>
      <c r="AI20" s="17"/>
      <c r="AJ20" s="17"/>
      <c r="AK20" s="17"/>
      <c r="AL20" s="17"/>
      <c r="AM20" s="17"/>
    </row>
    <row r="21" spans="1:39" x14ac:dyDescent="0.3">
      <c r="A21" s="17" t="s">
        <v>89</v>
      </c>
      <c r="B21" s="19">
        <f ca="1">'Company profile'!B3</f>
        <v>147.35</v>
      </c>
      <c r="C21" s="17"/>
      <c r="D21" s="17"/>
      <c r="E21" s="17"/>
      <c r="F21" s="17"/>
      <c r="G21" s="17"/>
      <c r="H21" s="17"/>
      <c r="I21" s="27" t="s">
        <v>89</v>
      </c>
      <c r="J21" s="28">
        <f ca="1">'Company profile'!C3</f>
        <v>147.815</v>
      </c>
      <c r="K21" s="18"/>
      <c r="L21" s="18"/>
      <c r="M21" s="18"/>
      <c r="N21" s="18"/>
      <c r="O21" s="18"/>
      <c r="Q21" s="43" t="s">
        <v>89</v>
      </c>
      <c r="R21" s="19">
        <f ca="1">'Company profile'!D3</f>
        <v>71.400000000000006</v>
      </c>
      <c r="S21" s="17"/>
      <c r="T21" s="17"/>
      <c r="U21" s="17"/>
      <c r="V21" s="17"/>
      <c r="W21" s="17"/>
      <c r="X21" s="17"/>
      <c r="Y21" s="27" t="s">
        <v>89</v>
      </c>
      <c r="Z21" s="28">
        <f ca="1">'Company profile'!E3</f>
        <v>78.89</v>
      </c>
      <c r="AA21" s="18"/>
      <c r="AB21" s="18"/>
      <c r="AC21" s="18"/>
      <c r="AD21" s="18"/>
      <c r="AE21" s="18"/>
      <c r="AG21" s="17" t="s">
        <v>89</v>
      </c>
      <c r="AH21" s="19">
        <f ca="1">'Company profile'!F3</f>
        <v>100.515</v>
      </c>
      <c r="AI21" s="17"/>
      <c r="AJ21" s="17"/>
      <c r="AK21" s="17"/>
      <c r="AL21" s="17"/>
      <c r="AM21" s="17"/>
    </row>
    <row r="22" spans="1:39" x14ac:dyDescent="0.3">
      <c r="A22" s="17" t="s">
        <v>90</v>
      </c>
      <c r="B22" s="35">
        <f ca="1">(B20-B21)/B21</f>
        <v>0.25390895587544404</v>
      </c>
      <c r="C22" s="17"/>
      <c r="D22" s="17"/>
      <c r="E22" s="17"/>
      <c r="F22" s="17"/>
      <c r="G22" s="17"/>
      <c r="H22" s="17"/>
      <c r="I22" s="27" t="s">
        <v>90</v>
      </c>
      <c r="J22" s="36">
        <f ca="1">(J20-J21)/J21</f>
        <v>0.2022054414198691</v>
      </c>
      <c r="K22" s="18"/>
      <c r="L22" s="18"/>
      <c r="M22" s="18"/>
      <c r="N22" s="18"/>
      <c r="O22" s="18"/>
      <c r="Q22" s="43" t="s">
        <v>90</v>
      </c>
      <c r="R22" s="35">
        <f ca="1">(R20-R21)/R21</f>
        <v>0.29278602234754858</v>
      </c>
      <c r="S22" s="17"/>
      <c r="T22" s="17"/>
      <c r="U22" s="17"/>
      <c r="V22" s="17"/>
      <c r="W22" s="17"/>
      <c r="X22" s="17"/>
      <c r="Y22" s="27" t="s">
        <v>90</v>
      </c>
      <c r="Z22" s="36">
        <f ca="1">(Z20-Z21)/Z21</f>
        <v>0.60212754662295376</v>
      </c>
      <c r="AA22" s="18"/>
      <c r="AB22" s="18"/>
      <c r="AC22" s="18"/>
      <c r="AD22" s="18"/>
      <c r="AE22" s="18"/>
      <c r="AG22" s="17" t="s">
        <v>90</v>
      </c>
      <c r="AH22" s="35">
        <f ca="1">(AH20-AH21)/AH21</f>
        <v>-0.57099606426988803</v>
      </c>
      <c r="AI22" s="17"/>
      <c r="AJ22" s="17"/>
      <c r="AK22" s="17"/>
      <c r="AL22" s="17"/>
      <c r="AM22" s="17"/>
    </row>
  </sheetData>
  <conditionalFormatting sqref="B22">
    <cfRule type="cellIs" dxfId="64" priority="9" operator="lessThan">
      <formula>0</formula>
    </cfRule>
    <cfRule type="cellIs" dxfId="63" priority="10" operator="greaterThan">
      <formula>0</formula>
    </cfRule>
  </conditionalFormatting>
  <conditionalFormatting sqref="J22">
    <cfRule type="cellIs" dxfId="62" priority="7" operator="lessThan">
      <formula>0</formula>
    </cfRule>
    <cfRule type="cellIs" dxfId="61" priority="8" operator="greaterThan">
      <formula>0</formula>
    </cfRule>
  </conditionalFormatting>
  <conditionalFormatting sqref="R22">
    <cfRule type="cellIs" dxfId="60" priority="5" operator="lessThan">
      <formula>0</formula>
    </cfRule>
    <cfRule type="cellIs" dxfId="59" priority="6" operator="greaterThan">
      <formula>0</formula>
    </cfRule>
  </conditionalFormatting>
  <conditionalFormatting sqref="Z22">
    <cfRule type="cellIs" dxfId="58" priority="3" operator="lessThan">
      <formula>0</formula>
    </cfRule>
    <cfRule type="cellIs" dxfId="57" priority="4" operator="greaterThan">
      <formula>0</formula>
    </cfRule>
  </conditionalFormatting>
  <conditionalFormatting sqref="AH22">
    <cfRule type="cellIs" dxfId="56" priority="1" operator="lessThan">
      <formula>0</formula>
    </cfRule>
    <cfRule type="cellIs" dxfId="55" priority="2" operator="greaterThan">
      <formula>0</formula>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5920-E1C2-437C-BB76-684F2AFCB85B}">
  <dimension ref="A1:M27"/>
  <sheetViews>
    <sheetView topLeftCell="A8" workbookViewId="0">
      <selection activeCell="M16" sqref="M16"/>
    </sheetView>
  </sheetViews>
  <sheetFormatPr defaultRowHeight="14.4" x14ac:dyDescent="0.3"/>
  <cols>
    <col min="1" max="1" width="44.88671875" bestFit="1" customWidth="1"/>
    <col min="2" max="2" width="10.21875" bestFit="1" customWidth="1"/>
    <col min="3" max="3" width="10.77734375" bestFit="1" customWidth="1"/>
    <col min="4" max="4" width="10.88671875" bestFit="1" customWidth="1"/>
    <col min="5" max="5" width="10.5546875" bestFit="1" customWidth="1"/>
    <col min="8" max="8" width="11" customWidth="1"/>
    <col min="9" max="11" width="10.88671875" bestFit="1" customWidth="1"/>
    <col min="12" max="12" width="12.33203125" bestFit="1" customWidth="1"/>
  </cols>
  <sheetData>
    <row r="1" spans="1:13" x14ac:dyDescent="0.3">
      <c r="A1" s="21" t="s">
        <v>93</v>
      </c>
      <c r="B1" s="20"/>
      <c r="C1" s="20"/>
      <c r="D1" s="20"/>
      <c r="E1" s="20"/>
      <c r="F1" s="17"/>
      <c r="G1" s="17"/>
      <c r="H1" s="43"/>
      <c r="I1" s="20"/>
      <c r="J1" s="20"/>
      <c r="K1" s="20"/>
      <c r="L1" s="20"/>
    </row>
    <row r="2" spans="1:13" x14ac:dyDescent="0.3">
      <c r="A2" s="54" t="s">
        <v>0</v>
      </c>
      <c r="B2" s="55" t="s">
        <v>94</v>
      </c>
      <c r="C2" s="55" t="s">
        <v>8</v>
      </c>
      <c r="D2" s="55" t="s">
        <v>95</v>
      </c>
      <c r="E2" s="55" t="s">
        <v>96</v>
      </c>
      <c r="F2" s="17"/>
      <c r="G2" s="17"/>
      <c r="H2" s="43"/>
      <c r="I2" s="20"/>
      <c r="J2" s="20"/>
      <c r="K2" s="20"/>
      <c r="L2" s="20"/>
    </row>
    <row r="3" spans="1:13" x14ac:dyDescent="0.3">
      <c r="A3" s="44" t="e" vm="6">
        <v>#VALUE!</v>
      </c>
      <c r="B3" s="45">
        <v>20.89</v>
      </c>
      <c r="C3" s="45" cm="1">
        <f t="array" aca="1" ref="C3" ca="1">_FV(A3,"P/E",TRUE)</f>
        <v>31.1983</v>
      </c>
      <c r="D3" s="45">
        <v>3.78</v>
      </c>
      <c r="E3" s="45">
        <v>8.9700000000000006</v>
      </c>
      <c r="F3" s="17"/>
      <c r="G3" s="17"/>
      <c r="H3" s="98" t="s">
        <v>0</v>
      </c>
      <c r="I3" s="56" t="s">
        <v>94</v>
      </c>
      <c r="J3" s="56" t="s">
        <v>8</v>
      </c>
      <c r="K3" s="56" t="s">
        <v>95</v>
      </c>
      <c r="L3" s="56" t="s">
        <v>96</v>
      </c>
      <c r="M3" s="57" t="s">
        <v>131</v>
      </c>
    </row>
    <row r="4" spans="1:13" x14ac:dyDescent="0.3">
      <c r="A4" s="44" t="e" vm="5">
        <v>#VALUE!</v>
      </c>
      <c r="B4" s="45">
        <v>19.850000000000001</v>
      </c>
      <c r="C4" s="45" cm="1">
        <f t="array" aca="1" ref="C4" ca="1">_FV(A4,"P/E",TRUE)</f>
        <v>37.921599999999998</v>
      </c>
      <c r="D4" s="45">
        <v>1.18</v>
      </c>
      <c r="E4" s="45">
        <v>8.94</v>
      </c>
      <c r="F4" s="17"/>
      <c r="G4" s="17"/>
      <c r="H4" s="99" t="s">
        <v>39</v>
      </c>
      <c r="I4" s="100">
        <f>(B23*B20)/Relative!$M$4</f>
        <v>162.74518701620627</v>
      </c>
      <c r="J4" s="100">
        <f ca="1">(C23*C20)/Relative!$M$4</f>
        <v>123.38901210256579</v>
      </c>
      <c r="K4" s="100">
        <f>(D23*D20)/Relative!$M$4</f>
        <v>109.37506777545427</v>
      </c>
      <c r="L4" s="100">
        <f>(E23*E20)/Relative!$M$4</f>
        <v>494.88059713168815</v>
      </c>
      <c r="M4" s="101">
        <f>'Assumptions &amp; WACC'!B26</f>
        <v>2354.0509870000001</v>
      </c>
    </row>
    <row r="5" spans="1:13" x14ac:dyDescent="0.3">
      <c r="A5" s="44" t="e" vm="7">
        <v>#VALUE!</v>
      </c>
      <c r="B5" s="45">
        <v>37.24</v>
      </c>
      <c r="C5" s="45" cm="1">
        <f t="array" aca="1" ref="C5" ca="1">_FV(A5,"P/E",TRUE)</f>
        <v>48.598700000000001</v>
      </c>
      <c r="D5" s="45">
        <v>1.8</v>
      </c>
      <c r="E5" s="45">
        <v>19.03</v>
      </c>
      <c r="F5" s="17"/>
      <c r="G5" s="17"/>
      <c r="H5" s="102" t="s">
        <v>40</v>
      </c>
      <c r="I5" s="100">
        <f>(B24*B20)/Relative!$M$5</f>
        <v>209.2918261861314</v>
      </c>
      <c r="J5" s="100">
        <f ca="1">(C24*C20)/Relative!$M$5</f>
        <v>125.77212948905107</v>
      </c>
      <c r="K5" s="100">
        <f>(D24*D20)/Relative!$M$5</f>
        <v>205.41437408759126</v>
      </c>
      <c r="L5" s="100">
        <f>(E24*E20)/Relative!$M$5</f>
        <v>305.61599315693428</v>
      </c>
      <c r="M5" s="103">
        <f>'Assumptions &amp; WACC'!C26</f>
        <v>1370</v>
      </c>
    </row>
    <row r="6" spans="1:13" x14ac:dyDescent="0.3">
      <c r="A6" s="44" t="e" vm="8">
        <v>#VALUE!</v>
      </c>
      <c r="B6" s="45">
        <v>18.86</v>
      </c>
      <c r="C6" s="45" cm="1">
        <f t="array" aca="1" ref="C6" ca="1">_FV(A6,"P/E",TRUE)</f>
        <v>22.8748</v>
      </c>
      <c r="D6" s="45">
        <v>2.64</v>
      </c>
      <c r="E6" s="45">
        <v>70.73</v>
      </c>
      <c r="F6" s="17"/>
      <c r="G6" s="17"/>
      <c r="H6" s="99" t="str">
        <f>A25</f>
        <v>Coca-Cola</v>
      </c>
      <c r="I6" s="100">
        <f ca="1">(B25*B20)/Relative!$M$6</f>
        <v>65.701027946752006</v>
      </c>
      <c r="J6" s="100">
        <f ca="1">(C25*C20)/Relative!$M$6</f>
        <v>59.109410908801785</v>
      </c>
      <c r="K6" s="100">
        <f ca="1">(D25*D20)/Relative!$M$6</f>
        <v>33.518420374794644</v>
      </c>
      <c r="L6" s="100">
        <f ca="1">(E25*E20)/Relative!$M$6</f>
        <v>141.26349640332253</v>
      </c>
      <c r="M6" s="104">
        <f ca="1">'Assumptions &amp; WACC'!D26</f>
        <v>4301.6090000000004</v>
      </c>
    </row>
    <row r="7" spans="1:13" x14ac:dyDescent="0.3">
      <c r="A7" s="44" t="e" vm="9">
        <v>#VALUE!</v>
      </c>
      <c r="B7" s="45">
        <v>16.91</v>
      </c>
      <c r="C7" s="45" cm="1">
        <f t="array" aca="1" ref="C7" ca="1">_FV(A7,"P/E",TRUE)</f>
        <v>31.611799999999999</v>
      </c>
      <c r="D7" s="45">
        <v>2.82</v>
      </c>
      <c r="E7" s="45">
        <v>6.11</v>
      </c>
      <c r="F7" s="17"/>
      <c r="G7" s="17"/>
      <c r="H7" s="102" t="str">
        <f t="shared" ref="H7:H8" si="0">A26</f>
        <v>Colgate</v>
      </c>
      <c r="I7" s="100">
        <f ca="1">(B26*B20)/Relative!$M$7</f>
        <v>104.60656688437867</v>
      </c>
      <c r="J7" s="100">
        <f ca="1">(C26*C20)/Relative!$M$7</f>
        <v>76.109016470013771</v>
      </c>
      <c r="K7" s="100">
        <f ca="1">(D26*D20)/Relative!$M$7</f>
        <v>76.401340326318646</v>
      </c>
      <c r="L7" s="100">
        <f ca="1">(E26*E20)/Relative!$M$7</f>
        <v>15.550584078279552</v>
      </c>
      <c r="M7" s="103">
        <f ca="1">'Assumptions &amp; WACC'!E26</f>
        <v>806.06489999999997</v>
      </c>
    </row>
    <row r="8" spans="1:13" x14ac:dyDescent="0.3">
      <c r="A8" s="44" t="e" vm="10">
        <v>#VALUE!</v>
      </c>
      <c r="B8" s="45">
        <v>14.65</v>
      </c>
      <c r="C8" s="45" cm="1">
        <f t="array" aca="1" ref="C8" ca="1">_FV(A8,"P/E",TRUE)</f>
        <v>19.086300000000001</v>
      </c>
      <c r="D8" s="45">
        <v>1.77</v>
      </c>
      <c r="E8" s="45">
        <v>0</v>
      </c>
      <c r="F8" s="17"/>
      <c r="G8" s="17"/>
      <c r="H8" s="105" t="str">
        <f t="shared" si="0"/>
        <v>Walmart</v>
      </c>
      <c r="I8" s="100">
        <f ca="1">(B27*B20)/Relative!$M$8</f>
        <v>93.067037986160784</v>
      </c>
      <c r="J8" s="100">
        <f ca="1">(C27*C20)/Relative!$M$8</f>
        <v>23.930226866148633</v>
      </c>
      <c r="K8" s="100">
        <f ca="1">(D27*D20)/Relative!$M$8</f>
        <v>261.6840316907967</v>
      </c>
      <c r="L8" s="100">
        <f ca="1">(E27*E20)/Relative!$M$8</f>
        <v>281.55079084947147</v>
      </c>
      <c r="M8" s="106">
        <f ca="1">'Assumptions &amp; WACC'!F26</f>
        <v>7972.8509999999997</v>
      </c>
    </row>
    <row r="9" spans="1:13" x14ac:dyDescent="0.3">
      <c r="A9" s="44" t="e" vm="11">
        <v>#VALUE!</v>
      </c>
      <c r="B9" s="45">
        <v>12.18</v>
      </c>
      <c r="C9" s="45" cm="1">
        <f t="array" aca="1" ref="C9" ca="1">_FV(A9,"P/E",TRUE)</f>
        <v>19.139299999999999</v>
      </c>
      <c r="D9" s="45">
        <v>2.2000000000000002</v>
      </c>
      <c r="E9" s="45">
        <v>33.840000000000003</v>
      </c>
      <c r="F9" s="17"/>
      <c r="G9" s="17"/>
      <c r="H9" s="43"/>
      <c r="I9" s="58"/>
      <c r="J9" s="58"/>
      <c r="K9" s="58"/>
      <c r="L9" s="58"/>
    </row>
    <row r="10" spans="1:13" x14ac:dyDescent="0.3">
      <c r="A10" s="44" t="e" vm="1">
        <v>#VALUE!</v>
      </c>
      <c r="B10" s="45">
        <v>19.03</v>
      </c>
      <c r="C10" s="45" cm="1">
        <f t="array" aca="1" ref="C10" ca="1">_FV(A10,"P/E",TRUE)</f>
        <v>21.51</v>
      </c>
      <c r="D10" s="45">
        <v>4.93</v>
      </c>
      <c r="E10" s="45">
        <v>7.54</v>
      </c>
      <c r="F10" s="17"/>
      <c r="G10" s="17"/>
      <c r="H10" s="43"/>
      <c r="I10" s="58"/>
      <c r="J10" s="58"/>
      <c r="K10" s="58"/>
      <c r="L10" s="58"/>
    </row>
    <row r="11" spans="1:13" x14ac:dyDescent="0.3">
      <c r="A11" s="44" t="e" vm="2">
        <v>#VALUE!</v>
      </c>
      <c r="B11" s="45">
        <v>15.1</v>
      </c>
      <c r="C11" s="45" cm="1">
        <f t="array" aca="1" ref="C11" ca="1">_FV(A11,"P/E",TRUE)</f>
        <v>28.107099999999999</v>
      </c>
      <c r="D11" s="45">
        <v>2.2799999999999998</v>
      </c>
      <c r="E11" s="45">
        <v>10.72</v>
      </c>
      <c r="F11" s="17"/>
      <c r="G11" s="17"/>
      <c r="H11" s="43"/>
      <c r="I11" s="20"/>
      <c r="J11" s="20"/>
      <c r="K11" s="20"/>
      <c r="L11" s="20"/>
    </row>
    <row r="12" spans="1:13" x14ac:dyDescent="0.3">
      <c r="A12" s="44" t="e" vm="12">
        <v>#VALUE!</v>
      </c>
      <c r="B12" s="45">
        <v>13</v>
      </c>
      <c r="C12" s="45" cm="1">
        <f t="array" aca="1" ref="C12" ca="1">_FV(A12,"P/E",TRUE)</f>
        <v>23.174800000000001</v>
      </c>
      <c r="D12" s="45">
        <v>2.09</v>
      </c>
      <c r="E12" s="45">
        <v>6.92</v>
      </c>
      <c r="F12" s="17"/>
      <c r="G12" s="17"/>
      <c r="H12" s="43"/>
      <c r="I12" s="20"/>
      <c r="J12" s="20"/>
      <c r="K12" s="20"/>
      <c r="L12" s="20"/>
    </row>
    <row r="13" spans="1:13" x14ac:dyDescent="0.3">
      <c r="A13" s="44" t="e" vm="13">
        <v>#VALUE!</v>
      </c>
      <c r="B13" s="45">
        <v>19.2</v>
      </c>
      <c r="C13" s="45" cm="1">
        <f t="array" aca="1" ref="C13" ca="1">_FV(A13,"P/E",TRUE)</f>
        <v>30.691299999999998</v>
      </c>
      <c r="D13" s="45">
        <v>4.5999999999999996</v>
      </c>
      <c r="E13" s="45">
        <v>6.44</v>
      </c>
      <c r="F13" s="17"/>
      <c r="G13" s="17"/>
      <c r="H13" s="43"/>
      <c r="I13" s="20"/>
      <c r="J13" s="20"/>
      <c r="K13" s="20"/>
      <c r="L13" s="20"/>
    </row>
    <row r="14" spans="1:13" x14ac:dyDescent="0.3">
      <c r="A14" s="44" t="e" vm="14">
        <v>#VALUE!</v>
      </c>
      <c r="B14" s="45">
        <v>15.35</v>
      </c>
      <c r="C14" s="45" cm="1">
        <f t="array" aca="1" ref="C14" ca="1">_FV(A14,"P/E",TRUE)</f>
        <v>24.419499999999999</v>
      </c>
      <c r="D14" s="45">
        <v>5.03</v>
      </c>
      <c r="E14" s="45">
        <v>0</v>
      </c>
      <c r="F14" s="17"/>
      <c r="G14" s="17"/>
      <c r="H14" s="52" t="s">
        <v>0</v>
      </c>
      <c r="I14" s="53" t="s">
        <v>101</v>
      </c>
      <c r="J14" s="53" t="s">
        <v>102</v>
      </c>
      <c r="K14" s="53" t="s">
        <v>103</v>
      </c>
      <c r="L14" s="20"/>
    </row>
    <row r="15" spans="1:13" x14ac:dyDescent="0.3">
      <c r="A15" s="44" t="e" vm="3">
        <v>#VALUE!</v>
      </c>
      <c r="B15" s="45">
        <v>19.13</v>
      </c>
      <c r="C15" s="45" cm="1">
        <f t="array" aca="1" ref="C15" ca="1">_FV(A15,"P/E",TRUE)</f>
        <v>23.636099999999999</v>
      </c>
      <c r="D15" s="45">
        <v>5.81</v>
      </c>
      <c r="E15" s="45">
        <v>10.1</v>
      </c>
      <c r="F15" s="17"/>
      <c r="G15" s="17"/>
      <c r="H15" s="43" t="str">
        <f>H6</f>
        <v>Coca-Cola</v>
      </c>
      <c r="I15" s="37">
        <f ca="1">AVERAGE(I4:L4)</f>
        <v>222.59746600647861</v>
      </c>
      <c r="J15" s="19">
        <f ca="1">'Company profile'!B3</f>
        <v>147.35</v>
      </c>
      <c r="K15" s="35">
        <f ca="1">(Table24[[#This Row],[Target Price]]-J15)/J15</f>
        <v>0.51067163899883694</v>
      </c>
      <c r="L15" s="20"/>
    </row>
    <row r="16" spans="1:13" x14ac:dyDescent="0.3">
      <c r="A16" s="44" t="e" vm="15">
        <v>#VALUE!</v>
      </c>
      <c r="B16" s="45">
        <v>13.96</v>
      </c>
      <c r="C16" s="45" cm="1">
        <f t="array" aca="1" ref="C16" ca="1">_FV(A16,"P/E",TRUE)</f>
        <v>19.953199999999999</v>
      </c>
      <c r="D16" s="45">
        <v>2.12</v>
      </c>
      <c r="E16" s="45">
        <v>6.68</v>
      </c>
      <c r="F16" s="17"/>
      <c r="G16" s="17"/>
      <c r="H16" s="43" t="str">
        <f>H7</f>
        <v>Colgate</v>
      </c>
      <c r="I16" s="37">
        <f t="shared" ref="I16:I19" ca="1" si="1">AVERAGE(I5:L5)</f>
        <v>211.523580729927</v>
      </c>
      <c r="J16" s="19">
        <f ca="1">'Company profile'!C3</f>
        <v>147.815</v>
      </c>
      <c r="K16" s="35">
        <f ca="1">(Table24[[#This Row],[Target Price]]-J16)/J16</f>
        <v>0.43100213598029297</v>
      </c>
      <c r="L16" s="20"/>
    </row>
    <row r="17" spans="1:12" x14ac:dyDescent="0.3">
      <c r="A17" s="44" t="e" vm="16">
        <v>#VALUE!</v>
      </c>
      <c r="B17" s="45">
        <v>12.83</v>
      </c>
      <c r="C17" s="45" cm="1">
        <f t="array" aca="1" ref="C17" ca="1">_FV(A17,"P/E",TRUE)</f>
        <v>20.896100000000001</v>
      </c>
      <c r="D17" s="45">
        <v>2.2400000000000002</v>
      </c>
      <c r="E17" s="45">
        <v>2.83</v>
      </c>
      <c r="F17" s="17"/>
      <c r="G17" s="17"/>
      <c r="H17" s="43" t="str">
        <f>A25</f>
        <v>Coca-Cola</v>
      </c>
      <c r="I17" s="37">
        <f t="shared" ca="1" si="1"/>
        <v>74.898088908417748</v>
      </c>
      <c r="J17" s="19">
        <f ca="1">'Company profile'!D3</f>
        <v>71.400000000000006</v>
      </c>
      <c r="K17" s="35">
        <f ca="1">(Table24[[#This Row],[Target Price]]-J17)/J17</f>
        <v>4.899284185459022E-2</v>
      </c>
      <c r="L17" s="20"/>
    </row>
    <row r="18" spans="1:12" x14ac:dyDescent="0.3">
      <c r="A18" s="44" t="e" vm="4">
        <v>#VALUE!</v>
      </c>
      <c r="B18" s="45">
        <v>17.71</v>
      </c>
      <c r="C18" s="45" cm="1">
        <f t="array" aca="1" ref="C18" ca="1">_FV(A18,"P/E",TRUE)</f>
        <v>22.107900000000001</v>
      </c>
      <c r="D18" s="45">
        <v>3.73</v>
      </c>
      <c r="E18" s="45">
        <v>169.82</v>
      </c>
      <c r="F18" s="17"/>
      <c r="G18" s="17"/>
      <c r="H18" s="43" t="str">
        <f t="shared" ref="H18:H19" si="2">A26</f>
        <v>Colgate</v>
      </c>
      <c r="I18" s="37">
        <f t="shared" ca="1" si="1"/>
        <v>68.166876939747652</v>
      </c>
      <c r="J18" s="19">
        <f ca="1">'Company profile'!E3</f>
        <v>78.89</v>
      </c>
      <c r="K18" s="35">
        <f ca="1">(Table24[[#This Row],[Target Price]]-J18)/J18</f>
        <v>-0.13592499759478194</v>
      </c>
      <c r="L18" s="20"/>
    </row>
    <row r="19" spans="1:12" x14ac:dyDescent="0.3">
      <c r="A19" s="46"/>
      <c r="B19" s="47"/>
      <c r="C19" s="47"/>
      <c r="D19" s="47"/>
      <c r="E19" s="48"/>
      <c r="F19" s="17"/>
      <c r="G19" s="17"/>
      <c r="H19" s="43" t="str">
        <f t="shared" si="2"/>
        <v>Walmart</v>
      </c>
      <c r="I19" s="37">
        <f t="shared" ca="1" si="1"/>
        <v>165.05802184814439</v>
      </c>
      <c r="J19" s="19">
        <f ca="1">'Company profile'!F3</f>
        <v>100.515</v>
      </c>
      <c r="K19" s="35">
        <f ca="1">(Table24[[#This Row],[Target Price]]-J19)/J19</f>
        <v>0.64212328357105297</v>
      </c>
      <c r="L19" s="20"/>
    </row>
    <row r="20" spans="1:12" x14ac:dyDescent="0.3">
      <c r="A20" s="49" t="s">
        <v>97</v>
      </c>
      <c r="B20" s="50">
        <f>AVERAGE(B3:B18)</f>
        <v>17.868124999999999</v>
      </c>
      <c r="C20" s="50">
        <f t="shared" ref="C20:E20" ca="1" si="3">AVERAGE(C3:C18)</f>
        <v>26.557924999999997</v>
      </c>
      <c r="D20" s="50">
        <f t="shared" si="3"/>
        <v>3.0637500000000002</v>
      </c>
      <c r="E20" s="50">
        <f t="shared" si="3"/>
        <v>23.041874999999997</v>
      </c>
      <c r="F20" s="17"/>
      <c r="G20" s="17"/>
      <c r="H20" s="43"/>
      <c r="I20" s="20"/>
      <c r="J20" s="20"/>
      <c r="K20" s="20"/>
      <c r="L20" s="20"/>
    </row>
    <row r="21" spans="1:12" x14ac:dyDescent="0.3">
      <c r="A21" s="17"/>
      <c r="B21" s="20"/>
      <c r="C21" s="20"/>
      <c r="D21" s="20"/>
      <c r="E21" s="20"/>
      <c r="F21" s="17"/>
      <c r="G21" s="17"/>
      <c r="H21" s="43"/>
      <c r="I21" s="20"/>
      <c r="J21" s="20"/>
      <c r="K21" s="20"/>
      <c r="L21" s="20"/>
    </row>
    <row r="22" spans="1:12" x14ac:dyDescent="0.3">
      <c r="A22" s="67" t="s">
        <v>0</v>
      </c>
      <c r="B22" s="68" t="s">
        <v>98</v>
      </c>
      <c r="C22" s="68" t="s">
        <v>99</v>
      </c>
      <c r="D22" s="68" t="s">
        <v>12</v>
      </c>
      <c r="E22" s="68" t="s">
        <v>100</v>
      </c>
      <c r="F22" s="1"/>
      <c r="G22" s="1"/>
      <c r="H22" s="43"/>
      <c r="I22" s="20"/>
      <c r="J22" s="20"/>
      <c r="K22" s="20"/>
      <c r="L22" s="20"/>
    </row>
    <row r="23" spans="1:12" x14ac:dyDescent="0.3">
      <c r="A23" s="27" t="str">
        <f>H4</f>
        <v>P&amp;G</v>
      </c>
      <c r="B23" s="38">
        <f>Financials!F6+Financials!F7</f>
        <v>21441</v>
      </c>
      <c r="C23" s="38">
        <f>Financials!F10</f>
        <v>10937</v>
      </c>
      <c r="D23" s="38">
        <f>Financials!F3</f>
        <v>84039</v>
      </c>
      <c r="E23" s="38">
        <f>Financials!F22</f>
        <v>50559</v>
      </c>
      <c r="F23" s="17"/>
      <c r="G23" s="17"/>
      <c r="H23" s="51"/>
      <c r="I23" s="2"/>
      <c r="J23" s="2"/>
      <c r="K23" s="2"/>
      <c r="L23" s="2"/>
    </row>
    <row r="24" spans="1:12" x14ac:dyDescent="0.3">
      <c r="A24" s="27" t="str">
        <f>H5</f>
        <v>PepsiCo</v>
      </c>
      <c r="B24" s="38">
        <f>Financials!M6+Financials!M7</f>
        <v>16047</v>
      </c>
      <c r="C24" s="38">
        <f>Financials!M10</f>
        <v>6488</v>
      </c>
      <c r="D24" s="38">
        <f>Financials!M3</f>
        <v>91854</v>
      </c>
      <c r="E24" s="38">
        <f>Financials!M22</f>
        <v>18171</v>
      </c>
      <c r="F24" s="17"/>
      <c r="G24" s="17"/>
      <c r="H24" s="43"/>
      <c r="I24" s="20"/>
      <c r="J24" s="20"/>
      <c r="K24" s="20"/>
      <c r="L24" s="20"/>
    </row>
    <row r="25" spans="1:12" x14ac:dyDescent="0.3">
      <c r="A25" s="96" t="s">
        <v>125</v>
      </c>
      <c r="B25" s="97">
        <f>Financials!T6+Financials!T7</f>
        <v>15817</v>
      </c>
      <c r="C25" s="97">
        <f>Financials!T10</f>
        <v>9574</v>
      </c>
      <c r="D25" s="97">
        <f>Financials!T3</f>
        <v>47061</v>
      </c>
      <c r="E25" s="97">
        <f>Financials!T22</f>
        <v>26372</v>
      </c>
      <c r="H25" s="43"/>
      <c r="I25" s="20"/>
      <c r="J25" s="20"/>
      <c r="K25" s="20"/>
      <c r="L25" s="20"/>
    </row>
    <row r="26" spans="1:12" x14ac:dyDescent="0.3">
      <c r="A26" s="96" t="s">
        <v>126</v>
      </c>
      <c r="B26" s="97">
        <f>Financials!AB6+Financials!AB7</f>
        <v>4719</v>
      </c>
      <c r="C26" s="97">
        <f>Financials!AB10</f>
        <v>2310</v>
      </c>
      <c r="D26" s="97">
        <f>Financials!AB3</f>
        <v>20101</v>
      </c>
      <c r="E26" s="97">
        <f>Financials!AB22</f>
        <v>544</v>
      </c>
    </row>
    <row r="27" spans="1:12" x14ac:dyDescent="0.3">
      <c r="A27" s="96" t="s">
        <v>124</v>
      </c>
      <c r="B27" s="97">
        <f>Financials!AJ6+Financials!AJ7</f>
        <v>41527</v>
      </c>
      <c r="C27" s="97">
        <f>Financials!AJ10</f>
        <v>7184</v>
      </c>
      <c r="D27" s="97">
        <f>Financials!AJ3</f>
        <v>680985</v>
      </c>
      <c r="E27" s="97">
        <f>Financials!AJ22</f>
        <v>97421</v>
      </c>
    </row>
  </sheetData>
  <conditionalFormatting sqref="I9:L10">
    <cfRule type="cellIs" dxfId="54" priority="3" operator="lessThan">
      <formula>0</formula>
    </cfRule>
    <cfRule type="cellIs" dxfId="53" priority="4" operator="greaterThan">
      <formula>0</formula>
    </cfRule>
  </conditionalFormatting>
  <conditionalFormatting sqref="K15:K19">
    <cfRule type="cellIs" dxfId="52" priority="1" operator="greaterThan">
      <formula>0</formula>
    </cfRule>
    <cfRule type="cellIs" dxfId="51" priority="2" operator="lessThan">
      <formula>0</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1F296-37E8-4C39-B0C1-B45C1B074E48}">
  <dimension ref="A1:AF73"/>
  <sheetViews>
    <sheetView topLeftCell="A17" workbookViewId="0">
      <selection activeCell="F64" sqref="F64"/>
    </sheetView>
  </sheetViews>
  <sheetFormatPr defaultRowHeight="14.4" x14ac:dyDescent="0.3"/>
  <cols>
    <col min="1" max="1" width="7.6640625" style="17" bestFit="1" customWidth="1"/>
    <col min="2" max="2" width="16.88671875" style="20" bestFit="1" customWidth="1"/>
    <col min="3" max="3" width="9.109375" style="20" bestFit="1" customWidth="1"/>
    <col min="4" max="4" width="10.88671875" style="20" bestFit="1" customWidth="1"/>
    <col min="5" max="5" width="8.88671875" style="17"/>
    <col min="6" max="6" width="15.5546875" style="17" customWidth="1"/>
    <col min="7" max="15" width="15.5546875" style="20" customWidth="1"/>
    <col min="18" max="18" width="9.88671875" bestFit="1" customWidth="1"/>
    <col min="19" max="23" width="10.88671875" bestFit="1" customWidth="1"/>
    <col min="26" max="26" width="9.109375" bestFit="1" customWidth="1"/>
    <col min="27" max="27" width="6.21875" bestFit="1" customWidth="1"/>
    <col min="28" max="28" width="14.88671875" bestFit="1" customWidth="1"/>
    <col min="29" max="30" width="12.6640625" bestFit="1" customWidth="1"/>
    <col min="31" max="31" width="10.33203125" bestFit="1" customWidth="1"/>
    <col min="32" max="32" width="16" bestFit="1" customWidth="1"/>
  </cols>
  <sheetData>
    <row r="1" spans="1:32" ht="28.8" x14ac:dyDescent="0.3">
      <c r="A1" s="1" t="s">
        <v>9</v>
      </c>
      <c r="B1" s="2" t="s">
        <v>11</v>
      </c>
      <c r="C1" s="2" t="s">
        <v>0</v>
      </c>
      <c r="D1" s="2" t="s">
        <v>44</v>
      </c>
      <c r="E1" s="1"/>
      <c r="F1" s="1" t="s">
        <v>0</v>
      </c>
      <c r="G1" s="2" t="s">
        <v>104</v>
      </c>
      <c r="H1" s="2" t="s">
        <v>105</v>
      </c>
      <c r="I1" s="2" t="s">
        <v>106</v>
      </c>
      <c r="J1" s="2" t="s">
        <v>107</v>
      </c>
      <c r="K1" s="2" t="s">
        <v>31</v>
      </c>
      <c r="L1" s="2" t="s">
        <v>77</v>
      </c>
      <c r="M1" s="2" t="s">
        <v>108</v>
      </c>
      <c r="N1" s="2" t="s">
        <v>109</v>
      </c>
      <c r="O1" s="2" t="s">
        <v>110</v>
      </c>
      <c r="Q1" s="75" t="s">
        <v>11</v>
      </c>
      <c r="R1" s="76">
        <v>2020</v>
      </c>
      <c r="S1" s="76">
        <v>2021</v>
      </c>
      <c r="T1" s="76">
        <v>2022</v>
      </c>
      <c r="U1" s="76">
        <v>2023</v>
      </c>
      <c r="V1" s="76">
        <v>2024</v>
      </c>
      <c r="W1" s="20"/>
      <c r="X1" s="17"/>
      <c r="Y1" s="17"/>
      <c r="Z1" s="75" t="s">
        <v>0</v>
      </c>
      <c r="AA1" s="76" t="s">
        <v>59</v>
      </c>
      <c r="AB1" s="76" t="s">
        <v>123</v>
      </c>
      <c r="AC1" s="76" t="s">
        <v>52</v>
      </c>
      <c r="AD1" s="76" t="s">
        <v>88</v>
      </c>
      <c r="AE1" s="76" t="s">
        <v>2</v>
      </c>
      <c r="AF1" s="76" t="s">
        <v>90</v>
      </c>
    </row>
    <row r="2" spans="1:32" x14ac:dyDescent="0.3">
      <c r="A2" s="17" t="s">
        <v>111</v>
      </c>
      <c r="B2" s="20" t="s">
        <v>112</v>
      </c>
      <c r="C2" s="20" t="str">
        <f>Relative!A23</f>
        <v>P&amp;G</v>
      </c>
      <c r="D2" s="37">
        <f>AVERAGE(Financials!B27:F27)</f>
        <v>3080</v>
      </c>
      <c r="F2" s="17" t="str">
        <f>C2</f>
        <v>P&amp;G</v>
      </c>
      <c r="G2" s="37">
        <f>Financials!F6-Financials!B6</f>
        <v>2839</v>
      </c>
      <c r="H2" s="19">
        <f>(122370-33627)-(120700-32976)</f>
        <v>1019</v>
      </c>
      <c r="I2" s="35">
        <f>G2/H2</f>
        <v>2.7860647693817469</v>
      </c>
      <c r="J2" s="37">
        <f>DCF!G4-DCF!B4</f>
        <v>3595.8907381658355</v>
      </c>
      <c r="K2" s="37">
        <f>D8</f>
        <v>3710.850909414316</v>
      </c>
      <c r="L2" s="37">
        <f>AVERAGE(DCF!B6:G6)</f>
        <v>3413.2599436268688</v>
      </c>
      <c r="M2" s="19">
        <f>IF(K2-L2&lt;=0,K2,MAX(K2-L2,0.1*K2))</f>
        <v>371.08509094143164</v>
      </c>
      <c r="N2" s="35">
        <f>J2/M2</f>
        <v>9.6902053624498077</v>
      </c>
      <c r="O2" s="69">
        <f>MIN(MAX(N2,0.15),0.35)</f>
        <v>0.35</v>
      </c>
      <c r="Q2" s="77" t="s">
        <v>12</v>
      </c>
      <c r="R2" s="78" t="e" cm="1">
        <f t="array" ref="R2">Table1[[#This Row],[2020]:[2024]]</f>
        <v>#VALUE!</v>
      </c>
      <c r="S2" s="78"/>
      <c r="T2" s="78"/>
      <c r="U2" s="78"/>
      <c r="V2" s="78"/>
      <c r="W2" s="20"/>
      <c r="X2" s="17"/>
      <c r="Y2" s="17"/>
      <c r="Z2" s="27" t="s">
        <v>39</v>
      </c>
      <c r="AA2" s="80">
        <f ca="1">'Assumptions &amp; WACC'!B21</f>
        <v>5.5232042677039614E-2</v>
      </c>
      <c r="AB2" s="80">
        <f>'Assumptions &amp; WACC'!$B$25</f>
        <v>0.02</v>
      </c>
      <c r="AC2" s="80">
        <f ca="1">'Assumptions &amp; WACC'!B12</f>
        <v>5.9074799999999997E-2</v>
      </c>
      <c r="AD2" s="38">
        <f ca="1">DCF!B20</f>
        <v>184.76348464824667</v>
      </c>
      <c r="AE2" s="38">
        <f ca="1">DCF!B21</f>
        <v>147.35</v>
      </c>
      <c r="AF2" s="36">
        <f ca="1">(AD2-AE2)/AE2</f>
        <v>0.25390895587544404</v>
      </c>
    </row>
    <row r="3" spans="1:32" x14ac:dyDescent="0.3">
      <c r="A3" s="17" t="s">
        <v>111</v>
      </c>
      <c r="B3" s="20" t="s">
        <v>112</v>
      </c>
      <c r="C3" s="20" t="str">
        <f>Relative!A24</f>
        <v>PepsiCo</v>
      </c>
      <c r="D3" s="37">
        <f>AVERAGE(Financials!I27:M27)</f>
        <v>4981.6000000000004</v>
      </c>
      <c r="F3" s="17" t="str">
        <f t="shared" ref="F3:F6" si="0">C3</f>
        <v>PepsiCo</v>
      </c>
      <c r="G3" s="37">
        <f>Financials!M6-Financials!I6</f>
        <v>2807</v>
      </c>
      <c r="H3" s="19">
        <f>(99467-31536)-(92918-23372)</f>
        <v>-1615</v>
      </c>
      <c r="I3" s="35">
        <f>G3/H3</f>
        <v>-1.7380804953560371</v>
      </c>
      <c r="J3" s="37">
        <f>DCF!O4-DCF!J4</f>
        <v>4062.0134465265128</v>
      </c>
      <c r="K3" s="37">
        <f t="shared" ref="K3:K6" si="1">D9</f>
        <v>6598.1910376658698</v>
      </c>
      <c r="L3" s="37">
        <f>AVERAGE(DCF!J6:O6)</f>
        <v>3742.8071772595576</v>
      </c>
      <c r="M3" s="19">
        <f>IF(K3-L3&lt;=0,K3,MAX(K3-L3,0.1*K3))</f>
        <v>2855.3838604063121</v>
      </c>
      <c r="N3" s="35">
        <f>J3/M3</f>
        <v>1.4225805163542884</v>
      </c>
      <c r="O3" s="69">
        <f>MIN(MAX(N3,0.15),0.35)</f>
        <v>0.35</v>
      </c>
      <c r="Q3" s="27" t="s">
        <v>122</v>
      </c>
      <c r="R3" s="28" cm="1">
        <f t="array" ref="R3:V3">Financials!B6:F6</f>
        <v>15706</v>
      </c>
      <c r="S3" s="28">
        <v>17986</v>
      </c>
      <c r="T3" s="28">
        <v>17813</v>
      </c>
      <c r="U3" s="28">
        <v>18134</v>
      </c>
      <c r="V3" s="28">
        <v>18545</v>
      </c>
      <c r="W3" s="20"/>
      <c r="X3" s="17"/>
      <c r="Y3" s="17"/>
      <c r="Z3" s="27" t="s">
        <v>40</v>
      </c>
      <c r="AA3" s="80">
        <f ca="1">'Assumptions &amp; WACC'!C21</f>
        <v>5.3253660419117964E-2</v>
      </c>
      <c r="AB3" s="80">
        <f>'Assumptions &amp; WACC'!$B$25</f>
        <v>0.02</v>
      </c>
      <c r="AC3" s="80">
        <f ca="1">'Assumptions &amp; WACC'!C12</f>
        <v>6.0413999999999995E-2</v>
      </c>
      <c r="AD3" s="38">
        <f ca="1">DCF!J20</f>
        <v>177.70399732347795</v>
      </c>
      <c r="AE3" s="38">
        <f ca="1">DCF!J21</f>
        <v>147.815</v>
      </c>
      <c r="AF3" s="36">
        <f ca="1">(AD3-AE3)/AE3</f>
        <v>0.2022054414198691</v>
      </c>
    </row>
    <row r="4" spans="1:32" x14ac:dyDescent="0.3">
      <c r="A4" s="17" t="s">
        <v>111</v>
      </c>
      <c r="B4" s="20" t="s">
        <v>112</v>
      </c>
      <c r="C4" s="20" t="s">
        <v>125</v>
      </c>
      <c r="D4" s="37">
        <f>AVERAGE(Financials!P27:T27)</f>
        <v>1588.8</v>
      </c>
      <c r="F4" s="17" t="str">
        <f t="shared" si="0"/>
        <v>Coca-Cola</v>
      </c>
      <c r="G4" s="37">
        <f>Financials!T6-Financials!P6</f>
        <v>3556</v>
      </c>
      <c r="H4" s="37">
        <f>((Financials!T15-Financials!T20)-(Financials!P15-Financials!P20))</f>
        <v>2605</v>
      </c>
      <c r="I4" s="35">
        <f t="shared" ref="I4:I6" si="2">G4/H4</f>
        <v>1.3650671785028792</v>
      </c>
      <c r="J4" s="37">
        <f>Table927[[#This Row],[2030]]-Table927[[#This Row],[2025]]</f>
        <v>6940.6726106595088</v>
      </c>
      <c r="K4" s="37">
        <f t="shared" si="1"/>
        <v>2326.2721791844092</v>
      </c>
      <c r="L4" s="37">
        <f>AVERAGE(DCF!R6:W6)</f>
        <v>1889.071227079384</v>
      </c>
      <c r="M4" s="19">
        <f t="shared" ref="M4:M6" si="3">IF(K4-L4&lt;=0,K4,MAX(K4-L4,0.1*K4))</f>
        <v>437.20095210502518</v>
      </c>
      <c r="N4" s="35">
        <f t="shared" ref="N4:N6" si="4">J4/M4</f>
        <v>15.875245873188785</v>
      </c>
      <c r="O4" s="69">
        <f t="shared" ref="O4:O6" si="5">MIN(MAX(N4,0.15),0.35)</f>
        <v>0.35</v>
      </c>
      <c r="Q4" s="27" t="s">
        <v>99</v>
      </c>
      <c r="R4" s="28" cm="1">
        <f t="array" ref="R4:V4">Financials!B10:F10</f>
        <v>9497</v>
      </c>
      <c r="S4" s="28">
        <v>11486</v>
      </c>
      <c r="T4" s="28">
        <v>11365</v>
      </c>
      <c r="U4" s="28">
        <v>11049</v>
      </c>
      <c r="V4" s="28">
        <v>10937</v>
      </c>
      <c r="W4" s="20"/>
      <c r="X4" s="17"/>
      <c r="Y4" s="17"/>
      <c r="Z4" s="17"/>
      <c r="AA4" s="20"/>
      <c r="AB4" s="20"/>
      <c r="AC4" s="20"/>
      <c r="AD4" s="20"/>
      <c r="AE4" s="20"/>
      <c r="AF4" s="20"/>
    </row>
    <row r="5" spans="1:32" x14ac:dyDescent="0.3">
      <c r="A5" s="17" t="s">
        <v>111</v>
      </c>
      <c r="B5" s="20" t="s">
        <v>112</v>
      </c>
      <c r="C5" s="20" t="s">
        <v>126</v>
      </c>
      <c r="D5" s="37">
        <f>AVERAGE(Financials!X27:AB27)</f>
        <v>587.79999999999995</v>
      </c>
      <c r="F5" s="17" t="str">
        <f t="shared" si="0"/>
        <v>Colgate</v>
      </c>
      <c r="G5" s="37">
        <f>Financials!AB6-Financials!X6</f>
        <v>303</v>
      </c>
      <c r="H5" s="37">
        <f>(Financials!AB15-Financials!AB20)-(Financials!X15-Financials!X20)</f>
        <v>-1229</v>
      </c>
      <c r="I5" s="35">
        <f t="shared" si="2"/>
        <v>-0.24654190398698128</v>
      </c>
      <c r="J5" s="37">
        <f>DCF!AE4-DCF!Z4</f>
        <v>885.98004110160127</v>
      </c>
      <c r="K5" s="37">
        <f t="shared" si="1"/>
        <v>744.63444903980769</v>
      </c>
      <c r="L5" s="37">
        <f>AVERAGE(DCF!Z6:AE6)</f>
        <v>712.45732245659713</v>
      </c>
      <c r="M5" s="19">
        <f t="shared" si="3"/>
        <v>74.463444903980772</v>
      </c>
      <c r="N5" s="35">
        <f t="shared" si="4"/>
        <v>11.898187657635987</v>
      </c>
      <c r="O5" s="69">
        <f t="shared" si="5"/>
        <v>0.35</v>
      </c>
      <c r="Q5" s="27" t="s">
        <v>31</v>
      </c>
      <c r="R5" s="28" cm="1">
        <f t="array" ref="R5:V5">Financials!B27:F27</f>
        <v>3073</v>
      </c>
      <c r="S5" s="28">
        <v>2787</v>
      </c>
      <c r="T5" s="28">
        <v>3156</v>
      </c>
      <c r="U5" s="28">
        <v>3062</v>
      </c>
      <c r="V5" s="28">
        <v>3322</v>
      </c>
      <c r="W5" s="70"/>
      <c r="X5" s="21"/>
      <c r="Y5" s="21"/>
      <c r="Z5" s="21"/>
      <c r="AA5" s="70"/>
      <c r="AB5" s="70"/>
      <c r="AC5" s="70"/>
      <c r="AD5" s="70"/>
      <c r="AE5" s="70"/>
      <c r="AF5" s="70"/>
    </row>
    <row r="6" spans="1:32" x14ac:dyDescent="0.3">
      <c r="A6" s="17" t="s">
        <v>111</v>
      </c>
      <c r="B6" s="20" t="s">
        <v>112</v>
      </c>
      <c r="C6" s="20" t="s">
        <v>124</v>
      </c>
      <c r="D6" s="37">
        <f>AVERAGE(Financials!AF27:AJ27)</f>
        <v>16923.2</v>
      </c>
      <c r="F6" s="17" t="str">
        <f t="shared" si="0"/>
        <v>Walmart</v>
      </c>
      <c r="G6" s="37">
        <f>Table181114[[#This Row],[2024]]-Table181114[[#This Row],[2020]]</f>
        <v>5796</v>
      </c>
      <c r="H6" s="37">
        <f>(Financials!AJ15-Financials!AJ20)-(Financials!AF15-Financials!AF20)</f>
        <v>4388</v>
      </c>
      <c r="I6" s="35">
        <f t="shared" si="2"/>
        <v>1.3208751139471286</v>
      </c>
      <c r="J6" s="37">
        <f>DCF!AM4-DCF!AH4</f>
        <v>5763.2810299200864</v>
      </c>
      <c r="K6" s="37">
        <f t="shared" si="1"/>
        <v>21579.216588282514</v>
      </c>
      <c r="L6" s="19">
        <f>AVERAGE(Table92731[[#This Row],[2025]:[2030]])</f>
        <v>14684.608943579175</v>
      </c>
      <c r="M6" s="19">
        <f t="shared" si="3"/>
        <v>6894.6076447033392</v>
      </c>
      <c r="N6" s="35">
        <f t="shared" si="4"/>
        <v>0.83591138566784517</v>
      </c>
      <c r="O6" s="69">
        <f t="shared" si="5"/>
        <v>0.35</v>
      </c>
      <c r="Q6" s="17"/>
      <c r="R6" s="20"/>
      <c r="S6" s="20"/>
      <c r="T6" s="20"/>
      <c r="U6" s="20"/>
      <c r="V6" s="20"/>
      <c r="W6" s="20"/>
      <c r="X6" s="17"/>
      <c r="Y6" s="17"/>
      <c r="Z6" s="17"/>
      <c r="AA6" s="20"/>
      <c r="AB6" s="20"/>
      <c r="AC6" s="20"/>
      <c r="AD6" s="20"/>
      <c r="AE6" s="20"/>
      <c r="AF6" s="20"/>
    </row>
    <row r="7" spans="1:32" x14ac:dyDescent="0.3">
      <c r="A7" s="21" t="s">
        <v>111</v>
      </c>
      <c r="B7" s="70" t="s">
        <v>112</v>
      </c>
      <c r="C7" s="70" t="s">
        <v>97</v>
      </c>
      <c r="D7" s="71">
        <f>AVERAGE(D2:D6)</f>
        <v>5432.2800000000007</v>
      </c>
      <c r="F7" s="21" t="s">
        <v>97</v>
      </c>
      <c r="H7" s="70" t="s">
        <v>97</v>
      </c>
      <c r="I7" s="72">
        <f>AVERAGE(I2:I6)</f>
        <v>0.69747693249774723</v>
      </c>
      <c r="J7" s="70"/>
      <c r="K7" s="71"/>
      <c r="L7" s="70"/>
      <c r="M7" s="70" t="s">
        <v>97</v>
      </c>
      <c r="N7" s="72">
        <f>AVERAGE(N2:N6)</f>
        <v>7.9444261590593417</v>
      </c>
      <c r="O7" s="72">
        <f>AVERAGE(O2:O6)</f>
        <v>0.35</v>
      </c>
      <c r="Q7" s="75" t="s">
        <v>11</v>
      </c>
      <c r="R7" s="76">
        <v>2020</v>
      </c>
      <c r="S7" s="76">
        <v>2021</v>
      </c>
      <c r="T7" s="76">
        <v>2022</v>
      </c>
      <c r="U7" s="76">
        <v>2023</v>
      </c>
      <c r="V7" s="76">
        <v>2024</v>
      </c>
      <c r="W7" s="20"/>
      <c r="X7" s="17"/>
      <c r="Y7" s="17"/>
      <c r="Z7" s="17"/>
      <c r="AA7" s="20"/>
      <c r="AB7" s="20"/>
      <c r="AC7" s="20"/>
      <c r="AD7" s="20"/>
      <c r="AE7" s="20"/>
      <c r="AF7" s="20"/>
    </row>
    <row r="8" spans="1:32" x14ac:dyDescent="0.3">
      <c r="A8" s="17" t="s">
        <v>113</v>
      </c>
      <c r="B8" s="20" t="s">
        <v>112</v>
      </c>
      <c r="C8" s="20" t="str">
        <f t="shared" ref="C8:D23" si="6">C2</f>
        <v>P&amp;G</v>
      </c>
      <c r="D8" s="107">
        <f>AVERAGE(DCF!B7:G7)</f>
        <v>3710.850909414316</v>
      </c>
      <c r="Q8" s="27" t="s">
        <v>12</v>
      </c>
      <c r="R8" s="28" cm="1">
        <f t="array" ref="R8:V8">Financials!I3:M3</f>
        <v>70372</v>
      </c>
      <c r="S8" s="28">
        <v>79474</v>
      </c>
      <c r="T8" s="28">
        <v>86392</v>
      </c>
      <c r="U8" s="28">
        <v>91471</v>
      </c>
      <c r="V8" s="28">
        <v>91854</v>
      </c>
      <c r="W8" s="70"/>
      <c r="X8" s="21"/>
      <c r="Y8" s="21"/>
      <c r="Z8" s="21"/>
      <c r="AA8" s="70"/>
      <c r="AB8" s="70"/>
      <c r="AC8" s="70"/>
      <c r="AD8" s="70"/>
      <c r="AE8" s="70"/>
      <c r="AF8" s="70"/>
    </row>
    <row r="9" spans="1:32" x14ac:dyDescent="0.3">
      <c r="A9" s="17" t="s">
        <v>113</v>
      </c>
      <c r="B9" s="20" t="s">
        <v>112</v>
      </c>
      <c r="C9" s="20" t="str">
        <f t="shared" si="6"/>
        <v>PepsiCo</v>
      </c>
      <c r="D9" s="107">
        <f>AVERAGE(DCF!J7:O7)</f>
        <v>6598.1910376658698</v>
      </c>
      <c r="Q9" s="27" t="s">
        <v>122</v>
      </c>
      <c r="R9" s="28" cm="1">
        <f t="array" ref="R9:V9">Financials!I6:M6</f>
        <v>10080</v>
      </c>
      <c r="S9" s="28">
        <v>11162</v>
      </c>
      <c r="T9" s="28">
        <v>11512</v>
      </c>
      <c r="U9" s="28">
        <v>11986</v>
      </c>
      <c r="V9" s="28">
        <v>12887</v>
      </c>
      <c r="W9" s="70"/>
      <c r="X9" s="21"/>
      <c r="Y9" s="21"/>
      <c r="Z9" s="21"/>
      <c r="AA9" s="70"/>
      <c r="AB9" s="70"/>
      <c r="AC9" s="70"/>
      <c r="AD9" s="70"/>
      <c r="AE9" s="70"/>
      <c r="AF9" s="70"/>
    </row>
    <row r="10" spans="1:32" x14ac:dyDescent="0.3">
      <c r="A10" s="17" t="s">
        <v>113</v>
      </c>
      <c r="B10" s="20" t="s">
        <v>112</v>
      </c>
      <c r="C10" s="20" t="str">
        <f t="shared" si="6"/>
        <v>Coca-Cola</v>
      </c>
      <c r="D10" s="37">
        <f>AVERAGE(DCF!R7:W7)</f>
        <v>2326.2721791844092</v>
      </c>
      <c r="Q10" s="27" t="s">
        <v>99</v>
      </c>
      <c r="R10" s="28" cm="1">
        <f t="array" ref="R10:V10">Financials!I10:M10</f>
        <v>4510</v>
      </c>
      <c r="S10" s="28">
        <v>4447</v>
      </c>
      <c r="T10" s="28">
        <v>6083</v>
      </c>
      <c r="U10" s="28">
        <v>5957</v>
      </c>
      <c r="V10" s="28">
        <v>6488</v>
      </c>
      <c r="W10" s="20"/>
      <c r="X10" s="17"/>
      <c r="Y10" s="17"/>
      <c r="Z10" s="17"/>
      <c r="AA10" s="20"/>
      <c r="AB10" s="20"/>
      <c r="AC10" s="20"/>
      <c r="AD10" s="20"/>
      <c r="AE10" s="20"/>
      <c r="AF10" s="20"/>
    </row>
    <row r="11" spans="1:32" x14ac:dyDescent="0.3">
      <c r="A11" s="17" t="s">
        <v>113</v>
      </c>
      <c r="B11" s="20" t="s">
        <v>112</v>
      </c>
      <c r="C11" s="20" t="str">
        <f t="shared" si="6"/>
        <v>Colgate</v>
      </c>
      <c r="D11" s="107">
        <f>AVERAGE(DCF!Z7:AE7)</f>
        <v>744.63444903980769</v>
      </c>
      <c r="Q11" s="27" t="s">
        <v>31</v>
      </c>
      <c r="R11" s="28" cm="1">
        <f t="array" ref="R11:V11">Financials!I27:M27</f>
        <v>4240</v>
      </c>
      <c r="S11" s="28">
        <v>4625</v>
      </c>
      <c r="T11" s="28">
        <v>5207</v>
      </c>
      <c r="U11" s="28">
        <v>5518</v>
      </c>
      <c r="V11" s="28">
        <v>5318</v>
      </c>
      <c r="W11" s="20"/>
      <c r="X11" s="17"/>
      <c r="Y11" s="17"/>
      <c r="Z11" s="17"/>
      <c r="AA11" s="20"/>
      <c r="AB11" s="20"/>
      <c r="AC11" s="20"/>
      <c r="AD11" s="20"/>
      <c r="AE11" s="20"/>
      <c r="AF11" s="20"/>
    </row>
    <row r="12" spans="1:32" x14ac:dyDescent="0.3">
      <c r="A12" s="17" t="s">
        <v>113</v>
      </c>
      <c r="B12" s="20" t="s">
        <v>112</v>
      </c>
      <c r="C12" s="20" t="str">
        <f t="shared" si="6"/>
        <v>Walmart</v>
      </c>
      <c r="D12" s="107">
        <f>AVERAGE(DCF!AH7:AM7)</f>
        <v>21579.216588282514</v>
      </c>
      <c r="Q12" s="17"/>
      <c r="R12" s="20"/>
      <c r="S12" s="20"/>
      <c r="T12" s="20"/>
      <c r="U12" s="20"/>
      <c r="V12" s="20"/>
      <c r="W12" s="20"/>
      <c r="X12" s="17"/>
      <c r="Y12" s="17"/>
      <c r="Z12" s="17"/>
      <c r="AA12" s="20"/>
      <c r="AB12" s="20"/>
      <c r="AC12" s="20"/>
      <c r="AD12" s="20"/>
      <c r="AE12" s="20"/>
      <c r="AF12" s="20"/>
    </row>
    <row r="13" spans="1:32" x14ac:dyDescent="0.3">
      <c r="B13" s="70" t="s">
        <v>112</v>
      </c>
      <c r="C13" s="70" t="str">
        <f t="shared" si="6"/>
        <v>Average</v>
      </c>
      <c r="D13" s="23">
        <f>AVERAGE(D8:D12)</f>
        <v>6991.8330327173844</v>
      </c>
      <c r="Q13" s="17"/>
      <c r="R13" s="20"/>
      <c r="S13" s="20"/>
      <c r="T13" s="20"/>
      <c r="U13" s="20"/>
      <c r="V13" s="20"/>
      <c r="W13" s="20"/>
      <c r="X13" s="17"/>
      <c r="Y13" s="17"/>
      <c r="Z13" s="17"/>
      <c r="AA13" s="20"/>
      <c r="AB13" s="20"/>
      <c r="AC13" s="20"/>
      <c r="AD13" s="20"/>
      <c r="AE13" s="20"/>
      <c r="AF13" s="20"/>
    </row>
    <row r="14" spans="1:32" x14ac:dyDescent="0.3">
      <c r="A14" s="17" t="s">
        <v>113</v>
      </c>
      <c r="B14" s="20" t="s">
        <v>114</v>
      </c>
      <c r="C14" s="20" t="str">
        <f t="shared" si="6"/>
        <v>P&amp;G</v>
      </c>
      <c r="D14" s="108">
        <f>(DCF!G7/DCF!B7)^(1/6)-1</f>
        <v>2.861948307749973E-2</v>
      </c>
      <c r="Q14" s="75" t="s">
        <v>11</v>
      </c>
      <c r="R14" s="76">
        <v>2025</v>
      </c>
      <c r="S14" s="76">
        <v>2026</v>
      </c>
      <c r="T14" s="76">
        <v>2027</v>
      </c>
      <c r="U14" s="76">
        <v>2028</v>
      </c>
      <c r="V14" s="76">
        <v>2029</v>
      </c>
      <c r="W14" s="76">
        <v>2030</v>
      </c>
      <c r="X14" s="17"/>
      <c r="Y14" s="17"/>
      <c r="Z14" s="17"/>
      <c r="AA14" s="20"/>
      <c r="AB14" s="20"/>
      <c r="AC14" s="20"/>
      <c r="AD14" s="20"/>
      <c r="AE14" s="20"/>
      <c r="AF14" s="20"/>
    </row>
    <row r="15" spans="1:32" x14ac:dyDescent="0.3">
      <c r="A15" s="17" t="s">
        <v>113</v>
      </c>
      <c r="B15" s="20" t="s">
        <v>114</v>
      </c>
      <c r="C15" s="20" t="str">
        <f t="shared" si="6"/>
        <v>PepsiCo</v>
      </c>
      <c r="D15" s="108">
        <f>(DCF!O7/DCF!J7)^(1/6)-1</f>
        <v>4.5401285741925701E-2</v>
      </c>
      <c r="Q15" s="27" t="s">
        <v>12</v>
      </c>
      <c r="R15" s="79" cm="1">
        <f t="array" ref="R15:W15">DCF!B3:G3</f>
        <v>86933.381152487374</v>
      </c>
      <c r="S15" s="79">
        <v>89927.447478000075</v>
      </c>
      <c r="T15" s="79">
        <v>93024.632226410002</v>
      </c>
      <c r="U15" s="79">
        <v>96228.486891900917</v>
      </c>
      <c r="V15" s="79">
        <v>99542.685285412226</v>
      </c>
      <c r="W15" s="79">
        <v>102971.02774734158</v>
      </c>
      <c r="X15" s="17"/>
      <c r="Y15" s="17"/>
      <c r="Z15" s="17"/>
      <c r="AA15" s="20"/>
      <c r="AB15" s="20"/>
      <c r="AC15" s="20"/>
      <c r="AD15" s="20"/>
      <c r="AE15" s="20"/>
      <c r="AF15" s="20"/>
    </row>
    <row r="16" spans="1:32" x14ac:dyDescent="0.3">
      <c r="A16" s="17" t="s">
        <v>113</v>
      </c>
      <c r="B16" s="20" t="s">
        <v>114</v>
      </c>
      <c r="C16" s="20" t="str">
        <f t="shared" si="6"/>
        <v>Coca-Cola</v>
      </c>
      <c r="D16" s="69">
        <f>(DCF!W7/DCF!R7)^(1/6)-1</f>
        <v>6.0865926511186164E-2</v>
      </c>
      <c r="J16" s="70" t="s">
        <v>43</v>
      </c>
      <c r="K16" s="70" t="s">
        <v>111</v>
      </c>
      <c r="L16" s="70" t="s">
        <v>113</v>
      </c>
      <c r="Q16" s="27" t="s">
        <v>122</v>
      </c>
      <c r="R16" s="79" cm="1">
        <f t="array" ref="R16:W16">DCF!B4:G4</f>
        <v>19491.821214215473</v>
      </c>
      <c r="S16" s="79">
        <v>20163.137626239404</v>
      </c>
      <c r="T16" s="79">
        <v>20857.57479850938</v>
      </c>
      <c r="U16" s="79">
        <v>21575.929031465523</v>
      </c>
      <c r="V16" s="79">
        <v>22319.024050874119</v>
      </c>
      <c r="W16" s="79">
        <v>23087.711952381309</v>
      </c>
      <c r="X16" s="21"/>
      <c r="Y16" s="21"/>
      <c r="Z16" s="21"/>
      <c r="AA16" s="70"/>
      <c r="AB16" s="70"/>
      <c r="AC16" s="70"/>
      <c r="AD16" s="70"/>
      <c r="AE16" s="70"/>
      <c r="AF16" s="70"/>
    </row>
    <row r="17" spans="1:32" x14ac:dyDescent="0.3">
      <c r="A17" s="17" t="s">
        <v>113</v>
      </c>
      <c r="B17" s="20" t="s">
        <v>114</v>
      </c>
      <c r="C17" s="20" t="str">
        <f t="shared" si="6"/>
        <v>Colgate</v>
      </c>
      <c r="D17" s="108">
        <f>(DCF!AE7/DCF!Z7)^(1/6)-1</f>
        <v>3.3751809432122082E-2</v>
      </c>
      <c r="J17" s="20" t="s">
        <v>115</v>
      </c>
      <c r="K17" s="35">
        <f>AVERAGE(-0.035,0.058)</f>
        <v>1.15E-2</v>
      </c>
      <c r="L17" s="35">
        <v>2.1000000000000001E-2</v>
      </c>
      <c r="Q17" s="27" t="s">
        <v>18</v>
      </c>
      <c r="R17" s="79" cm="1">
        <f t="array" ref="R17:W17">DCF!B5:G5</f>
        <v>15008.702334945914</v>
      </c>
      <c r="S17" s="79">
        <v>15525.615972204341</v>
      </c>
      <c r="T17" s="79">
        <v>16060.332594852223</v>
      </c>
      <c r="U17" s="79">
        <v>16613.465354228454</v>
      </c>
      <c r="V17" s="79">
        <v>17185.648519173072</v>
      </c>
      <c r="W17" s="79">
        <v>17777.53820333361</v>
      </c>
      <c r="X17" s="17"/>
      <c r="Y17" s="17"/>
      <c r="Z17" s="17"/>
      <c r="AA17" s="20"/>
      <c r="AB17" s="20"/>
      <c r="AC17" s="20"/>
      <c r="AD17" s="20"/>
      <c r="AE17" s="20"/>
      <c r="AF17" s="20"/>
    </row>
    <row r="18" spans="1:32" x14ac:dyDescent="0.3">
      <c r="A18" s="17" t="s">
        <v>113</v>
      </c>
      <c r="B18" s="20" t="s">
        <v>114</v>
      </c>
      <c r="C18" s="20" t="str">
        <f t="shared" si="6"/>
        <v>Walmart</v>
      </c>
      <c r="D18" s="108">
        <f>(DCF!AM7/DCF!AH7)^(1/6)-1</f>
        <v>3.3399086534751765E-2</v>
      </c>
      <c r="J18" s="20" t="s">
        <v>115</v>
      </c>
      <c r="K18" s="35">
        <v>2.8000000000000001E-2</v>
      </c>
      <c r="L18" s="35">
        <v>2.5000000000000001E-2</v>
      </c>
      <c r="Q18" s="27" t="s">
        <v>31</v>
      </c>
      <c r="R18" s="79" cm="1">
        <f t="array" ref="R18:W18">DCF!B7:G7</f>
        <v>3403.9513596448146</v>
      </c>
      <c r="S18" s="79">
        <v>3521.186603511826</v>
      </c>
      <c r="T18" s="79">
        <v>3642.4595379779153</v>
      </c>
      <c r="U18" s="79">
        <v>3767.9092248544985</v>
      </c>
      <c r="V18" s="79">
        <v>3897.6795153708322</v>
      </c>
      <c r="W18" s="79">
        <v>4031.9192151260117</v>
      </c>
      <c r="X18" s="17"/>
      <c r="Y18" s="17"/>
      <c r="Z18" s="17"/>
      <c r="AA18" s="20"/>
      <c r="AB18" s="20"/>
      <c r="AC18" s="20"/>
      <c r="AD18" s="20"/>
      <c r="AE18" s="20"/>
      <c r="AF18" s="20"/>
    </row>
    <row r="19" spans="1:32" x14ac:dyDescent="0.3">
      <c r="A19" s="21" t="s">
        <v>113</v>
      </c>
      <c r="B19" s="70" t="s">
        <v>114</v>
      </c>
      <c r="C19" s="70" t="str">
        <f t="shared" si="6"/>
        <v>Average</v>
      </c>
      <c r="D19" s="73">
        <f>AVERAGE(D14:D18)</f>
        <v>4.0407518259497087E-2</v>
      </c>
      <c r="G19" s="35"/>
      <c r="I19" s="17"/>
      <c r="J19" s="20" t="s">
        <v>117</v>
      </c>
      <c r="K19" s="69">
        <f>K18-K17</f>
        <v>1.6500000000000001E-2</v>
      </c>
      <c r="L19" s="35">
        <f>L18-L17</f>
        <v>4.0000000000000001E-3</v>
      </c>
      <c r="Q19" s="27" t="s">
        <v>79</v>
      </c>
      <c r="R19" s="79" cm="1">
        <f t="array" ref="R19:W19">DCF!B9:G9</f>
        <v>16534.422970780837</v>
      </c>
      <c r="S19" s="79">
        <v>15612.328187029736</v>
      </c>
      <c r="T19" s="79">
        <v>16150.031258829569</v>
      </c>
      <c r="U19" s="79">
        <v>16706.253323438126</v>
      </c>
      <c r="V19" s="79">
        <v>17281.632192154299</v>
      </c>
      <c r="W19" s="79">
        <v>17876.827643090073</v>
      </c>
      <c r="X19" s="21"/>
      <c r="Y19" s="21"/>
      <c r="Z19" s="21"/>
      <c r="AA19" s="70"/>
      <c r="AB19" s="70"/>
      <c r="AC19" s="70"/>
      <c r="AD19" s="70"/>
      <c r="AE19" s="70"/>
      <c r="AF19" s="70"/>
    </row>
    <row r="20" spans="1:32" x14ac:dyDescent="0.3">
      <c r="A20" s="17" t="str">
        <f t="shared" ref="A20:A31" si="7">A14</f>
        <v>2025-30</v>
      </c>
      <c r="B20" s="20" t="s">
        <v>116</v>
      </c>
      <c r="C20" s="20" t="str">
        <f t="shared" si="6"/>
        <v>P&amp;G</v>
      </c>
      <c r="D20" s="108">
        <f>D14</f>
        <v>2.861948307749973E-2</v>
      </c>
      <c r="I20" s="17"/>
      <c r="J20" s="70" t="s">
        <v>118</v>
      </c>
      <c r="K20" s="23">
        <f>D61/K19</f>
        <v>35.570611705833308</v>
      </c>
      <c r="L20" s="23">
        <f>D67/L19</f>
        <v>67.675502209363515</v>
      </c>
      <c r="Q20" s="17"/>
      <c r="R20" s="20"/>
      <c r="S20" s="20"/>
      <c r="T20" s="20"/>
      <c r="U20" s="20"/>
      <c r="V20" s="20"/>
      <c r="W20" s="20"/>
      <c r="X20" s="17"/>
      <c r="Y20" s="17"/>
      <c r="Z20" s="17"/>
      <c r="AA20" s="20"/>
      <c r="AB20" s="20"/>
      <c r="AC20" s="20"/>
      <c r="AD20" s="20"/>
      <c r="AE20" s="20"/>
      <c r="AF20" s="20"/>
    </row>
    <row r="21" spans="1:32" x14ac:dyDescent="0.3">
      <c r="A21" s="17" t="str">
        <f t="shared" si="7"/>
        <v>2025-30</v>
      </c>
      <c r="B21" s="20" t="s">
        <v>116</v>
      </c>
      <c r="C21" s="20" t="str">
        <f t="shared" si="6"/>
        <v>PepsiCo</v>
      </c>
      <c r="D21" s="108">
        <f t="shared" si="6"/>
        <v>4.5401285741925701E-2</v>
      </c>
      <c r="Q21" s="75" t="s">
        <v>11</v>
      </c>
      <c r="R21" s="76">
        <v>2025</v>
      </c>
      <c r="S21" s="76">
        <v>2026</v>
      </c>
      <c r="T21" s="76">
        <v>2027</v>
      </c>
      <c r="U21" s="76">
        <v>2028</v>
      </c>
      <c r="V21" s="76">
        <v>2029</v>
      </c>
      <c r="W21" s="76">
        <v>2030</v>
      </c>
      <c r="X21" s="17"/>
      <c r="Y21" s="17"/>
      <c r="Z21" s="17"/>
      <c r="AA21" s="20"/>
      <c r="AB21" s="20"/>
      <c r="AC21" s="20"/>
      <c r="AD21" s="20"/>
      <c r="AE21" s="20"/>
      <c r="AF21" s="20"/>
    </row>
    <row r="22" spans="1:32" x14ac:dyDescent="0.3">
      <c r="A22" s="17" t="str">
        <f t="shared" si="7"/>
        <v>2025-30</v>
      </c>
      <c r="B22" s="20" t="s">
        <v>116</v>
      </c>
      <c r="C22" s="20" t="str">
        <f t="shared" si="6"/>
        <v>Coca-Cola</v>
      </c>
      <c r="D22" s="108">
        <f t="shared" si="6"/>
        <v>6.0865926511186164E-2</v>
      </c>
      <c r="Q22" s="27" t="s">
        <v>12</v>
      </c>
      <c r="R22" s="79" cm="1">
        <f t="array" ref="R22:W22">DCF!J3:O3</f>
        <v>96880.798427545276</v>
      </c>
      <c r="S22" s="79">
        <v>102182.69323011147</v>
      </c>
      <c r="T22" s="79">
        <v>107774.73932120674</v>
      </c>
      <c r="U22" s="79">
        <v>113672.81550894972</v>
      </c>
      <c r="V22" s="79">
        <v>119893.66958449387</v>
      </c>
      <c r="W22" s="79">
        <v>126454.96587795921</v>
      </c>
      <c r="X22" s="17"/>
      <c r="Y22" s="17"/>
      <c r="Z22" s="17"/>
      <c r="AA22" s="20"/>
      <c r="AB22" s="20"/>
      <c r="AC22" s="20"/>
      <c r="AD22" s="20"/>
      <c r="AE22" s="20"/>
      <c r="AF22" s="20"/>
    </row>
    <row r="23" spans="1:32" x14ac:dyDescent="0.3">
      <c r="A23" s="17" t="str">
        <f t="shared" si="7"/>
        <v>2025-30</v>
      </c>
      <c r="B23" s="20" t="s">
        <v>116</v>
      </c>
      <c r="C23" s="20" t="str">
        <f t="shared" si="6"/>
        <v>Colgate</v>
      </c>
      <c r="D23" s="108">
        <f t="shared" si="6"/>
        <v>3.3751809432122082E-2</v>
      </c>
      <c r="Q23" s="27" t="s">
        <v>122</v>
      </c>
      <c r="R23" s="79" cm="1">
        <f t="array" ref="R23:W23">DCF!J4:O4</f>
        <v>13306.582732472003</v>
      </c>
      <c r="S23" s="79">
        <v>14034.798260980195</v>
      </c>
      <c r="T23" s="79">
        <v>14802.866084147507</v>
      </c>
      <c r="U23" s="79">
        <v>15612.967157099754</v>
      </c>
      <c r="V23" s="79">
        <v>16467.401789828051</v>
      </c>
      <c r="W23" s="79">
        <v>17368.596178998516</v>
      </c>
      <c r="X23" s="17"/>
      <c r="Y23" s="17"/>
      <c r="Z23" s="17"/>
      <c r="AA23" s="20"/>
      <c r="AB23" s="20"/>
      <c r="AC23" s="20"/>
      <c r="AD23" s="20"/>
      <c r="AE23" s="20"/>
      <c r="AF23" s="20"/>
    </row>
    <row r="24" spans="1:32" x14ac:dyDescent="0.3">
      <c r="A24" s="17" t="str">
        <f t="shared" si="7"/>
        <v>2025-30</v>
      </c>
      <c r="B24" s="20" t="s">
        <v>116</v>
      </c>
      <c r="C24" s="20" t="str">
        <f t="shared" ref="C24:D39" si="8">C18</f>
        <v>Walmart</v>
      </c>
      <c r="D24" s="108">
        <f t="shared" si="8"/>
        <v>3.3399086534751765E-2</v>
      </c>
      <c r="Q24" s="27" t="s">
        <v>18</v>
      </c>
      <c r="R24" s="79" cm="1">
        <f t="array" ref="R24:W24">DCF!J5:O5</f>
        <v>10246.068704003443</v>
      </c>
      <c r="S24" s="79">
        <v>10806.794660954751</v>
      </c>
      <c r="T24" s="79">
        <v>11398.206884793581</v>
      </c>
      <c r="U24" s="79">
        <v>12021.984710966812</v>
      </c>
      <c r="V24" s="79">
        <v>12679.8993781676</v>
      </c>
      <c r="W24" s="79">
        <v>13373.819057828858</v>
      </c>
      <c r="X24" s="17"/>
      <c r="Y24" s="17"/>
      <c r="Z24" s="17"/>
      <c r="AA24" s="20"/>
      <c r="AB24" s="20"/>
      <c r="AC24" s="20"/>
      <c r="AD24" s="20"/>
      <c r="AE24" s="20"/>
      <c r="AF24" s="20"/>
    </row>
    <row r="25" spans="1:32" x14ac:dyDescent="0.3">
      <c r="A25" s="21" t="str">
        <f t="shared" si="7"/>
        <v>2025-30</v>
      </c>
      <c r="B25" s="70" t="s">
        <v>116</v>
      </c>
      <c r="C25" s="70" t="str">
        <f t="shared" si="8"/>
        <v>Average</v>
      </c>
      <c r="D25" s="109">
        <f>AVERAGE(D20:D24)</f>
        <v>4.0407518259497087E-2</v>
      </c>
      <c r="Q25" s="27" t="s">
        <v>31</v>
      </c>
      <c r="R25" s="79" cm="1">
        <f t="array" ref="R25:W25">DCF!J7:O7</f>
        <v>5751.4769587244291</v>
      </c>
      <c r="S25" s="79">
        <v>6066.2320628263615</v>
      </c>
      <c r="T25" s="79">
        <v>6398.2124424999765</v>
      </c>
      <c r="U25" s="79">
        <v>6748.3607675055227</v>
      </c>
      <c r="V25" s="79">
        <v>7117.6712961118428</v>
      </c>
      <c r="W25" s="79">
        <v>7507.1926983270878</v>
      </c>
      <c r="X25" s="17"/>
      <c r="Y25" s="17"/>
      <c r="Z25" s="17"/>
      <c r="AA25" s="20"/>
      <c r="AB25" s="20"/>
      <c r="AC25" s="20"/>
      <c r="AD25" s="20"/>
      <c r="AE25" s="20"/>
      <c r="AF25" s="20"/>
    </row>
    <row r="26" spans="1:32" x14ac:dyDescent="0.3">
      <c r="A26" s="17" t="str">
        <f t="shared" si="7"/>
        <v>2025-30</v>
      </c>
      <c r="B26" s="20" t="s">
        <v>45</v>
      </c>
      <c r="C26" s="20" t="str">
        <f t="shared" si="8"/>
        <v>P&amp;G</v>
      </c>
      <c r="D26" s="110">
        <f>(DCF!G3/DCF!B3)^(1/6)-1</f>
        <v>2.861948307749973E-2</v>
      </c>
      <c r="Q26" s="27" t="s">
        <v>79</v>
      </c>
      <c r="R26" s="79" cm="1">
        <f t="array" ref="R26:W26">DCF!J9:O9</f>
        <v>6771.727926517091</v>
      </c>
      <c r="S26" s="79">
        <v>8440.1770593739038</v>
      </c>
      <c r="T26" s="79">
        <v>8902.0738604959479</v>
      </c>
      <c r="U26" s="79">
        <v>9389.2484079716487</v>
      </c>
      <c r="V26" s="79">
        <v>9903.0840507637276</v>
      </c>
      <c r="W26" s="79">
        <v>10445.039842936392</v>
      </c>
      <c r="X26" s="17"/>
      <c r="Y26" s="17"/>
      <c r="Z26" s="17"/>
      <c r="AA26" s="20"/>
      <c r="AB26" s="20"/>
      <c r="AC26" s="20"/>
      <c r="AD26" s="20"/>
      <c r="AE26" s="20"/>
      <c r="AF26" s="20"/>
    </row>
    <row r="27" spans="1:32" x14ac:dyDescent="0.3">
      <c r="A27" s="17" t="str">
        <f t="shared" si="7"/>
        <v>2025-30</v>
      </c>
      <c r="B27" s="20" t="s">
        <v>45</v>
      </c>
      <c r="C27" s="20" t="str">
        <f t="shared" si="8"/>
        <v>PepsiCo</v>
      </c>
      <c r="D27" s="110">
        <f>D21</f>
        <v>4.5401285741925701E-2</v>
      </c>
    </row>
    <row r="28" spans="1:32" x14ac:dyDescent="0.3">
      <c r="A28" s="17" t="str">
        <f t="shared" si="7"/>
        <v>2025-30</v>
      </c>
      <c r="B28" s="20" t="s">
        <v>45</v>
      </c>
      <c r="C28" s="20" t="str">
        <f t="shared" si="8"/>
        <v>Coca-Cola</v>
      </c>
      <c r="D28" s="110">
        <f t="shared" si="8"/>
        <v>6.0865926511186164E-2</v>
      </c>
    </row>
    <row r="29" spans="1:32" x14ac:dyDescent="0.3">
      <c r="A29" s="17" t="str">
        <f t="shared" si="7"/>
        <v>2025-30</v>
      </c>
      <c r="B29" s="20" t="s">
        <v>45</v>
      </c>
      <c r="C29" s="20" t="str">
        <f t="shared" si="8"/>
        <v>Colgate</v>
      </c>
      <c r="D29" s="110">
        <f t="shared" si="8"/>
        <v>3.3751809432122082E-2</v>
      </c>
    </row>
    <row r="30" spans="1:32" x14ac:dyDescent="0.3">
      <c r="A30" s="17" t="str">
        <f t="shared" si="7"/>
        <v>2025-30</v>
      </c>
      <c r="B30" s="20" t="s">
        <v>45</v>
      </c>
      <c r="C30" s="20" t="str">
        <f t="shared" si="8"/>
        <v>Walmart</v>
      </c>
      <c r="D30" s="110">
        <f t="shared" si="8"/>
        <v>3.3399086534751765E-2</v>
      </c>
    </row>
    <row r="31" spans="1:32" x14ac:dyDescent="0.3">
      <c r="A31" s="21" t="str">
        <f t="shared" si="7"/>
        <v>2025-30</v>
      </c>
      <c r="B31" s="70" t="s">
        <v>45</v>
      </c>
      <c r="C31" s="70" t="str">
        <f t="shared" si="8"/>
        <v>Average</v>
      </c>
      <c r="D31" s="73">
        <f>AVERAGE(D26:D30)</f>
        <v>4.0407518259497087E-2</v>
      </c>
    </row>
    <row r="32" spans="1:32" x14ac:dyDescent="0.3">
      <c r="A32" s="17" t="str">
        <f>A2</f>
        <v>2020-24</v>
      </c>
      <c r="B32" s="20" t="s">
        <v>120</v>
      </c>
      <c r="C32" s="20" t="str">
        <f t="shared" si="8"/>
        <v>P&amp;G</v>
      </c>
      <c r="D32" s="108">
        <f>(AVERAGE(Financials!B6:F6)+AVERAGE(Financials!B7:F7))/AVERAGE(Financials!B3:F3)</f>
        <v>0.26023137554030001</v>
      </c>
    </row>
    <row r="33" spans="1:4" x14ac:dyDescent="0.3">
      <c r="A33" s="17" t="str">
        <f>A3</f>
        <v>2020-24</v>
      </c>
      <c r="B33" s="20" t="s">
        <v>120</v>
      </c>
      <c r="C33" s="20" t="str">
        <f t="shared" si="8"/>
        <v>PepsiCo</v>
      </c>
      <c r="D33" s="108">
        <f>(AVERAGE(Financials!I6:M6)+AVERAGE(Financials!I7:M7))/AVERAGE(Financials!I3:M3)</f>
        <v>0.17102556707812652</v>
      </c>
    </row>
    <row r="34" spans="1:4" x14ac:dyDescent="0.3">
      <c r="A34" s="17" t="str">
        <f>A4</f>
        <v>2020-24</v>
      </c>
      <c r="B34" s="20" t="s">
        <v>120</v>
      </c>
      <c r="C34" s="20" t="str">
        <f t="shared" si="8"/>
        <v>Coca-Cola</v>
      </c>
      <c r="D34" s="108">
        <f>(AVERAGE(Financials!P6:T6)+AVERAGE(Financials!P7:T7))/AVERAGE(Financials!P3:T3)</f>
        <v>0.35398673658235658</v>
      </c>
    </row>
    <row r="35" spans="1:4" x14ac:dyDescent="0.3">
      <c r="A35" s="17" t="str">
        <f>A5</f>
        <v>2020-24</v>
      </c>
      <c r="B35" s="20" t="s">
        <v>120</v>
      </c>
      <c r="C35" s="20" t="str">
        <f t="shared" si="8"/>
        <v>Colgate</v>
      </c>
      <c r="D35" s="108">
        <f>(AVERAGE(Financials!X6:AB6)+AVERAGE(Financials!X7:AB7))/AVERAGE(Financials!X3:AB3)</f>
        <v>0.22294540402769725</v>
      </c>
    </row>
    <row r="36" spans="1:4" x14ac:dyDescent="0.3">
      <c r="A36" s="17" t="str">
        <f>A6</f>
        <v>2020-24</v>
      </c>
      <c r="B36" s="20" t="s">
        <v>120</v>
      </c>
      <c r="C36" s="20" t="str">
        <f t="shared" si="8"/>
        <v>Walmart</v>
      </c>
      <c r="D36" s="108">
        <f>(AVERAGE(Financials!AF6:AJ6)+AVERAGE(Financials!AF7:AJ7))/AVERAGE(Financials!AF3:AJ3)</f>
        <v>5.6081689832776963E-2</v>
      </c>
    </row>
    <row r="37" spans="1:4" x14ac:dyDescent="0.3">
      <c r="A37" s="21" t="str">
        <f>$A$36</f>
        <v>2020-24</v>
      </c>
      <c r="B37" s="70" t="s">
        <v>120</v>
      </c>
      <c r="C37" s="70" t="str">
        <f t="shared" si="8"/>
        <v>Average</v>
      </c>
      <c r="D37" s="73">
        <f>AVERAGE(D32:D36)</f>
        <v>0.21285415461225146</v>
      </c>
    </row>
    <row r="38" spans="1:4" x14ac:dyDescent="0.3">
      <c r="A38" s="17" t="str">
        <f t="shared" ref="A38:A39" si="9">$A$36</f>
        <v>2020-24</v>
      </c>
      <c r="B38" s="20" t="s">
        <v>121</v>
      </c>
      <c r="C38" s="20" t="str">
        <f t="shared" si="8"/>
        <v>P&amp;G</v>
      </c>
      <c r="D38" s="108">
        <f>AVERAGE(Financials!B10:F10)/AVERAGE(Financials!B3:F3)</f>
        <v>0.13814899567759978</v>
      </c>
    </row>
    <row r="39" spans="1:4" x14ac:dyDescent="0.3">
      <c r="A39" s="17" t="str">
        <f t="shared" si="9"/>
        <v>2020-24</v>
      </c>
      <c r="B39" s="20" t="s">
        <v>121</v>
      </c>
      <c r="C39" s="20" t="str">
        <f t="shared" si="8"/>
        <v>PepsiCo</v>
      </c>
      <c r="D39" s="108">
        <f>AVERAGE(Financials!I10:M10)/AVERAGE(Financials!I3:M3)</f>
        <v>6.5508636366886489E-2</v>
      </c>
    </row>
    <row r="40" spans="1:4" x14ac:dyDescent="0.3">
      <c r="A40" s="17" t="str">
        <f>A32</f>
        <v>2020-24</v>
      </c>
      <c r="B40" s="20" t="s">
        <v>121</v>
      </c>
      <c r="C40" s="20" t="str">
        <f t="shared" ref="C40:C55" si="10">C34</f>
        <v>Coca-Cola</v>
      </c>
      <c r="D40" s="108">
        <f>AVERAGE(Financials!P10:T10)/AVERAGE(Financials!P3:T3)</f>
        <v>0.20263340530536705</v>
      </c>
    </row>
    <row r="41" spans="1:4" x14ac:dyDescent="0.3">
      <c r="A41" s="17" t="str">
        <f>A33</f>
        <v>2020-24</v>
      </c>
      <c r="B41" s="20" t="s">
        <v>121</v>
      </c>
      <c r="C41" s="20" t="str">
        <f t="shared" si="10"/>
        <v>Colgate</v>
      </c>
      <c r="D41" s="108">
        <f>AVERAGE(Financials!X10:AB10)/AVERAGE(Financials!X3:AB3)</f>
        <v>0.10515549624249318</v>
      </c>
    </row>
    <row r="42" spans="1:4" x14ac:dyDescent="0.3">
      <c r="A42" s="17" t="str">
        <f>A34</f>
        <v>2020-24</v>
      </c>
      <c r="B42" s="20" t="s">
        <v>121</v>
      </c>
      <c r="C42" s="20" t="str">
        <f t="shared" si="10"/>
        <v>Walmart</v>
      </c>
      <c r="D42" s="108">
        <f>AVERAGE(Financials!AF10:AJ10)/AVERAGE(Financials!AF3:AJ3)</f>
        <v>5.7884896807086795E-3</v>
      </c>
    </row>
    <row r="43" spans="1:4" x14ac:dyDescent="0.3">
      <c r="A43" s="21" t="str">
        <f>$A$42</f>
        <v>2020-24</v>
      </c>
      <c r="B43" s="70" t="s">
        <v>121</v>
      </c>
      <c r="C43" s="70" t="str">
        <f t="shared" si="10"/>
        <v>Average</v>
      </c>
      <c r="D43" s="73">
        <f>AVERAGE(D38:D42)</f>
        <v>0.10344700465461103</v>
      </c>
    </row>
    <row r="44" spans="1:4" x14ac:dyDescent="0.3">
      <c r="A44" s="17" t="str">
        <f t="shared" ref="A44:A49" si="11">A26</f>
        <v>2025-30</v>
      </c>
      <c r="B44" s="20" t="s">
        <v>132</v>
      </c>
      <c r="C44" s="20" t="str">
        <f t="shared" si="10"/>
        <v>P&amp;G</v>
      </c>
      <c r="D44" s="111">
        <f>AVERAGE(DCF!B3:G3)</f>
        <v>94771.276796925347</v>
      </c>
    </row>
    <row r="45" spans="1:4" x14ac:dyDescent="0.3">
      <c r="A45" s="17" t="str">
        <f t="shared" si="11"/>
        <v>2025-30</v>
      </c>
      <c r="B45" s="20" t="s">
        <v>132</v>
      </c>
      <c r="C45" s="20" t="str">
        <f t="shared" si="10"/>
        <v>PepsiCo</v>
      </c>
      <c r="D45" s="111">
        <f>AVERAGE(DCF!J3:O3)</f>
        <v>111143.28032504437</v>
      </c>
    </row>
    <row r="46" spans="1:4" x14ac:dyDescent="0.3">
      <c r="A46" s="17" t="str">
        <f t="shared" si="11"/>
        <v>2025-30</v>
      </c>
      <c r="B46" s="20" t="s">
        <v>132</v>
      </c>
      <c r="C46" s="20" t="str">
        <f t="shared" si="10"/>
        <v>Coca-Cola</v>
      </c>
      <c r="D46" s="111">
        <f>AVERAGE(DCF!R3:W3)</f>
        <v>60759.511822081426</v>
      </c>
    </row>
    <row r="47" spans="1:4" x14ac:dyDescent="0.3">
      <c r="A47" s="17" t="str">
        <f t="shared" si="11"/>
        <v>2025-30</v>
      </c>
      <c r="B47" s="20" t="s">
        <v>132</v>
      </c>
      <c r="C47" s="20" t="str">
        <f t="shared" si="10"/>
        <v>Colgate</v>
      </c>
      <c r="D47" s="111">
        <f>AVERAGE(DCF!Z3:AE3)</f>
        <v>23161.703786278362</v>
      </c>
    </row>
    <row r="48" spans="1:4" x14ac:dyDescent="0.3">
      <c r="A48" s="17" t="str">
        <f t="shared" si="11"/>
        <v>2025-30</v>
      </c>
      <c r="B48" s="20" t="s">
        <v>132</v>
      </c>
      <c r="C48" s="20" t="str">
        <f t="shared" si="10"/>
        <v>Walmart</v>
      </c>
      <c r="D48" s="111">
        <f>AVERAGE(DCF!AH3:AM3)</f>
        <v>783515.09692075651</v>
      </c>
    </row>
    <row r="49" spans="1:4" x14ac:dyDescent="0.3">
      <c r="A49" s="21" t="str">
        <f t="shared" si="11"/>
        <v>2025-30</v>
      </c>
      <c r="B49" s="70" t="s">
        <v>132</v>
      </c>
      <c r="C49" s="70" t="str">
        <f t="shared" si="10"/>
        <v>Average</v>
      </c>
      <c r="D49" s="23">
        <f>AVERAGE(D44:D48)</f>
        <v>214670.17393021719</v>
      </c>
    </row>
    <row r="50" spans="1:4" x14ac:dyDescent="0.3">
      <c r="A50" s="17" t="str">
        <f t="shared" ref="A50:A55" si="12">A44</f>
        <v>2025-30</v>
      </c>
      <c r="B50" s="20" t="s">
        <v>133</v>
      </c>
      <c r="C50" s="20" t="str">
        <f t="shared" si="10"/>
        <v>P&amp;G</v>
      </c>
      <c r="D50" s="108">
        <f>D8/D44</f>
        <v>3.915586066615815E-2</v>
      </c>
    </row>
    <row r="51" spans="1:4" x14ac:dyDescent="0.3">
      <c r="A51" s="17" t="str">
        <f t="shared" si="12"/>
        <v>2025-30</v>
      </c>
      <c r="B51" s="20" t="s">
        <v>133</v>
      </c>
      <c r="C51" s="20" t="str">
        <f t="shared" si="10"/>
        <v>PepsiCo</v>
      </c>
      <c r="D51" s="108">
        <f t="shared" ref="D51:D54" si="13">D9/D45</f>
        <v>5.9366531367160601E-2</v>
      </c>
    </row>
    <row r="52" spans="1:4" x14ac:dyDescent="0.3">
      <c r="A52" s="17" t="str">
        <f t="shared" si="12"/>
        <v>2025-30</v>
      </c>
      <c r="B52" s="20" t="s">
        <v>133</v>
      </c>
      <c r="C52" s="20" t="str">
        <f t="shared" si="10"/>
        <v>Coca-Cola</v>
      </c>
      <c r="D52" s="108">
        <f t="shared" si="13"/>
        <v>3.8286551511412699E-2</v>
      </c>
    </row>
    <row r="53" spans="1:4" x14ac:dyDescent="0.3">
      <c r="A53" s="17" t="str">
        <f t="shared" si="12"/>
        <v>2025-30</v>
      </c>
      <c r="B53" s="20" t="s">
        <v>133</v>
      </c>
      <c r="C53" s="20" t="str">
        <f t="shared" si="10"/>
        <v>Colgate</v>
      </c>
      <c r="D53" s="108">
        <f t="shared" si="13"/>
        <v>3.2149381406084206E-2</v>
      </c>
    </row>
    <row r="54" spans="1:4" x14ac:dyDescent="0.3">
      <c r="A54" s="17" t="str">
        <f t="shared" si="12"/>
        <v>2025-30</v>
      </c>
      <c r="B54" s="20" t="s">
        <v>133</v>
      </c>
      <c r="C54" s="20" t="str">
        <f t="shared" si="10"/>
        <v>Walmart</v>
      </c>
      <c r="D54" s="108">
        <f t="shared" si="13"/>
        <v>2.7541545367906296E-2</v>
      </c>
    </row>
    <row r="55" spans="1:4" x14ac:dyDescent="0.3">
      <c r="A55" s="21" t="str">
        <f t="shared" si="12"/>
        <v>2025-30</v>
      </c>
      <c r="B55" s="70" t="s">
        <v>133</v>
      </c>
      <c r="C55" s="70" t="str">
        <f t="shared" si="10"/>
        <v>Average</v>
      </c>
      <c r="D55" s="73">
        <f>AVERAGE(D50:D54)</f>
        <v>3.9299974063744386E-2</v>
      </c>
    </row>
    <row r="56" spans="1:4" x14ac:dyDescent="0.3">
      <c r="A56" s="17" t="str">
        <f>A38</f>
        <v>2020-24</v>
      </c>
      <c r="B56" s="20" t="s">
        <v>119</v>
      </c>
      <c r="C56" s="20" t="str">
        <f t="shared" ref="C56:C67" si="14">C50</f>
        <v>P&amp;G</v>
      </c>
      <c r="D56" s="108">
        <f>(Financials!F10-Financials!B10)/Financials!B10</f>
        <v>0.15162682952511319</v>
      </c>
    </row>
    <row r="57" spans="1:4" x14ac:dyDescent="0.3">
      <c r="A57" s="17" t="str">
        <f>A39</f>
        <v>2020-24</v>
      </c>
      <c r="B57" s="20" t="s">
        <v>119</v>
      </c>
      <c r="C57" s="20" t="str">
        <f t="shared" si="14"/>
        <v>PepsiCo</v>
      </c>
      <c r="D57" s="108">
        <f>(Financials!M10-Financials!I10)/Financials!I10</f>
        <v>0.43858093126385811</v>
      </c>
    </row>
    <row r="58" spans="1:4" x14ac:dyDescent="0.3">
      <c r="A58" s="17" t="str">
        <f>A40</f>
        <v>2020-24</v>
      </c>
      <c r="B58" s="20" t="s">
        <v>119</v>
      </c>
      <c r="C58" s="20" t="str">
        <f t="shared" si="14"/>
        <v>Coca-Cola</v>
      </c>
      <c r="D58" s="108">
        <f>(Financials!T10-Financials!P10)/Financials!P10</f>
        <v>0.53626444159178432</v>
      </c>
    </row>
    <row r="59" spans="1:4" x14ac:dyDescent="0.3">
      <c r="A59" s="17" t="str">
        <f>A41</f>
        <v>2020-24</v>
      </c>
      <c r="B59" s="20" t="s">
        <v>119</v>
      </c>
      <c r="C59" s="20" t="str">
        <f t="shared" si="14"/>
        <v>Colgate</v>
      </c>
      <c r="D59" s="108">
        <f>(Financials!AB10-Financials!X10)/Financials!X10</f>
        <v>-4.7393364928909956E-3</v>
      </c>
    </row>
    <row r="60" spans="1:4" x14ac:dyDescent="0.3">
      <c r="A60" s="17" t="str">
        <f>A42</f>
        <v>2020-24</v>
      </c>
      <c r="B60" s="20" t="s">
        <v>119</v>
      </c>
      <c r="C60" s="20" t="str">
        <f t="shared" si="14"/>
        <v>Walmart</v>
      </c>
      <c r="D60" s="108">
        <f>(Financials!AJ10-Financials!AF10)/Financials!AF10</f>
        <v>1.812842599843383</v>
      </c>
    </row>
    <row r="61" spans="1:4" x14ac:dyDescent="0.3">
      <c r="A61" s="21" t="str">
        <f>A60</f>
        <v>2020-24</v>
      </c>
      <c r="B61" s="70" t="s">
        <v>119</v>
      </c>
      <c r="C61" s="70" t="str">
        <f t="shared" si="14"/>
        <v>Average</v>
      </c>
      <c r="D61" s="73">
        <f>AVERAGE(D56:D60)</f>
        <v>0.58691509314624957</v>
      </c>
    </row>
    <row r="62" spans="1:4" x14ac:dyDescent="0.3">
      <c r="A62" s="17" t="str">
        <f t="shared" ref="A62:A67" si="15">A50</f>
        <v>2025-30</v>
      </c>
      <c r="B62" s="20" t="str">
        <f t="shared" ref="B62:B67" si="16">B56</f>
        <v>Earnings Growth</v>
      </c>
      <c r="C62" s="20" t="str">
        <f t="shared" si="14"/>
        <v>P&amp;G</v>
      </c>
      <c r="D62" s="108">
        <f>(DCF!G5-DCF!B5)/DCF!B5</f>
        <v>0.18448202959830862</v>
      </c>
    </row>
    <row r="63" spans="1:4" x14ac:dyDescent="0.3">
      <c r="A63" s="17" t="str">
        <f t="shared" si="15"/>
        <v>2025-30</v>
      </c>
      <c r="B63" s="20" t="str">
        <f t="shared" si="16"/>
        <v>Earnings Growth</v>
      </c>
      <c r="C63" s="20" t="str">
        <f t="shared" si="14"/>
        <v>PepsiCo</v>
      </c>
      <c r="D63" s="108">
        <f>(DCF!O5-DCF!J5)/DCF!J5</f>
        <v>0.30526345705678415</v>
      </c>
    </row>
    <row r="64" spans="1:4" x14ac:dyDescent="0.3">
      <c r="A64" s="17" t="str">
        <f t="shared" si="15"/>
        <v>2025-30</v>
      </c>
      <c r="B64" s="20" t="str">
        <f t="shared" si="16"/>
        <v>Earnings Growth</v>
      </c>
      <c r="C64" s="20" t="str">
        <f t="shared" si="14"/>
        <v>Coca-Cola</v>
      </c>
      <c r="D64" s="108">
        <f>(DCF!W5-DCF!R5)/DCF!R5</f>
        <v>0.42548615738777501</v>
      </c>
    </row>
    <row r="65" spans="1:4" x14ac:dyDescent="0.3">
      <c r="A65" s="17" t="str">
        <f t="shared" si="15"/>
        <v>2025-30</v>
      </c>
      <c r="B65" s="20" t="str">
        <f t="shared" si="16"/>
        <v>Earnings Growth</v>
      </c>
      <c r="C65" s="20" t="str">
        <f t="shared" si="14"/>
        <v>Colgate</v>
      </c>
      <c r="D65" s="108">
        <f>(DCF!AE5-DCF!Z5)/DCF!Z5</f>
        <v>0.22038734745917082</v>
      </c>
    </row>
    <row r="66" spans="1:4" x14ac:dyDescent="0.3">
      <c r="A66" s="17" t="str">
        <f t="shared" si="15"/>
        <v>2025-30</v>
      </c>
      <c r="B66" s="20" t="str">
        <f t="shared" si="16"/>
        <v>Earnings Growth</v>
      </c>
      <c r="C66" s="20" t="str">
        <f t="shared" si="14"/>
        <v>Walmart</v>
      </c>
      <c r="D66" s="108">
        <f>(DCF!AM5-DCF!AH5)/DCF!AH5</f>
        <v>0.21789105268523148</v>
      </c>
    </row>
    <row r="67" spans="1:4" x14ac:dyDescent="0.3">
      <c r="A67" s="21" t="str">
        <f t="shared" si="15"/>
        <v>2025-30</v>
      </c>
      <c r="B67" s="70" t="str">
        <f t="shared" si="16"/>
        <v>Earnings Growth</v>
      </c>
      <c r="C67" s="70" t="str">
        <f t="shared" si="14"/>
        <v>Average</v>
      </c>
      <c r="D67" s="73">
        <f>AVERAGE(D62:D66)</f>
        <v>0.27070200883745404</v>
      </c>
    </row>
    <row r="68" spans="1:4" x14ac:dyDescent="0.3">
      <c r="A68" s="17" t="str">
        <f>A56</f>
        <v>2020-24</v>
      </c>
      <c r="B68" s="20" t="str">
        <f>B20</f>
        <v>Earnings CAGR</v>
      </c>
      <c r="C68" s="20" t="str">
        <f>C62</f>
        <v>P&amp;G</v>
      </c>
      <c r="D68" s="35">
        <f>(Financials!F10/Financials!B10)^(1/5)-1</f>
        <v>2.8637504529808844E-2</v>
      </c>
    </row>
    <row r="69" spans="1:4" x14ac:dyDescent="0.3">
      <c r="A69" s="17" t="str">
        <f t="shared" ref="A69:A73" si="17">A57</f>
        <v>2020-24</v>
      </c>
      <c r="B69" s="20" t="str">
        <f t="shared" ref="B69:B73" si="18">B21</f>
        <v>Earnings CAGR</v>
      </c>
      <c r="C69" s="20" t="str">
        <f t="shared" ref="C69:C73" si="19">C63</f>
        <v>PepsiCo</v>
      </c>
      <c r="D69" s="35">
        <f>(Financials!M10/Financials!I10)^(1/5)-1</f>
        <v>7.5441669617427376E-2</v>
      </c>
    </row>
    <row r="70" spans="1:4" x14ac:dyDescent="0.3">
      <c r="A70" s="17" t="str">
        <f t="shared" si="17"/>
        <v>2020-24</v>
      </c>
      <c r="B70" s="20" t="str">
        <f t="shared" si="18"/>
        <v>Earnings CAGR</v>
      </c>
      <c r="C70" s="20" t="str">
        <f t="shared" si="19"/>
        <v>Coca-Cola</v>
      </c>
      <c r="D70" s="35">
        <f>(Financials!T10/Financials!P10)^(1/5)-1</f>
        <v>8.9665487001156841E-2</v>
      </c>
    </row>
    <row r="71" spans="1:4" x14ac:dyDescent="0.3">
      <c r="A71" s="17" t="str">
        <f t="shared" si="17"/>
        <v>2020-24</v>
      </c>
      <c r="B71" s="20" t="str">
        <f t="shared" si="18"/>
        <v>Earnings CAGR</v>
      </c>
      <c r="C71" s="20" t="str">
        <f t="shared" si="19"/>
        <v>Colgate</v>
      </c>
      <c r="D71" s="35">
        <f>(Financials!AB10/Financials!X10)^(1/5)-1</f>
        <v>-9.4966933010443011E-4</v>
      </c>
    </row>
    <row r="72" spans="1:4" x14ac:dyDescent="0.3">
      <c r="A72" s="17" t="str">
        <f t="shared" si="17"/>
        <v>2020-24</v>
      </c>
      <c r="B72" s="20" t="str">
        <f t="shared" si="18"/>
        <v>Earnings CAGR</v>
      </c>
      <c r="C72" s="20" t="str">
        <f t="shared" si="19"/>
        <v>Walmart</v>
      </c>
      <c r="D72" s="35">
        <f>(Financials!AJ10/Financials!AF10)^(1/5)-1</f>
        <v>0.22978470155616115</v>
      </c>
    </row>
    <row r="73" spans="1:4" x14ac:dyDescent="0.3">
      <c r="A73" s="21" t="str">
        <f t="shared" si="17"/>
        <v>2020-24</v>
      </c>
      <c r="B73" s="70" t="str">
        <f t="shared" si="18"/>
        <v>Earnings CAGR</v>
      </c>
      <c r="C73" s="70" t="str">
        <f t="shared" si="19"/>
        <v>Average</v>
      </c>
      <c r="D73" s="73">
        <f>AVERAGE(D68:D72)</f>
        <v>8.4515938674889962E-2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2025-11-19T18:30:16Z</dcterms:modified>
</cp:coreProperties>
</file>