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21836757-DDF4-4306-89EA-5A84ACAD2B49}" xr6:coauthVersionLast="47" xr6:coauthVersionMax="47" xr10:uidLastSave="{00000000-0000-0000-0000-000000000000}"/>
  <bookViews>
    <workbookView xWindow="13728" yWindow="0" windowWidth="9408" windowHeight="12336" firstSheet="3"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5" i="2" l="1"/>
  <c r="AH35" i="2"/>
  <c r="AI35" i="2"/>
  <c r="AJ35" i="2"/>
  <c r="AG36" i="2"/>
  <c r="AH36" i="2"/>
  <c r="AI36" i="2"/>
  <c r="AJ36" i="2"/>
  <c r="AG37" i="2"/>
  <c r="AH37" i="2"/>
  <c r="AI37" i="2"/>
  <c r="AJ37" i="2"/>
  <c r="AG40" i="2"/>
  <c r="AH40" i="2"/>
  <c r="AI40" i="2"/>
  <c r="AJ40" i="2"/>
  <c r="AK40" i="2"/>
  <c r="AG41" i="2"/>
  <c r="AH41" i="2"/>
  <c r="AI41" i="2"/>
  <c r="AJ41" i="2"/>
  <c r="AK41" i="2"/>
  <c r="AG42" i="2"/>
  <c r="AH42" i="2"/>
  <c r="AI42" i="2"/>
  <c r="AJ42" i="2"/>
  <c r="AK42" i="2"/>
  <c r="AF41" i="2"/>
  <c r="AF42" i="2"/>
  <c r="AF40" i="2"/>
  <c r="AF37" i="2"/>
  <c r="AF36" i="2"/>
  <c r="AF35" i="2"/>
  <c r="Y40" i="2"/>
  <c r="Z40" i="2"/>
  <c r="AA40" i="2"/>
  <c r="AB40" i="2"/>
  <c r="AC40" i="2"/>
  <c r="Y41" i="2"/>
  <c r="Z41" i="2"/>
  <c r="AA41" i="2"/>
  <c r="AB41" i="2"/>
  <c r="AC41" i="2"/>
  <c r="Y42" i="2"/>
  <c r="Z42" i="2"/>
  <c r="AA42" i="2"/>
  <c r="AB42" i="2"/>
  <c r="AC42" i="2"/>
  <c r="X41" i="2"/>
  <c r="X42" i="2"/>
  <c r="X40" i="2"/>
  <c r="Y35" i="2"/>
  <c r="Z35" i="2"/>
  <c r="AA35" i="2"/>
  <c r="AB35" i="2"/>
  <c r="Y36" i="2"/>
  <c r="Z36" i="2"/>
  <c r="AA36" i="2"/>
  <c r="AB36" i="2"/>
  <c r="Y37" i="2"/>
  <c r="Z37" i="2"/>
  <c r="AA37" i="2"/>
  <c r="AB37" i="2"/>
  <c r="X37" i="2"/>
  <c r="X36" i="2"/>
  <c r="X35" i="2"/>
  <c r="Q35" i="2"/>
  <c r="R35" i="2"/>
  <c r="S35" i="2"/>
  <c r="T35" i="2"/>
  <c r="Q36" i="2"/>
  <c r="R36" i="2"/>
  <c r="S36" i="2"/>
  <c r="T36" i="2"/>
  <c r="Q37" i="2"/>
  <c r="R37" i="2"/>
  <c r="S37" i="2"/>
  <c r="T37" i="2"/>
  <c r="Q40" i="2"/>
  <c r="R40" i="2"/>
  <c r="S40" i="2"/>
  <c r="T40" i="2"/>
  <c r="U40" i="2"/>
  <c r="Q41" i="2"/>
  <c r="R41" i="2"/>
  <c r="S41" i="2"/>
  <c r="T41" i="2"/>
  <c r="U41" i="2"/>
  <c r="Q42" i="2"/>
  <c r="R42" i="2"/>
  <c r="S42" i="2"/>
  <c r="T42" i="2"/>
  <c r="U42" i="2"/>
  <c r="P41" i="2"/>
  <c r="P42" i="2"/>
  <c r="P40" i="2"/>
  <c r="P37" i="2"/>
  <c r="P36" i="2"/>
  <c r="P35" i="2"/>
  <c r="AE42" i="2"/>
  <c r="AE41" i="2"/>
  <c r="AE40" i="2"/>
  <c r="W42" i="2"/>
  <c r="W41" i="2"/>
  <c r="W40" i="2"/>
  <c r="O41" i="2"/>
  <c r="O42" i="2"/>
  <c r="O40" i="2"/>
  <c r="A69" i="6"/>
  <c r="B69" i="6"/>
  <c r="C69" i="6"/>
  <c r="A70" i="6"/>
  <c r="B70" i="6"/>
  <c r="C70" i="6"/>
  <c r="A71" i="6"/>
  <c r="B71" i="6"/>
  <c r="C71" i="6"/>
  <c r="A72" i="6"/>
  <c r="B72" i="6"/>
  <c r="C72" i="6"/>
  <c r="A73" i="6"/>
  <c r="B73" i="6"/>
  <c r="C73" i="6"/>
  <c r="C68" i="6"/>
  <c r="B68" i="6"/>
  <c r="A68" i="6"/>
  <c r="AA27" i="6" l="1"/>
  <c r="AA28" i="6"/>
  <c r="AA29" i="6"/>
  <c r="AA26" i="6"/>
  <c r="AA25" i="6"/>
  <c r="Y26" i="6"/>
  <c r="Y27" i="6"/>
  <c r="Y28" i="6"/>
  <c r="Y29" i="6"/>
  <c r="Y25" i="6"/>
  <c r="Z21" i="6" a="1"/>
  <c r="Z21" i="6" s="1"/>
  <c r="Z18" i="6" a="1"/>
  <c r="Z18" i="6" s="1"/>
  <c r="Z15" i="6" a="1"/>
  <c r="Z15" i="6" s="1"/>
  <c r="Z12" i="6" a="1"/>
  <c r="Z12" i="6" s="1"/>
  <c r="Z9" i="6" a="1"/>
  <c r="Z9" i="6" s="1"/>
  <c r="Z6" i="6" a="1"/>
  <c r="Z6" i="6" s="1"/>
  <c r="D6" i="6"/>
  <c r="K6" i="6" s="1"/>
  <c r="D5" i="6"/>
  <c r="K5" i="6" s="1"/>
  <c r="D4" i="6"/>
  <c r="K4" i="6" s="1"/>
  <c r="C15" i="6"/>
  <c r="C16" i="6"/>
  <c r="C17" i="6"/>
  <c r="C18" i="6"/>
  <c r="C19" i="6"/>
  <c r="C25" i="6" s="1"/>
  <c r="C31" i="6" s="1"/>
  <c r="C37" i="6" s="1"/>
  <c r="C43" i="6" s="1"/>
  <c r="C49" i="6" s="1"/>
  <c r="C55" i="6" s="1"/>
  <c r="C61" i="6" s="1"/>
  <c r="C67" i="6" s="1"/>
  <c r="C20" i="6"/>
  <c r="C26" i="6" s="1"/>
  <c r="C32" i="6" s="1"/>
  <c r="C38" i="6" s="1"/>
  <c r="C44" i="6" s="1"/>
  <c r="C50" i="6" s="1"/>
  <c r="C56" i="6" s="1"/>
  <c r="C62" i="6" s="1"/>
  <c r="C21" i="6"/>
  <c r="C27" i="6" s="1"/>
  <c r="C33" i="6" s="1"/>
  <c r="C39" i="6" s="1"/>
  <c r="C45" i="6" s="1"/>
  <c r="C51" i="6" s="1"/>
  <c r="C57" i="6" s="1"/>
  <c r="C63" i="6" s="1"/>
  <c r="C22" i="6"/>
  <c r="C28" i="6" s="1"/>
  <c r="C34" i="6" s="1"/>
  <c r="C40" i="6" s="1"/>
  <c r="C46" i="6" s="1"/>
  <c r="C52" i="6" s="1"/>
  <c r="C58" i="6" s="1"/>
  <c r="C64" i="6" s="1"/>
  <c r="C23" i="6"/>
  <c r="C24" i="6"/>
  <c r="C29" i="6"/>
  <c r="C35" i="6" s="1"/>
  <c r="C41" i="6" s="1"/>
  <c r="C47" i="6" s="1"/>
  <c r="C53" i="6" s="1"/>
  <c r="C59" i="6" s="1"/>
  <c r="C65" i="6" s="1"/>
  <c r="C30" i="6"/>
  <c r="C36" i="6" s="1"/>
  <c r="C42" i="6" s="1"/>
  <c r="C48" i="6" s="1"/>
  <c r="C54" i="6" s="1"/>
  <c r="C60" i="6" s="1"/>
  <c r="C66" i="6" s="1"/>
  <c r="C14" i="6"/>
  <c r="A61" i="6"/>
  <c r="A43" i="6"/>
  <c r="A38" i="6"/>
  <c r="A56" i="6" s="1"/>
  <c r="A39" i="6"/>
  <c r="A37" i="6"/>
  <c r="B67" i="6"/>
  <c r="B66" i="6"/>
  <c r="B65" i="6"/>
  <c r="B64" i="6"/>
  <c r="B63" i="6"/>
  <c r="B62" i="6"/>
  <c r="A36" i="6"/>
  <c r="A35" i="6"/>
  <c r="A34" i="6"/>
  <c r="A42" i="6" s="1"/>
  <c r="A60" i="6" s="1"/>
  <c r="A33" i="6"/>
  <c r="A41" i="6" s="1"/>
  <c r="A59" i="6" s="1"/>
  <c r="A32" i="6"/>
  <c r="A40" i="6" s="1"/>
  <c r="A58" i="6" s="1"/>
  <c r="A57" i="6"/>
  <c r="A28" i="6"/>
  <c r="A46" i="6" s="1"/>
  <c r="A52" i="6" s="1"/>
  <c r="A64" i="6" s="1"/>
  <c r="A27" i="6"/>
  <c r="A45" i="6" s="1"/>
  <c r="A51" i="6" s="1"/>
  <c r="A63" i="6" s="1"/>
  <c r="A25" i="6"/>
  <c r="A31" i="6" s="1"/>
  <c r="A49" i="6" s="1"/>
  <c r="A55" i="6" s="1"/>
  <c r="A67" i="6" s="1"/>
  <c r="A24" i="6"/>
  <c r="A30" i="6" s="1"/>
  <c r="A48" i="6" s="1"/>
  <c r="A54" i="6" s="1"/>
  <c r="A66" i="6" s="1"/>
  <c r="A23" i="6"/>
  <c r="A29" i="6" s="1"/>
  <c r="A47" i="6" s="1"/>
  <c r="A53" i="6" s="1"/>
  <c r="A65" i="6" s="1"/>
  <c r="A22" i="6"/>
  <c r="A21" i="6"/>
  <c r="A20" i="6"/>
  <c r="A26" i="6" s="1"/>
  <c r="A44" i="6" s="1"/>
  <c r="A50" i="6" s="1"/>
  <c r="A62" i="6" s="1"/>
  <c r="C13" i="6" l="1"/>
  <c r="H6" i="6"/>
  <c r="H5" i="6"/>
  <c r="H4" i="6"/>
  <c r="C12" i="6"/>
  <c r="C8" i="6"/>
  <c r="C4" i="6"/>
  <c r="C10" i="6" s="1"/>
  <c r="C5" i="6"/>
  <c r="C11" i="6" s="1"/>
  <c r="C6" i="6"/>
  <c r="F6" i="6" s="1"/>
  <c r="C3" i="6"/>
  <c r="C9" i="6" s="1"/>
  <c r="C2" i="6"/>
  <c r="I15" i="6"/>
  <c r="R2" i="6" a="1"/>
  <c r="R2" i="6" s="1"/>
  <c r="E27" i="5"/>
  <c r="E26" i="5"/>
  <c r="E25" i="5"/>
  <c r="D27" i="5"/>
  <c r="D26" i="5"/>
  <c r="D25" i="5"/>
  <c r="H11" i="5"/>
  <c r="H12" i="5"/>
  <c r="H13" i="5"/>
  <c r="H14" i="5"/>
  <c r="H10" i="5"/>
  <c r="H5" i="5"/>
  <c r="H6" i="5"/>
  <c r="H7" i="5"/>
  <c r="H4" i="5"/>
  <c r="H3" i="5"/>
  <c r="F24" i="3"/>
  <c r="E24" i="3"/>
  <c r="D24" i="3"/>
  <c r="C24" i="3"/>
  <c r="B24" i="3"/>
  <c r="AM1" i="4"/>
  <c r="AE1" i="4"/>
  <c r="V1" i="4"/>
  <c r="O1" i="4"/>
  <c r="G1" i="4"/>
  <c r="J24" i="3"/>
  <c r="K24" i="3"/>
  <c r="L24" i="3"/>
  <c r="M24" i="3"/>
  <c r="I24" i="3"/>
  <c r="R16" i="3"/>
  <c r="S16" i="3"/>
  <c r="T16" i="3"/>
  <c r="U16" i="3"/>
  <c r="Q16" i="3"/>
  <c r="R9" i="3"/>
  <c r="S9" i="3"/>
  <c r="T9" i="3"/>
  <c r="U9" i="3"/>
  <c r="Q9" i="3"/>
  <c r="D7" i="3" s="1"/>
  <c r="M22" i="3"/>
  <c r="U14" i="3"/>
  <c r="U7" i="3"/>
  <c r="F6" i="3"/>
  <c r="E6" i="3"/>
  <c r="D6" i="3"/>
  <c r="F5" i="3"/>
  <c r="E5" i="3"/>
  <c r="F3" i="3"/>
  <c r="AH3" i="4" s="1"/>
  <c r="E3" i="3"/>
  <c r="Z3" i="4" s="1"/>
  <c r="F15" i="3"/>
  <c r="D3" i="3"/>
  <c r="R3" i="4" s="1"/>
  <c r="AJ6" i="2"/>
  <c r="AI6" i="2"/>
  <c r="AJ4" i="2"/>
  <c r="AJ5" i="2" s="1"/>
  <c r="AI4" i="2"/>
  <c r="AI5" i="2" s="1"/>
  <c r="AG21" i="2"/>
  <c r="AH6" i="2"/>
  <c r="AG6" i="2"/>
  <c r="AH4" i="2"/>
  <c r="AH5" i="2" s="1"/>
  <c r="AG4" i="2"/>
  <c r="AG5" i="2" s="1"/>
  <c r="AF30" i="2"/>
  <c r="AF21" i="2"/>
  <c r="F12" i="3" s="1"/>
  <c r="F14" i="3" s="1"/>
  <c r="AF6" i="2"/>
  <c r="AF4" i="2"/>
  <c r="AF5" i="2" s="1"/>
  <c r="AB30" i="2"/>
  <c r="AA30" i="2"/>
  <c r="AB21" i="2"/>
  <c r="E15" i="3" s="1"/>
  <c r="Z17" i="4" s="1"/>
  <c r="AA21" i="2"/>
  <c r="AB6" i="2"/>
  <c r="AA6" i="2"/>
  <c r="Y30" i="2"/>
  <c r="Z21" i="2"/>
  <c r="Y21" i="2"/>
  <c r="Z6" i="2"/>
  <c r="Y6" i="2"/>
  <c r="X21" i="2"/>
  <c r="E12" i="3" s="1"/>
  <c r="E14" i="3" s="1"/>
  <c r="X6" i="2"/>
  <c r="D2" i="1" a="1"/>
  <c r="D2" i="1" s="1"/>
  <c r="E2" i="1" a="1"/>
  <c r="E2" i="1" s="1"/>
  <c r="F2" i="1" a="1"/>
  <c r="F2" i="1" s="1"/>
  <c r="D3" i="1" a="1"/>
  <c r="D3" i="1" s="1"/>
  <c r="R21" i="4" s="1"/>
  <c r="E3" i="1" a="1"/>
  <c r="E3" i="1" s="1"/>
  <c r="Z21" i="4" s="1"/>
  <c r="F3" i="1" a="1"/>
  <c r="F3" i="1" s="1"/>
  <c r="AH21" i="4" s="1"/>
  <c r="D4" i="1" a="1"/>
  <c r="D4" i="1" s="1"/>
  <c r="E4" i="1" a="1"/>
  <c r="E4" i="1" s="1"/>
  <c r="F4" i="1" a="1"/>
  <c r="F4" i="1" s="1"/>
  <c r="D5" i="1" a="1"/>
  <c r="D5" i="1" s="1"/>
  <c r="D8" i="3" s="1"/>
  <c r="D11" i="3" s="1"/>
  <c r="AB27" i="6" s="1"/>
  <c r="E5" i="1" a="1"/>
  <c r="E5" i="1" s="1"/>
  <c r="E8" i="3" s="1"/>
  <c r="E11" i="3" s="1"/>
  <c r="AB28" i="6" s="1"/>
  <c r="F5" i="1" a="1"/>
  <c r="F5" i="1" s="1"/>
  <c r="F8" i="3" s="1"/>
  <c r="F11" i="3" s="1"/>
  <c r="AB29" i="6" s="1"/>
  <c r="D6" i="1" a="1"/>
  <c r="D6" i="1" s="1"/>
  <c r="D7" i="1" s="1"/>
  <c r="D16" i="3" s="1"/>
  <c r="E6" i="1" a="1"/>
  <c r="E6" i="1" s="1"/>
  <c r="E7" i="1" s="1"/>
  <c r="E16" i="3" s="1"/>
  <c r="F6" i="1" a="1"/>
  <c r="F6" i="1" s="1"/>
  <c r="F7" i="1" s="1"/>
  <c r="F16" i="3" s="1"/>
  <c r="D8" i="1" a="1"/>
  <c r="D8" i="1" s="1"/>
  <c r="D9" i="1" s="1"/>
  <c r="D22" i="3" s="1"/>
  <c r="R19" i="4" s="1"/>
  <c r="E8" i="1" a="1"/>
  <c r="E8" i="1" s="1"/>
  <c r="E9" i="1" s="1"/>
  <c r="E22" i="3" s="1"/>
  <c r="Z19" i="4" s="1"/>
  <c r="F8" i="1" a="1"/>
  <c r="F8" i="1" s="1"/>
  <c r="F9" i="1" s="1"/>
  <c r="F22" i="3" s="1"/>
  <c r="AH19" i="4" s="1"/>
  <c r="D10" i="1" a="1"/>
  <c r="D10" i="1" s="1"/>
  <c r="E10" i="1" a="1"/>
  <c r="E10" i="1" s="1"/>
  <c r="F10" i="1" a="1"/>
  <c r="F10" i="1" s="1"/>
  <c r="D11" i="1" a="1"/>
  <c r="D11" i="1" s="1"/>
  <c r="E11" i="1" a="1"/>
  <c r="E11" i="1" s="1"/>
  <c r="F11" i="1" a="1"/>
  <c r="F11" i="1" s="1"/>
  <c r="R5" i="6" a="1"/>
  <c r="R5" i="6" s="1"/>
  <c r="R8" i="6" a="1"/>
  <c r="R8" i="6" s="1"/>
  <c r="R11" i="6" a="1"/>
  <c r="R11" i="6" s="1"/>
  <c r="T29" i="2"/>
  <c r="S29" i="2"/>
  <c r="T21" i="2"/>
  <c r="D15" i="3" s="1"/>
  <c r="S21" i="2"/>
  <c r="T4" i="2"/>
  <c r="T5" i="2" s="1"/>
  <c r="T7" i="2" s="1"/>
  <c r="T10" i="2" s="1"/>
  <c r="C25" i="5" s="1"/>
  <c r="S4" i="2"/>
  <c r="S5" i="2" s="1"/>
  <c r="S7" i="2" s="1"/>
  <c r="S10" i="2" s="1"/>
  <c r="R30" i="2"/>
  <c r="Q30" i="2"/>
  <c r="R29" i="2"/>
  <c r="Q29" i="2"/>
  <c r="R21" i="2"/>
  <c r="Q21" i="2"/>
  <c r="R4" i="2"/>
  <c r="R5" i="2" s="1"/>
  <c r="R7" i="2" s="1"/>
  <c r="R10" i="2" s="1"/>
  <c r="Q4" i="2"/>
  <c r="Q5" i="2" s="1"/>
  <c r="Q7" i="2" s="1"/>
  <c r="Q10" i="2" s="1"/>
  <c r="P30" i="2"/>
  <c r="P29" i="2"/>
  <c r="D5" i="3" s="1"/>
  <c r="P21" i="2"/>
  <c r="P4" i="2"/>
  <c r="P5" i="2" s="1"/>
  <c r="P7" i="2" s="1"/>
  <c r="AB5" i="2"/>
  <c r="AA5" i="2"/>
  <c r="Z5" i="2"/>
  <c r="Y5" i="2"/>
  <c r="Y7" i="2" s="1"/>
  <c r="X5" i="2"/>
  <c r="AA7" i="2" l="1"/>
  <c r="D12" i="3"/>
  <c r="D14" i="3" s="1"/>
  <c r="X7" i="2"/>
  <c r="E7" i="3"/>
  <c r="G4" i="6"/>
  <c r="I4" i="6" s="1"/>
  <c r="AI7" i="2"/>
  <c r="AI10" i="2" s="1"/>
  <c r="F7" i="3"/>
  <c r="I27" i="3" s="1"/>
  <c r="P10" i="2"/>
  <c r="D70" i="6" s="1"/>
  <c r="D34" i="6"/>
  <c r="Z7" i="6" a="1"/>
  <c r="Z7" i="6" s="1"/>
  <c r="D4" i="3"/>
  <c r="R4" i="4" s="1"/>
  <c r="AH17" i="4"/>
  <c r="AF7" i="2"/>
  <c r="AF10" i="2" s="1"/>
  <c r="B25" i="5"/>
  <c r="D58" i="6"/>
  <c r="F4" i="6"/>
  <c r="F5" i="6"/>
  <c r="AA3" i="4"/>
  <c r="Z6" i="4"/>
  <c r="Q19" i="3"/>
  <c r="Z8" i="4" s="1"/>
  <c r="R7" i="4"/>
  <c r="R6" i="4"/>
  <c r="S3" i="4"/>
  <c r="Q12" i="3"/>
  <c r="R8" i="4" s="1"/>
  <c r="AH7" i="4"/>
  <c r="AI3" i="4"/>
  <c r="R17" i="4"/>
  <c r="E17" i="3"/>
  <c r="E19" i="3" s="1"/>
  <c r="J13" i="5"/>
  <c r="AD28" i="6" s="1"/>
  <c r="J14" i="5"/>
  <c r="AD29" i="6" s="1"/>
  <c r="J12" i="5"/>
  <c r="AD27" i="6" s="1"/>
  <c r="M5" i="5"/>
  <c r="M6" i="5"/>
  <c r="M7" i="5"/>
  <c r="AH6" i="4"/>
  <c r="Z7" i="4"/>
  <c r="F17" i="3"/>
  <c r="F19" i="3" s="1"/>
  <c r="D17" i="3"/>
  <c r="D19" i="3" s="1"/>
  <c r="AJ7" i="2"/>
  <c r="AH7" i="2"/>
  <c r="AH10" i="2" s="1"/>
  <c r="AG7" i="2"/>
  <c r="AG10" i="2" s="1"/>
  <c r="AB7" i="2"/>
  <c r="AA10" i="2"/>
  <c r="Z7" i="2"/>
  <c r="Z10" i="2" s="1"/>
  <c r="Y10" i="2"/>
  <c r="X10" i="2"/>
  <c r="H13" i="6"/>
  <c r="H15" i="6" s="1"/>
  <c r="H3" i="6"/>
  <c r="H2" i="6"/>
  <c r="F3" i="6"/>
  <c r="F2" i="6"/>
  <c r="D3" i="6"/>
  <c r="K3" i="6" s="1"/>
  <c r="D2" i="6"/>
  <c r="R5" i="4" l="1"/>
  <c r="AJ10" i="2"/>
  <c r="G6" i="6"/>
  <c r="I6" i="6" s="1"/>
  <c r="B27" i="5"/>
  <c r="R9" i="4"/>
  <c r="Z8" i="6" a="1"/>
  <c r="Z8" i="6" s="1"/>
  <c r="D40" i="6"/>
  <c r="E4" i="3"/>
  <c r="K2" i="6"/>
  <c r="D7" i="6"/>
  <c r="AB10" i="2"/>
  <c r="B26" i="5"/>
  <c r="G5" i="6"/>
  <c r="I5" i="6" s="1"/>
  <c r="Z19" i="6" a="1"/>
  <c r="Z19" i="6" s="1"/>
  <c r="D36" i="6"/>
  <c r="F4" i="3"/>
  <c r="AH4" i="4" s="1"/>
  <c r="Z13" i="6" a="1"/>
  <c r="Z13" i="6" s="1"/>
  <c r="D35" i="6"/>
  <c r="R12" i="3"/>
  <c r="S8" i="4" s="1"/>
  <c r="S6" i="4"/>
  <c r="T3" i="4"/>
  <c r="S4" i="4"/>
  <c r="S5" i="4" s="1"/>
  <c r="S7" i="4"/>
  <c r="AI7" i="4"/>
  <c r="J27" i="3"/>
  <c r="AI8" i="4" s="1"/>
  <c r="AJ3" i="4"/>
  <c r="E18" i="3"/>
  <c r="E20" i="3" s="1"/>
  <c r="AH8" i="4"/>
  <c r="AI6" i="4"/>
  <c r="AA6" i="4"/>
  <c r="AB3" i="4"/>
  <c r="R19" i="3"/>
  <c r="AA8" i="4" s="1"/>
  <c r="AA7" i="4"/>
  <c r="K7" i="5"/>
  <c r="L7" i="5"/>
  <c r="K6" i="5"/>
  <c r="I6" i="5"/>
  <c r="L6" i="5"/>
  <c r="I7" i="5"/>
  <c r="L5" i="5"/>
  <c r="I5" i="5"/>
  <c r="K5" i="5"/>
  <c r="J5" i="5"/>
  <c r="F18" i="3"/>
  <c r="F20" i="3" s="1"/>
  <c r="D18" i="3"/>
  <c r="D20" i="3" s="1"/>
  <c r="Z27" i="6" s="1"/>
  <c r="E24" i="5"/>
  <c r="E23" i="5"/>
  <c r="D24" i="5"/>
  <c r="D23" i="5"/>
  <c r="D20" i="5"/>
  <c r="B20" i="5"/>
  <c r="C4" i="5" a="1"/>
  <c r="C4" i="5" s="1"/>
  <c r="C5" i="5" a="1"/>
  <c r="C5" i="5" s="1"/>
  <c r="C6" i="5" a="1"/>
  <c r="C6" i="5" s="1"/>
  <c r="C3" i="5" a="1"/>
  <c r="C3" i="5" s="1"/>
  <c r="J16" i="3"/>
  <c r="K16" i="3"/>
  <c r="L16" i="3"/>
  <c r="M16" i="3"/>
  <c r="I16" i="3"/>
  <c r="J9" i="3"/>
  <c r="K9" i="3"/>
  <c r="L9" i="3"/>
  <c r="M9" i="3"/>
  <c r="I9" i="3"/>
  <c r="C6" i="3"/>
  <c r="B6" i="3"/>
  <c r="C5" i="3"/>
  <c r="B5" i="3"/>
  <c r="C3" i="3"/>
  <c r="B3" i="3"/>
  <c r="AI4" i="4" l="1"/>
  <c r="AI5" i="4" s="1"/>
  <c r="D71" i="6"/>
  <c r="D59" i="6"/>
  <c r="C26" i="5"/>
  <c r="J6" i="5" s="1"/>
  <c r="D72" i="6"/>
  <c r="D60" i="6"/>
  <c r="C27" i="5"/>
  <c r="J7" i="5" s="1"/>
  <c r="I14" i="5" s="1"/>
  <c r="K14" i="5" s="1"/>
  <c r="AH5" i="4"/>
  <c r="Z14" i="6" a="1"/>
  <c r="Z14" i="6" s="1"/>
  <c r="S9" i="4"/>
  <c r="D41" i="6"/>
  <c r="AA4" i="4"/>
  <c r="AA5" i="4" s="1"/>
  <c r="AA9" i="4" s="1"/>
  <c r="Z4" i="4"/>
  <c r="Z20" i="6" a="1"/>
  <c r="Z20" i="6" s="1"/>
  <c r="D42" i="6"/>
  <c r="F23" i="3"/>
  <c r="Z29" i="6"/>
  <c r="E23" i="3"/>
  <c r="Z28" i="6"/>
  <c r="AC3" i="4"/>
  <c r="AB6" i="4"/>
  <c r="S19" i="3"/>
  <c r="AB8" i="4" s="1"/>
  <c r="AB4" i="4"/>
  <c r="AB5" i="4" s="1"/>
  <c r="AB9" i="4" s="1"/>
  <c r="AB7" i="4"/>
  <c r="U3" i="4"/>
  <c r="T7" i="4"/>
  <c r="S12" i="3"/>
  <c r="T8" i="4" s="1"/>
  <c r="T6" i="4"/>
  <c r="T4" i="4"/>
  <c r="T5" i="4" s="1"/>
  <c r="AI9" i="4"/>
  <c r="AK3" i="4"/>
  <c r="K27" i="3"/>
  <c r="AJ8" i="4" s="1"/>
  <c r="AJ4" i="4"/>
  <c r="AJ7" i="4"/>
  <c r="AJ6" i="4"/>
  <c r="I12" i="5"/>
  <c r="K12" i="5" s="1"/>
  <c r="I13" i="5"/>
  <c r="K13" i="5" s="1"/>
  <c r="D23" i="3"/>
  <c r="AJ5" i="4"/>
  <c r="C7" i="3"/>
  <c r="B7" i="3"/>
  <c r="B3" i="4"/>
  <c r="J3" i="4"/>
  <c r="C20" i="5"/>
  <c r="M21" i="2"/>
  <c r="C15" i="3" s="1"/>
  <c r="J17" i="4" s="1"/>
  <c r="L21" i="2"/>
  <c r="K21" i="2"/>
  <c r="J21" i="2"/>
  <c r="I21" i="2"/>
  <c r="J5" i="2"/>
  <c r="J7" i="2" s="1"/>
  <c r="K5" i="2"/>
  <c r="K7" i="2" s="1"/>
  <c r="K10" i="2" s="1"/>
  <c r="L5" i="2"/>
  <c r="L7" i="2" s="1"/>
  <c r="L10" i="2" s="1"/>
  <c r="M5" i="2"/>
  <c r="M7" i="2" s="1"/>
  <c r="I5" i="2"/>
  <c r="I7" i="2" s="1"/>
  <c r="E22" i="2"/>
  <c r="F21" i="2"/>
  <c r="B15" i="3" s="1"/>
  <c r="B17" i="4" s="1"/>
  <c r="E21" i="2"/>
  <c r="D21" i="2"/>
  <c r="C21" i="2"/>
  <c r="B22" i="2"/>
  <c r="B21" i="2"/>
  <c r="F6" i="2"/>
  <c r="E6" i="2"/>
  <c r="F4" i="2"/>
  <c r="F5" i="2" s="1"/>
  <c r="E4" i="2"/>
  <c r="E5" i="2" s="1"/>
  <c r="D6" i="2"/>
  <c r="C6" i="2"/>
  <c r="B6" i="2"/>
  <c r="D4" i="2"/>
  <c r="D5" i="2" s="1"/>
  <c r="C4" i="2"/>
  <c r="C5" i="2" s="1"/>
  <c r="B4" i="2"/>
  <c r="B5" i="2" s="1"/>
  <c r="C2" i="1" a="1"/>
  <c r="C2" i="1" s="1"/>
  <c r="C3" i="1" a="1"/>
  <c r="C3" i="1" s="1"/>
  <c r="J11" i="5" s="1"/>
  <c r="AD26" i="6" s="1"/>
  <c r="C4" i="1" a="1"/>
  <c r="C4" i="1" s="1"/>
  <c r="C5" i="1" a="1"/>
  <c r="C5" i="1" s="1"/>
  <c r="C8" i="3" s="1"/>
  <c r="C11" i="3" s="1"/>
  <c r="AB26" i="6" s="1"/>
  <c r="C6" i="1" a="1"/>
  <c r="C6" i="1" s="1"/>
  <c r="C7" i="1" s="1"/>
  <c r="C16" i="3" s="1"/>
  <c r="C8" i="1" a="1"/>
  <c r="C8" i="1" s="1"/>
  <c r="C9" i="1" s="1"/>
  <c r="C22" i="3" s="1"/>
  <c r="M4" i="5" s="1"/>
  <c r="C10" i="1" a="1"/>
  <c r="C10" i="1" s="1"/>
  <c r="C11" i="1" a="1"/>
  <c r="C11" i="1" s="1"/>
  <c r="B11" i="1" a="1"/>
  <c r="B11" i="1" s="1"/>
  <c r="B10" i="1" a="1"/>
  <c r="B10" i="1" s="1"/>
  <c r="B8" i="1" a="1"/>
  <c r="B8" i="1" s="1"/>
  <c r="B9" i="1" s="1"/>
  <c r="B22" i="3" s="1"/>
  <c r="M3" i="5" s="1"/>
  <c r="B6" i="1" a="1"/>
  <c r="B6" i="1" s="1"/>
  <c r="B7" i="1" s="1"/>
  <c r="B16" i="3" s="1"/>
  <c r="B5" i="1" a="1"/>
  <c r="B5" i="1" s="1"/>
  <c r="B8" i="3" s="1"/>
  <c r="B4" i="1" a="1"/>
  <c r="B4" i="1" s="1"/>
  <c r="B3" i="1" a="1"/>
  <c r="B3" i="1" s="1"/>
  <c r="J10" i="5" s="1"/>
  <c r="AD25" i="6" s="1"/>
  <c r="B2" i="1" a="1"/>
  <c r="B2" i="1" s="1"/>
  <c r="AH9" i="4" l="1"/>
  <c r="R9" i="6" a="1"/>
  <c r="R9" i="6" s="1"/>
  <c r="D33" i="6"/>
  <c r="Z5" i="4"/>
  <c r="B11" i="3"/>
  <c r="V3" i="4"/>
  <c r="U7" i="4"/>
  <c r="T12" i="3"/>
  <c r="U8" i="4" s="1"/>
  <c r="U9" i="4" s="1"/>
  <c r="U6" i="4"/>
  <c r="U4" i="4"/>
  <c r="U5" i="4" s="1"/>
  <c r="L27" i="3"/>
  <c r="AK8" i="4" s="1"/>
  <c r="AK7" i="4"/>
  <c r="AK4" i="4"/>
  <c r="AL3" i="4"/>
  <c r="AK6" i="4"/>
  <c r="T9" i="4"/>
  <c r="T19" i="3"/>
  <c r="AC8" i="4" s="1"/>
  <c r="AC6" i="4"/>
  <c r="AD3" i="4"/>
  <c r="AC4" i="4"/>
  <c r="AC5" i="4" s="1"/>
  <c r="AC7" i="4"/>
  <c r="K4" i="5"/>
  <c r="L4" i="5"/>
  <c r="K3" i="5"/>
  <c r="L3" i="5"/>
  <c r="AJ9" i="4"/>
  <c r="J19" i="4"/>
  <c r="E7" i="5"/>
  <c r="E20" i="5" s="1"/>
  <c r="B19" i="4"/>
  <c r="C3" i="4"/>
  <c r="J12" i="3" s="1"/>
  <c r="E7" i="2"/>
  <c r="E10" i="2" s="1"/>
  <c r="B7" i="2"/>
  <c r="F7" i="2"/>
  <c r="F10" i="2" s="1"/>
  <c r="C7" i="2"/>
  <c r="C10" i="2" s="1"/>
  <c r="D7" i="2"/>
  <c r="D10" i="2" s="1"/>
  <c r="C4" i="3"/>
  <c r="J4" i="4" s="1"/>
  <c r="C12" i="3"/>
  <c r="C14" i="3" s="1"/>
  <c r="B12" i="3"/>
  <c r="B14" i="3" s="1"/>
  <c r="M10" i="2"/>
  <c r="G3" i="6"/>
  <c r="I3" i="6" s="1"/>
  <c r="B24" i="5"/>
  <c r="I4" i="5" s="1"/>
  <c r="J10" i="2"/>
  <c r="J7" i="4"/>
  <c r="J6" i="4"/>
  <c r="K3" i="4"/>
  <c r="C7" i="4"/>
  <c r="I19" i="3"/>
  <c r="J8" i="4" s="1"/>
  <c r="B7" i="4"/>
  <c r="B6" i="4"/>
  <c r="D3" i="4"/>
  <c r="I12" i="3"/>
  <c r="B8" i="4" s="1"/>
  <c r="J21" i="4"/>
  <c r="B21" i="4"/>
  <c r="B17" i="3"/>
  <c r="B18" i="3" s="1"/>
  <c r="C17" i="3"/>
  <c r="C18" i="3" s="1"/>
  <c r="I10" i="2"/>
  <c r="C6" i="4" l="1"/>
  <c r="R10" i="6" a="1"/>
  <c r="R10" i="6" s="1"/>
  <c r="D39" i="6"/>
  <c r="Z9" i="4"/>
  <c r="D69" i="6"/>
  <c r="D57" i="6"/>
  <c r="R3" i="6" a="1"/>
  <c r="R3" i="6" s="1"/>
  <c r="D32" i="6"/>
  <c r="D37" i="6" s="1"/>
  <c r="D68" i="6"/>
  <c r="D56" i="6"/>
  <c r="B10" i="2"/>
  <c r="AC9" i="4"/>
  <c r="AK5" i="4"/>
  <c r="AB25" i="6"/>
  <c r="U19" i="3"/>
  <c r="AD8" i="4" s="1"/>
  <c r="AD6" i="4"/>
  <c r="AE3" i="4"/>
  <c r="D47" i="6" s="1"/>
  <c r="AD4" i="4"/>
  <c r="AD5" i="4" s="1"/>
  <c r="AD7" i="4"/>
  <c r="M27" i="3"/>
  <c r="AL8" i="4" s="1"/>
  <c r="AL7" i="4"/>
  <c r="AL6" i="4"/>
  <c r="AL4" i="4"/>
  <c r="AM3" i="4"/>
  <c r="W3" i="4"/>
  <c r="V4" i="4"/>
  <c r="V5" i="4" s="1"/>
  <c r="V7" i="4"/>
  <c r="U12" i="3"/>
  <c r="V8" i="4" s="1"/>
  <c r="V6" i="4"/>
  <c r="G2" i="6"/>
  <c r="I2" i="6" s="1"/>
  <c r="I7" i="6" s="1"/>
  <c r="B23" i="5"/>
  <c r="I3" i="5" s="1"/>
  <c r="B4" i="3"/>
  <c r="D4" i="4" s="1"/>
  <c r="D5" i="4" s="1"/>
  <c r="C24" i="5"/>
  <c r="J4" i="5" s="1"/>
  <c r="I11" i="5" s="1"/>
  <c r="K11" i="5" s="1"/>
  <c r="C23" i="5"/>
  <c r="J3" i="5" s="1"/>
  <c r="K6" i="4"/>
  <c r="K4" i="4"/>
  <c r="K5" i="4" s="1"/>
  <c r="K7" i="4"/>
  <c r="L3" i="4"/>
  <c r="J19" i="3"/>
  <c r="K8" i="4" s="1"/>
  <c r="J5" i="4"/>
  <c r="C8" i="4"/>
  <c r="E3" i="4"/>
  <c r="D7" i="4"/>
  <c r="D6" i="4"/>
  <c r="K12" i="3"/>
  <c r="D8" i="4" s="1"/>
  <c r="C19" i="3"/>
  <c r="C20" i="3" s="1"/>
  <c r="Z26" i="6" s="1"/>
  <c r="B19" i="3"/>
  <c r="D61" i="6" l="1"/>
  <c r="H16" i="6" s="1"/>
  <c r="AH13" i="6" a="1"/>
  <c r="AH13" i="6" s="1"/>
  <c r="AK9" i="4"/>
  <c r="D73" i="6"/>
  <c r="V9" i="4"/>
  <c r="AL5" i="4"/>
  <c r="AL9" i="4" s="1"/>
  <c r="AD9" i="4"/>
  <c r="AH6" i="6" a="1"/>
  <c r="AH6" i="6" s="1"/>
  <c r="D46" i="6"/>
  <c r="D48" i="6"/>
  <c r="AH20" i="6" a="1"/>
  <c r="AH20" i="6" s="1"/>
  <c r="R4" i="6" a="1"/>
  <c r="R4" i="6" s="1"/>
  <c r="D38" i="6"/>
  <c r="D43" i="6" s="1"/>
  <c r="B20" i="3"/>
  <c r="Z25" i="6" s="1"/>
  <c r="I10" i="5"/>
  <c r="K10" i="5" s="1"/>
  <c r="N27" i="3"/>
  <c r="AM8" i="4" s="1"/>
  <c r="AM6" i="4"/>
  <c r="L6" i="6" s="1"/>
  <c r="M6" i="6" s="1"/>
  <c r="AM7" i="4"/>
  <c r="AM4" i="4"/>
  <c r="V19" i="3"/>
  <c r="AE8" i="4" s="1"/>
  <c r="AE7" i="4"/>
  <c r="AE4" i="4"/>
  <c r="AE6" i="4"/>
  <c r="L5" i="6" s="1"/>
  <c r="M5" i="6" s="1"/>
  <c r="W4" i="4"/>
  <c r="AH7" i="6" s="1" a="1"/>
  <c r="AH7" i="6" s="1"/>
  <c r="W7" i="4"/>
  <c r="V12" i="3"/>
  <c r="W8" i="4" s="1"/>
  <c r="W6" i="4"/>
  <c r="L4" i="6" s="1"/>
  <c r="M4" i="6" s="1"/>
  <c r="C23" i="3"/>
  <c r="B4" i="4"/>
  <c r="C4" i="4"/>
  <c r="C5" i="4" s="1"/>
  <c r="C9" i="4" s="1"/>
  <c r="D9" i="4"/>
  <c r="J9" i="4"/>
  <c r="M3" i="4"/>
  <c r="L7" i="4"/>
  <c r="L6" i="4"/>
  <c r="L4" i="4"/>
  <c r="K19" i="3"/>
  <c r="L8" i="4" s="1"/>
  <c r="K9" i="4"/>
  <c r="F3" i="4"/>
  <c r="E6" i="4"/>
  <c r="E4" i="4"/>
  <c r="E5" i="4" s="1"/>
  <c r="E7" i="4"/>
  <c r="L12" i="3"/>
  <c r="E8" i="4" s="1"/>
  <c r="AE5" i="4" l="1"/>
  <c r="J5" i="6"/>
  <c r="N5" i="6" s="1"/>
  <c r="O5" i="6" s="1"/>
  <c r="D17" i="6"/>
  <c r="D23" i="6" s="1"/>
  <c r="D29" i="6" s="1"/>
  <c r="AH16" i="6" a="1"/>
  <c r="AH16" i="6" s="1"/>
  <c r="D11" i="6"/>
  <c r="D53" i="6" s="1"/>
  <c r="AM5" i="4"/>
  <c r="D66" i="6" s="1"/>
  <c r="J6" i="6"/>
  <c r="N6" i="6" s="1"/>
  <c r="O6" i="6" s="1"/>
  <c r="D18" i="6"/>
  <c r="D24" i="6" s="1"/>
  <c r="D30" i="6" s="1"/>
  <c r="D12" i="6"/>
  <c r="D54" i="6" s="1"/>
  <c r="AH23" i="6" a="1"/>
  <c r="AH23" i="6" s="1"/>
  <c r="AH14" i="6" a="1"/>
  <c r="AH14" i="6" s="1"/>
  <c r="D16" i="6"/>
  <c r="D22" i="6" s="1"/>
  <c r="D28" i="6" s="1"/>
  <c r="D10" i="6"/>
  <c r="D52" i="6" s="1"/>
  <c r="W5" i="4"/>
  <c r="J4" i="6"/>
  <c r="N4" i="6" s="1"/>
  <c r="O4" i="6" s="1"/>
  <c r="AH9" i="6" a="1"/>
  <c r="AH9" i="6" s="1"/>
  <c r="AH21" i="6" a="1"/>
  <c r="AH21" i="6" s="1"/>
  <c r="B23" i="3"/>
  <c r="AE9" i="4"/>
  <c r="AH17" i="6" s="1" a="1"/>
  <c r="AH17" i="6" s="1"/>
  <c r="B5" i="4"/>
  <c r="L5" i="4"/>
  <c r="L9" i="4" s="1"/>
  <c r="G3" i="4"/>
  <c r="F6" i="4"/>
  <c r="F4" i="4"/>
  <c r="F7" i="4"/>
  <c r="M12" i="3"/>
  <c r="F8" i="4" s="1"/>
  <c r="E9" i="4"/>
  <c r="N3" i="4"/>
  <c r="M7" i="4"/>
  <c r="M6" i="4"/>
  <c r="M4" i="4"/>
  <c r="M5" i="4" s="1"/>
  <c r="L19" i="3"/>
  <c r="M8" i="4" s="1"/>
  <c r="AM9" i="4" l="1"/>
  <c r="AH13" i="4" s="1"/>
  <c r="AH14" i="4" s="1"/>
  <c r="R14" i="6" a="1"/>
  <c r="R14" i="6" s="1"/>
  <c r="D44" i="6"/>
  <c r="D64" i="6"/>
  <c r="AH8" i="6" a="1"/>
  <c r="AH8" i="6" s="1"/>
  <c r="D65" i="6"/>
  <c r="AH15" i="6" a="1"/>
  <c r="AH15" i="6" s="1"/>
  <c r="W9" i="4"/>
  <c r="AH10" i="6" s="1" a="1"/>
  <c r="AH10" i="6" s="1"/>
  <c r="AH24" i="6" a="1"/>
  <c r="AH24" i="6" s="1"/>
  <c r="AH22" i="6" a="1"/>
  <c r="AH22" i="6" s="1"/>
  <c r="Z13" i="4"/>
  <c r="Z14" i="4" s="1"/>
  <c r="Z15" i="4"/>
  <c r="AH15" i="4"/>
  <c r="B9" i="4"/>
  <c r="F5" i="4"/>
  <c r="M9" i="4"/>
  <c r="O3" i="4"/>
  <c r="N4" i="4"/>
  <c r="N7" i="4"/>
  <c r="N6" i="4"/>
  <c r="M19" i="3"/>
  <c r="N8" i="4" s="1"/>
  <c r="G6" i="4"/>
  <c r="L2" i="6" s="1"/>
  <c r="G4" i="4"/>
  <c r="R15" i="6" s="1" a="1"/>
  <c r="R15" i="6" s="1"/>
  <c r="G7" i="4"/>
  <c r="N12" i="3"/>
  <c r="G8" i="4" s="1"/>
  <c r="R15" i="4" l="1"/>
  <c r="R13" i="4"/>
  <c r="R14" i="4" s="1"/>
  <c r="R21" i="6" a="1"/>
  <c r="R21" i="6" s="1"/>
  <c r="D45" i="6"/>
  <c r="D14" i="6"/>
  <c r="D8" i="6"/>
  <c r="D49" i="6"/>
  <c r="Z16" i="4"/>
  <c r="Z18" i="4" s="1"/>
  <c r="Z20" i="4" s="1"/>
  <c r="AH16" i="4"/>
  <c r="AH18" i="4" s="1"/>
  <c r="AH20" i="4" s="1"/>
  <c r="M2" i="6"/>
  <c r="R17" i="6" a="1"/>
  <c r="R17" i="6" s="1"/>
  <c r="F9" i="4"/>
  <c r="N5" i="4"/>
  <c r="O4" i="4"/>
  <c r="R22" i="6" s="1" a="1"/>
  <c r="R22" i="6" s="1"/>
  <c r="O7" i="4"/>
  <c r="O6" i="4"/>
  <c r="L3" i="6" s="1"/>
  <c r="N19" i="3"/>
  <c r="O8" i="4" s="1"/>
  <c r="J2" i="6"/>
  <c r="G5" i="4"/>
  <c r="R16" i="4" l="1"/>
  <c r="R18" i="4" s="1"/>
  <c r="R20" i="4" s="1"/>
  <c r="D50" i="6"/>
  <c r="D15" i="6"/>
  <c r="D21" i="6" s="1"/>
  <c r="D27" i="6" s="1"/>
  <c r="D9" i="6"/>
  <c r="D51" i="6" s="1"/>
  <c r="R16" i="6" a="1"/>
  <c r="R16" i="6" s="1"/>
  <c r="D62" i="6"/>
  <c r="D20" i="6"/>
  <c r="Z22" i="4"/>
  <c r="AC28" i="6"/>
  <c r="AE28" i="6" s="1"/>
  <c r="AH22" i="4"/>
  <c r="AC29" i="6"/>
  <c r="AE29" i="6" s="1"/>
  <c r="R22" i="4"/>
  <c r="AC27" i="6"/>
  <c r="AE27" i="6" s="1"/>
  <c r="R24" i="6" a="1"/>
  <c r="R24" i="6" s="1"/>
  <c r="M3" i="6"/>
  <c r="N9" i="4"/>
  <c r="J3" i="6"/>
  <c r="O5" i="4"/>
  <c r="G9" i="4"/>
  <c r="B13" i="4" s="1"/>
  <c r="B14" i="4" s="1"/>
  <c r="N2" i="6"/>
  <c r="D25" i="6" l="1"/>
  <c r="D26" i="6"/>
  <c r="D31" i="6" s="1"/>
  <c r="R23" i="6" a="1"/>
  <c r="R23" i="6" s="1"/>
  <c r="D63" i="6"/>
  <c r="D67" i="6" s="1"/>
  <c r="I16" i="6" s="1"/>
  <c r="D19" i="6"/>
  <c r="D13" i="6"/>
  <c r="D55" i="6"/>
  <c r="O2" i="6"/>
  <c r="R18" i="6" a="1"/>
  <c r="R18" i="6" s="1"/>
  <c r="B15" i="4"/>
  <c r="B16" i="4" s="1"/>
  <c r="B18" i="4" s="1"/>
  <c r="B20" i="4" s="1"/>
  <c r="AC25" i="6" s="1"/>
  <c r="AE25" i="6" s="1"/>
  <c r="N3" i="6"/>
  <c r="O3" i="6" s="1"/>
  <c r="O9" i="4"/>
  <c r="R25" i="6" s="1" a="1"/>
  <c r="R25" i="6" s="1"/>
  <c r="N7" i="6" l="1"/>
  <c r="O7" i="6"/>
  <c r="B22" i="4"/>
  <c r="J13" i="4"/>
  <c r="J14" i="4" s="1"/>
  <c r="J15" i="4"/>
  <c r="J16" i="4" l="1"/>
  <c r="J18" i="4" s="1"/>
  <c r="J20" i="4" s="1"/>
  <c r="AC26" i="6" s="1"/>
  <c r="AE26" i="6" s="1"/>
  <c r="J22"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2"/>
        </ext>
      </extLst>
    </bk>
    <bk>
      <extLst>
        <ext uri="{3e2802c4-a4d2-4d8b-9148-e3be6c30e623}">
          <xlrd:rvb i="45"/>
        </ext>
      </extLst>
    </bk>
  </futureMetadata>
  <cellMetadata count="1">
    <bk>
      <rc t="1" v="0"/>
    </bk>
  </cellMetadata>
  <valueMetadata count="16">
    <bk>
      <rc t="2" v="0"/>
    </bk>
    <bk>
      <rc t="2" v="1"/>
    </bk>
    <bk>
      <rc t="2" v="2"/>
    </bk>
    <bk>
      <rc t="2" v="3"/>
    </bk>
    <bk>
      <rc t="2" v="4"/>
    </bk>
    <bk>
      <rc t="2" v="5"/>
    </bk>
    <bk>
      <rc t="2" v="6"/>
    </bk>
    <bk>
      <rc t="2" v="7"/>
    </bk>
    <bk>
      <rc t="2" v="8"/>
    </bk>
    <bk>
      <rc t="2" v="9"/>
    </bk>
    <bk>
      <rc t="2" v="10"/>
    </bk>
    <bk>
      <rc t="2" v="11"/>
    </bk>
    <bk>
      <rc t="2" v="12"/>
    </bk>
    <bk>
      <rc t="2" v="13"/>
    </bk>
    <bk>
      <rc t="2" v="14"/>
    </bk>
    <bk>
      <rc t="2" v="15"/>
    </bk>
  </valueMetadata>
</metadata>
</file>

<file path=xl/sharedStrings.xml><?xml version="1.0" encoding="utf-8"?>
<sst xmlns="http://schemas.openxmlformats.org/spreadsheetml/2006/main" count="655" uniqueCount="129">
  <si>
    <t>Company</t>
  </si>
  <si>
    <t>Official name</t>
  </si>
  <si>
    <t>Share price</t>
  </si>
  <si>
    <t>Change (%)</t>
  </si>
  <si>
    <t>Beta</t>
  </si>
  <si>
    <t>Market cap</t>
  </si>
  <si>
    <t>in mn</t>
  </si>
  <si>
    <t>Shares Outstanding</t>
  </si>
  <si>
    <t>P/E</t>
  </si>
  <si>
    <t>Year</t>
  </si>
  <si>
    <t>Income Statement</t>
  </si>
  <si>
    <t>Particulars</t>
  </si>
  <si>
    <t>Total revenue</t>
  </si>
  <si>
    <t>COGS</t>
  </si>
  <si>
    <t>Gross Profit</t>
  </si>
  <si>
    <t>Operating expenses</t>
  </si>
  <si>
    <t>Operating income</t>
  </si>
  <si>
    <t>Interest expense</t>
  </si>
  <si>
    <t xml:space="preserve">Income tax </t>
  </si>
  <si>
    <t>Net Income</t>
  </si>
  <si>
    <t>Balance Sheet</t>
  </si>
  <si>
    <t>Total current assets</t>
  </si>
  <si>
    <t>Cash &amp; cash equivalents</t>
  </si>
  <si>
    <t>Total current liabilities</t>
  </si>
  <si>
    <t>Inventories</t>
  </si>
  <si>
    <t>Receivables</t>
  </si>
  <si>
    <t>Payables</t>
  </si>
  <si>
    <t>PPE</t>
  </si>
  <si>
    <t>Total debt</t>
  </si>
  <si>
    <t>Shareholders equity</t>
  </si>
  <si>
    <t>Cash Flow statement</t>
  </si>
  <si>
    <t>Net cash flow from operating activities</t>
  </si>
  <si>
    <t>Capex</t>
  </si>
  <si>
    <t>Depreciation &amp; amoritzation</t>
  </si>
  <si>
    <t>Debt paid</t>
  </si>
  <si>
    <t>Dividends paid</t>
  </si>
  <si>
    <t>2020</t>
  </si>
  <si>
    <t>2021</t>
  </si>
  <si>
    <t>2022</t>
  </si>
  <si>
    <t>2023</t>
  </si>
  <si>
    <t>2024</t>
  </si>
  <si>
    <t>RTX</t>
  </si>
  <si>
    <t>LMC</t>
  </si>
  <si>
    <t>Assumptions</t>
  </si>
  <si>
    <t>Metric</t>
  </si>
  <si>
    <t>Revenue CAGR</t>
  </si>
  <si>
    <t>Operating margin</t>
  </si>
  <si>
    <t>Depreciation rate</t>
  </si>
  <si>
    <t>Working capital</t>
  </si>
  <si>
    <t>Equity risk premium</t>
  </si>
  <si>
    <t>Risk free rate</t>
  </si>
  <si>
    <t>Cost of equity</t>
  </si>
  <si>
    <t>Cost of debt (pre-tax)</t>
  </si>
  <si>
    <t>Tax rate</t>
  </si>
  <si>
    <t>Cost of debt (after-tax)</t>
  </si>
  <si>
    <t>Total Debt</t>
  </si>
  <si>
    <t>Total Capital</t>
  </si>
  <si>
    <t>Weight of debt</t>
  </si>
  <si>
    <t>Weight of equity</t>
  </si>
  <si>
    <t>WACC</t>
  </si>
  <si>
    <t>Terminal Growth</t>
  </si>
  <si>
    <t>Outstanding shares</t>
  </si>
  <si>
    <t>Working Capital</t>
  </si>
  <si>
    <t>2025</t>
  </si>
  <si>
    <t>2026</t>
  </si>
  <si>
    <t>2027</t>
  </si>
  <si>
    <t>2028</t>
  </si>
  <si>
    <t>2029</t>
  </si>
  <si>
    <t>2030</t>
  </si>
  <si>
    <t>Revenue</t>
  </si>
  <si>
    <t>EBIT</t>
  </si>
  <si>
    <t>NOPAT</t>
  </si>
  <si>
    <t>Depreciation</t>
  </si>
  <si>
    <t xml:space="preserve"> Change in Working capital</t>
  </si>
  <si>
    <t>FCFF</t>
  </si>
  <si>
    <t>Metrics</t>
  </si>
  <si>
    <t>Value</t>
  </si>
  <si>
    <t>Terminal Value</t>
  </si>
  <si>
    <t>PV of Terminal value</t>
  </si>
  <si>
    <t>PV of FCFF</t>
  </si>
  <si>
    <t>Total enterprise value</t>
  </si>
  <si>
    <t>Net debt</t>
  </si>
  <si>
    <t>Total equity value</t>
  </si>
  <si>
    <t>Intrinsic value</t>
  </si>
  <si>
    <t>Current market price</t>
  </si>
  <si>
    <t>Upside/Downside</t>
  </si>
  <si>
    <t>DCF</t>
  </si>
  <si>
    <t>Relative Valuation</t>
  </si>
  <si>
    <t>EV/EBITDA</t>
  </si>
  <si>
    <t>P/S</t>
  </si>
  <si>
    <t>P/B</t>
  </si>
  <si>
    <t>Average</t>
  </si>
  <si>
    <t>EBITDA</t>
  </si>
  <si>
    <t>Book Value</t>
  </si>
  <si>
    <t>Shares</t>
  </si>
  <si>
    <t>CMP</t>
  </si>
  <si>
    <t>2020-24</t>
  </si>
  <si>
    <t>Avg Capex</t>
  </si>
  <si>
    <t>2025-30</t>
  </si>
  <si>
    <t>Capex CAGR</t>
  </si>
  <si>
    <t>Earnings CAGR</t>
  </si>
  <si>
    <t>Earnings Growth</t>
  </si>
  <si>
    <t>Change in EBIT (historical)</t>
  </si>
  <si>
    <t>Change in CE</t>
  </si>
  <si>
    <t>Incremental ROCE (Historical)</t>
  </si>
  <si>
    <t>Change in EBIT (Forecast)</t>
  </si>
  <si>
    <t>Effective capital</t>
  </si>
  <si>
    <t>Raw ROCE</t>
  </si>
  <si>
    <t>Adjusted ROCE (Forecast)</t>
  </si>
  <si>
    <t>GDP</t>
  </si>
  <si>
    <t>Change</t>
  </si>
  <si>
    <t>Sensitivity</t>
  </si>
  <si>
    <t>EBITDA Margin</t>
  </si>
  <si>
    <t>NPM</t>
  </si>
  <si>
    <t>Net income</t>
  </si>
  <si>
    <t>Terminal growth</t>
  </si>
  <si>
    <t>Intrinsic Value</t>
  </si>
  <si>
    <t>Total Assets</t>
  </si>
  <si>
    <t>General Dynamics</t>
  </si>
  <si>
    <t>L3H</t>
  </si>
  <si>
    <t>Total assets</t>
  </si>
  <si>
    <t>NG</t>
  </si>
  <si>
    <t>GD</t>
  </si>
  <si>
    <t>PV discount rate</t>
  </si>
  <si>
    <t>Target Price</t>
  </si>
  <si>
    <t>U/D</t>
  </si>
  <si>
    <t>Avg</t>
  </si>
  <si>
    <t>Avg Revenue (Exp)</t>
  </si>
  <si>
    <t>Capex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</si>
</sst>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409]* #,##0.00_);_([$$-409]* \(#,##0.00\);_([$$-409]* &quot;-&quot;??_);_(@_)"/>
    <numFmt numFmtId="165" formatCode="_([$$-409]* #,##0_);_([$$-409]* \(#,##0\);_([$$-409]* &quot;-&quot;_);_(@_)"/>
    <numFmt numFmtId="166" formatCode="_-[$$-409]* #,##0.00_ ;_-[$$-409]* \-#,##0.00\ ;_-[$$-409]* &quot;-&quot;??_ ;_-@_ "/>
    <numFmt numFmtId="167" formatCode="0.0%"/>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8"/>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theme="8"/>
        <bgColor theme="8"/>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0"/>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8"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0">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xf>
    <xf numFmtId="43" fontId="0" fillId="0" borderId="0" xfId="1" applyFont="1" applyAlignment="1">
      <alignment horizontal="right" vertical="center"/>
    </xf>
    <xf numFmtId="0" fontId="0" fillId="0" borderId="1"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vertical="center"/>
    </xf>
    <xf numFmtId="164" fontId="0" fillId="0" borderId="1" xfId="0" applyNumberFormat="1" applyBorder="1" applyAlignment="1">
      <alignment horizontal="right" vertical="center"/>
    </xf>
    <xf numFmtId="10" fontId="0" fillId="0" borderId="1" xfId="0" applyNumberFormat="1" applyBorder="1" applyAlignment="1">
      <alignment horizontal="right" vertical="center"/>
    </xf>
    <xf numFmtId="4" fontId="0" fillId="0" borderId="1" xfId="0" applyNumberFormat="1" applyBorder="1" applyAlignment="1">
      <alignment horizontal="right" vertical="center"/>
    </xf>
    <xf numFmtId="165" fontId="0" fillId="0" borderId="1" xfId="0" applyNumberFormat="1" applyBorder="1" applyAlignment="1">
      <alignment horizontal="right" vertical="center"/>
    </xf>
    <xf numFmtId="166" fontId="0" fillId="0" borderId="1" xfId="0" applyNumberFormat="1" applyBorder="1" applyAlignment="1">
      <alignment horizontal="right" vertical="center"/>
    </xf>
    <xf numFmtId="3" fontId="0" fillId="0" borderId="1" xfId="0" applyNumberFormat="1" applyBorder="1" applyAlignment="1">
      <alignment horizontal="right" vertical="center"/>
    </xf>
    <xf numFmtId="43" fontId="0" fillId="0" borderId="1" xfId="1" applyFont="1" applyBorder="1" applyAlignment="1">
      <alignment horizontal="right" vertical="center"/>
    </xf>
    <xf numFmtId="1" fontId="0" fillId="0" borderId="1" xfId="0" applyNumberFormat="1" applyBorder="1" applyAlignment="1">
      <alignment horizontal="right" vertical="center"/>
    </xf>
    <xf numFmtId="0" fontId="2" fillId="2" borderId="1"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xf>
    <xf numFmtId="0" fontId="0" fillId="0" borderId="0" xfId="0" applyAlignment="1">
      <alignment horizontal="center" vertical="center"/>
    </xf>
    <xf numFmtId="0" fontId="3" fillId="0" borderId="0" xfId="0" applyFont="1" applyAlignment="1">
      <alignment horizontal="center" vertical="center"/>
    </xf>
    <xf numFmtId="43" fontId="0" fillId="0" borderId="0" xfId="1" applyFont="1" applyAlignment="1">
      <alignment vertical="center"/>
    </xf>
    <xf numFmtId="10" fontId="0" fillId="0" borderId="0" xfId="2" applyNumberFormat="1" applyFont="1" applyAlignment="1">
      <alignment vertical="center"/>
    </xf>
    <xf numFmtId="43" fontId="0" fillId="0" borderId="0" xfId="0" applyNumberFormat="1" applyAlignment="1">
      <alignment vertical="center"/>
    </xf>
    <xf numFmtId="10" fontId="3" fillId="0" borderId="0" xfId="2" applyNumberFormat="1" applyFont="1" applyAlignment="1">
      <alignment horizontal="center" vertical="center"/>
    </xf>
    <xf numFmtId="10" fontId="0" fillId="0" borderId="1" xfId="2" applyNumberFormat="1" applyFont="1" applyBorder="1" applyAlignment="1">
      <alignment vertical="center"/>
    </xf>
    <xf numFmtId="0" fontId="0" fillId="0" borderId="1" xfId="2" applyNumberFormat="1" applyFont="1" applyBorder="1" applyAlignment="1">
      <alignment horizontal="center" vertical="center"/>
    </xf>
    <xf numFmtId="43" fontId="0" fillId="0" borderId="1" xfId="2" applyNumberFormat="1" applyFont="1" applyBorder="1" applyAlignment="1">
      <alignment vertical="center"/>
    </xf>
    <xf numFmtId="43" fontId="0" fillId="0" borderId="1" xfId="1" applyFont="1" applyBorder="1" applyAlignment="1">
      <alignment vertical="center"/>
    </xf>
    <xf numFmtId="0" fontId="0" fillId="0" borderId="0" xfId="2" applyNumberFormat="1" applyFont="1" applyAlignment="1">
      <alignment horizontal="center"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43" fontId="3" fillId="0" borderId="0" xfId="0" applyNumberFormat="1" applyFont="1" applyAlignment="1">
      <alignment horizontal="center" vertical="center"/>
    </xf>
    <xf numFmtId="43" fontId="0" fillId="0" borderId="0" xfId="0" applyNumberFormat="1" applyAlignment="1">
      <alignment horizontal="center" vertical="center"/>
    </xf>
    <xf numFmtId="43" fontId="0" fillId="0" borderId="0" xfId="1" applyFont="1" applyAlignment="1">
      <alignment horizontal="center" vertical="center"/>
    </xf>
    <xf numFmtId="10" fontId="0" fillId="0" borderId="0" xfId="2" applyNumberFormat="1" applyFont="1" applyAlignment="1">
      <alignment horizontal="right" vertical="center"/>
    </xf>
    <xf numFmtId="0" fontId="0" fillId="0" borderId="0" xfId="2" applyNumberFormat="1" applyFont="1" applyBorder="1" applyAlignment="1">
      <alignment horizontal="center" vertical="center"/>
    </xf>
    <xf numFmtId="43" fontId="0" fillId="0" borderId="1" xfId="0" applyNumberFormat="1" applyBorder="1" applyAlignment="1">
      <alignment vertical="center"/>
    </xf>
    <xf numFmtId="49" fontId="0" fillId="0" borderId="1" xfId="1" applyNumberFormat="1" applyFont="1" applyBorder="1" applyAlignment="1">
      <alignment horizontal="left" vertical="center"/>
    </xf>
    <xf numFmtId="0" fontId="3" fillId="0" borderId="1" xfId="0" applyFont="1" applyBorder="1" applyAlignment="1">
      <alignment vertical="center"/>
    </xf>
    <xf numFmtId="43" fontId="3" fillId="0" borderId="1" xfId="0" applyNumberFormat="1" applyFont="1" applyBorder="1" applyAlignment="1">
      <alignment vertical="center"/>
    </xf>
    <xf numFmtId="43" fontId="0" fillId="0" borderId="1" xfId="0" applyNumberFormat="1" applyBorder="1" applyAlignment="1">
      <alignment horizontal="center" vertical="center"/>
    </xf>
    <xf numFmtId="43" fontId="0" fillId="0" borderId="1" xfId="1" applyFont="1" applyBorder="1" applyAlignment="1">
      <alignment horizontal="center" vertical="center"/>
    </xf>
    <xf numFmtId="10" fontId="0" fillId="0" borderId="1" xfId="2" applyNumberFormat="1" applyFont="1" applyBorder="1" applyAlignment="1">
      <alignment horizontal="right" vertical="center"/>
    </xf>
    <xf numFmtId="0" fontId="2" fillId="3" borderId="6" xfId="0" applyFont="1" applyFill="1" applyBorder="1" applyAlignment="1">
      <alignment horizontal="right" vertical="center"/>
    </xf>
    <xf numFmtId="10" fontId="0" fillId="4" borderId="8" xfId="2" applyNumberFormat="1" applyFont="1" applyFill="1" applyBorder="1" applyAlignment="1">
      <alignment vertical="center"/>
    </xf>
    <xf numFmtId="10" fontId="0" fillId="5" borderId="2" xfId="2" applyNumberFormat="1" applyFont="1" applyFill="1" applyBorder="1" applyAlignment="1">
      <alignment vertical="center"/>
    </xf>
    <xf numFmtId="10" fontId="0" fillId="4" borderId="2" xfId="2" applyNumberFormat="1" applyFont="1" applyFill="1" applyBorder="1" applyAlignment="1">
      <alignment vertical="center"/>
    </xf>
    <xf numFmtId="0" fontId="3" fillId="4" borderId="9" xfId="0" applyFont="1" applyFill="1" applyBorder="1" applyAlignment="1">
      <alignment vertical="center"/>
    </xf>
    <xf numFmtId="10" fontId="3" fillId="4" borderId="2" xfId="2" applyNumberFormat="1" applyFont="1" applyFill="1" applyBorder="1" applyAlignment="1">
      <alignment vertical="center"/>
    </xf>
    <xf numFmtId="0" fontId="3" fillId="5" borderId="9" xfId="0" applyFont="1" applyFill="1" applyBorder="1" applyAlignment="1">
      <alignment vertical="center"/>
    </xf>
    <xf numFmtId="10" fontId="3" fillId="5" borderId="2" xfId="2" applyNumberFormat="1" applyFont="1" applyFill="1" applyBorder="1" applyAlignment="1">
      <alignment vertical="center"/>
    </xf>
    <xf numFmtId="0" fontId="2" fillId="2" borderId="3" xfId="0" applyFont="1" applyFill="1" applyBorder="1" applyAlignment="1">
      <alignment vertical="center"/>
    </xf>
    <xf numFmtId="0" fontId="2" fillId="2" borderId="4" xfId="0" applyFont="1" applyFill="1" applyBorder="1" applyAlignment="1">
      <alignment horizontal="right" vertical="center"/>
    </xf>
    <xf numFmtId="0" fontId="2" fillId="2" borderId="5" xfId="0" applyFont="1" applyFill="1" applyBorder="1" applyAlignment="1">
      <alignment horizontal="right" vertical="center"/>
    </xf>
    <xf numFmtId="0" fontId="0" fillId="6" borderId="10" xfId="0" applyFill="1" applyBorder="1" applyAlignment="1">
      <alignment vertical="center"/>
    </xf>
    <xf numFmtId="0" fontId="0" fillId="6" borderId="11" xfId="0" applyFill="1" applyBorder="1" applyAlignment="1">
      <alignment horizontal="right" vertical="center"/>
    </xf>
    <xf numFmtId="0" fontId="0" fillId="6" borderId="12" xfId="0" applyFill="1" applyBorder="1" applyAlignment="1">
      <alignment horizontal="right" vertical="center"/>
    </xf>
    <xf numFmtId="43" fontId="3" fillId="0" borderId="1" xfId="0" applyNumberFormat="1" applyFont="1" applyBorder="1" applyAlignment="1">
      <alignment horizontal="right" vertical="center"/>
    </xf>
    <xf numFmtId="0" fontId="2" fillId="2" borderId="0" xfId="0" applyFont="1" applyFill="1" applyAlignment="1">
      <alignment vertical="center"/>
    </xf>
    <xf numFmtId="0" fontId="2" fillId="2" borderId="0" xfId="0" applyFont="1" applyFill="1" applyAlignment="1">
      <alignment horizontal="right" vertical="center"/>
    </xf>
    <xf numFmtId="43" fontId="0" fillId="0" borderId="1" xfId="0" applyNumberFormat="1" applyBorder="1" applyAlignment="1">
      <alignment horizontal="right" vertical="center"/>
    </xf>
    <xf numFmtId="0" fontId="0" fillId="0" borderId="0" xfId="0" applyAlignment="1">
      <alignment horizontal="right" vertical="center" wrapText="1"/>
    </xf>
    <xf numFmtId="0" fontId="3" fillId="0" borderId="0" xfId="0" applyFont="1" applyAlignment="1">
      <alignment horizontal="right" vertical="center"/>
    </xf>
    <xf numFmtId="43" fontId="0" fillId="0" borderId="0" xfId="0" applyNumberFormat="1" applyAlignment="1">
      <alignment horizontal="right" vertical="center"/>
    </xf>
    <xf numFmtId="43" fontId="3" fillId="0" borderId="0" xfId="0" applyNumberFormat="1" applyFont="1" applyAlignment="1">
      <alignment horizontal="right" vertical="center"/>
    </xf>
    <xf numFmtId="10" fontId="3" fillId="0" borderId="0" xfId="0" applyNumberFormat="1" applyFont="1" applyAlignment="1">
      <alignment horizontal="right" vertical="center"/>
    </xf>
    <xf numFmtId="0" fontId="3" fillId="0" borderId="0" xfId="0" applyFont="1" applyAlignment="1">
      <alignment vertical="center" wrapText="1"/>
    </xf>
    <xf numFmtId="0" fontId="3" fillId="0" borderId="0" xfId="0" applyFont="1" applyAlignment="1">
      <alignment horizontal="right" vertical="center" wrapText="1"/>
    </xf>
    <xf numFmtId="10" fontId="0" fillId="0" borderId="0" xfId="0" applyNumberFormat="1" applyAlignment="1">
      <alignment vertical="center"/>
    </xf>
    <xf numFmtId="10" fontId="0" fillId="0" borderId="0" xfId="0" applyNumberFormat="1" applyAlignment="1">
      <alignment horizontal="right" vertical="center"/>
    </xf>
    <xf numFmtId="0" fontId="0" fillId="0" borderId="13" xfId="0" applyBorder="1" applyAlignment="1">
      <alignment vertical="center"/>
    </xf>
    <xf numFmtId="43" fontId="0" fillId="0" borderId="13" xfId="1" applyFont="1" applyBorder="1" applyAlignment="1">
      <alignment horizontal="right" vertical="center"/>
    </xf>
    <xf numFmtId="0" fontId="2" fillId="7" borderId="10" xfId="0" applyFont="1" applyFill="1" applyBorder="1" applyAlignment="1">
      <alignment vertical="center"/>
    </xf>
    <xf numFmtId="0" fontId="2" fillId="7" borderId="11" xfId="0" applyFont="1" applyFill="1" applyBorder="1" applyAlignment="1">
      <alignment horizontal="right" vertical="center"/>
    </xf>
    <xf numFmtId="0" fontId="2" fillId="7" borderId="12" xfId="0" applyFont="1" applyFill="1" applyBorder="1" applyAlignment="1">
      <alignment horizontal="right" vertical="center"/>
    </xf>
    <xf numFmtId="10" fontId="0" fillId="0" borderId="13" xfId="0" applyNumberFormat="1" applyBorder="1" applyAlignment="1">
      <alignment horizontal="right" vertical="center"/>
    </xf>
    <xf numFmtId="43" fontId="0" fillId="0" borderId="13" xfId="0" applyNumberFormat="1" applyBorder="1" applyAlignment="1">
      <alignment horizontal="right" vertical="center"/>
    </xf>
    <xf numFmtId="10" fontId="0" fillId="0" borderId="13" xfId="2" applyNumberFormat="1" applyFont="1" applyBorder="1" applyAlignment="1">
      <alignment horizontal="right" vertical="center"/>
    </xf>
    <xf numFmtId="43" fontId="3" fillId="0" borderId="0" xfId="1" applyFont="1" applyAlignment="1">
      <alignment vertical="center"/>
    </xf>
    <xf numFmtId="43" fontId="1" fillId="0" borderId="1" xfId="1" applyFont="1" applyBorder="1" applyAlignment="1">
      <alignment horizontal="right" vertical="center"/>
    </xf>
    <xf numFmtId="0" fontId="2" fillId="3" borderId="0" xfId="0" applyFont="1" applyFill="1" applyAlignment="1">
      <alignment vertical="center"/>
    </xf>
    <xf numFmtId="0" fontId="0" fillId="4" borderId="7" xfId="0" applyFill="1" applyBorder="1" applyAlignment="1">
      <alignment vertical="center"/>
    </xf>
    <xf numFmtId="0" fontId="0" fillId="5" borderId="9" xfId="0" applyFill="1" applyBorder="1" applyAlignment="1">
      <alignment vertical="center"/>
    </xf>
    <xf numFmtId="0" fontId="0" fillId="4" borderId="9" xfId="0" applyFill="1" applyBorder="1" applyAlignment="1">
      <alignment vertical="center"/>
    </xf>
    <xf numFmtId="43" fontId="0" fillId="5" borderId="2" xfId="1" applyFont="1" applyFill="1" applyBorder="1" applyAlignment="1">
      <alignment vertical="center"/>
    </xf>
    <xf numFmtId="43" fontId="0" fillId="4" borderId="2" xfId="1" applyFont="1" applyFill="1" applyBorder="1" applyAlignment="1">
      <alignment vertical="center"/>
    </xf>
    <xf numFmtId="43" fontId="0" fillId="4" borderId="2" xfId="0" applyNumberFormat="1" applyFill="1" applyBorder="1" applyAlignment="1">
      <alignment vertical="center"/>
    </xf>
    <xf numFmtId="10" fontId="0" fillId="4" borderId="8" xfId="2" applyNumberFormat="1" applyFont="1" applyFill="1" applyBorder="1" applyAlignment="1">
      <alignment horizontal="right" vertical="center"/>
    </xf>
    <xf numFmtId="10" fontId="0" fillId="5" borderId="2" xfId="2" applyNumberFormat="1" applyFont="1" applyFill="1" applyBorder="1" applyAlignment="1">
      <alignment horizontal="right" vertical="center"/>
    </xf>
    <xf numFmtId="10" fontId="0" fillId="4" borderId="2" xfId="2" applyNumberFormat="1" applyFont="1" applyFill="1" applyBorder="1" applyAlignment="1">
      <alignment horizontal="right" vertical="center"/>
    </xf>
    <xf numFmtId="43" fontId="0" fillId="4" borderId="2" xfId="1" applyFont="1" applyFill="1" applyBorder="1" applyAlignment="1">
      <alignment horizontal="right" vertical="center"/>
    </xf>
    <xf numFmtId="0" fontId="0" fillId="8" borderId="0" xfId="0" applyFill="1" applyAlignment="1">
      <alignment vertical="center"/>
    </xf>
    <xf numFmtId="10" fontId="0" fillId="8" borderId="0" xfId="2" applyNumberFormat="1" applyFont="1" applyFill="1" applyAlignment="1">
      <alignment vertical="center"/>
    </xf>
    <xf numFmtId="0" fontId="0" fillId="9" borderId="0" xfId="0" applyFill="1" applyAlignment="1">
      <alignment vertical="center"/>
    </xf>
    <xf numFmtId="43" fontId="0" fillId="9" borderId="0" xfId="0" applyNumberFormat="1" applyFill="1" applyAlignment="1">
      <alignment vertical="center"/>
    </xf>
    <xf numFmtId="43" fontId="0" fillId="9" borderId="0" xfId="0" applyNumberFormat="1" applyFill="1" applyAlignment="1">
      <alignment horizontal="right" vertical="center"/>
    </xf>
    <xf numFmtId="49" fontId="0" fillId="0" borderId="0" xfId="0" applyNumberFormat="1" applyAlignment="1">
      <alignment horizontal="left" vertical="center"/>
    </xf>
    <xf numFmtId="49" fontId="3" fillId="0" borderId="0" xfId="0" applyNumberFormat="1" applyFont="1" applyAlignment="1">
      <alignment horizontal="left" vertical="center"/>
    </xf>
    <xf numFmtId="49" fontId="0" fillId="0" borderId="1" xfId="0" applyNumberFormat="1" applyBorder="1" applyAlignment="1">
      <alignment horizontal="left" vertical="center"/>
    </xf>
    <xf numFmtId="49" fontId="3" fillId="0" borderId="1" xfId="0" applyNumberFormat="1" applyFont="1" applyBorder="1" applyAlignment="1">
      <alignment horizontal="left" vertical="center"/>
    </xf>
    <xf numFmtId="0" fontId="0" fillId="0" borderId="14" xfId="0" applyBorder="1" applyAlignment="1">
      <alignment vertical="center"/>
    </xf>
    <xf numFmtId="43" fontId="6" fillId="0" borderId="0" xfId="1" applyFont="1" applyFill="1" applyBorder="1" applyAlignment="1">
      <alignment horizontal="right" vertical="center"/>
    </xf>
    <xf numFmtId="0" fontId="6" fillId="0" borderId="0" xfId="0" applyFont="1" applyAlignment="1">
      <alignment horizontal="right" vertical="center"/>
    </xf>
    <xf numFmtId="49" fontId="6" fillId="0" borderId="0" xfId="1" applyNumberFormat="1" applyFont="1" applyFill="1" applyBorder="1" applyAlignment="1">
      <alignment horizontal="right" vertical="center"/>
    </xf>
    <xf numFmtId="10" fontId="6" fillId="0" borderId="0" xfId="2" applyNumberFormat="1" applyFont="1" applyFill="1" applyBorder="1" applyAlignment="1">
      <alignment horizontal="right" vertical="center"/>
    </xf>
    <xf numFmtId="0" fontId="5" fillId="0" borderId="0" xfId="0" applyFont="1" applyAlignment="1">
      <alignment horizontal="right" vertical="center"/>
    </xf>
    <xf numFmtId="49" fontId="0" fillId="0" borderId="0" xfId="0" applyNumberFormat="1" applyAlignment="1">
      <alignment horizontal="right" vertical="center"/>
    </xf>
    <xf numFmtId="0" fontId="0" fillId="0" borderId="0" xfId="0" applyAlignment="1">
      <alignment horizontal="left" vertical="center"/>
    </xf>
    <xf numFmtId="0" fontId="6" fillId="0" borderId="0" xfId="0" applyFont="1" applyAlignment="1">
      <alignment horizontal="left" vertical="center"/>
    </xf>
    <xf numFmtId="43" fontId="6" fillId="0" borderId="0" xfId="0" applyNumberFormat="1" applyFont="1" applyAlignment="1">
      <alignment horizontal="right" vertical="center"/>
    </xf>
    <xf numFmtId="43" fontId="0" fillId="0" borderId="14" xfId="0" applyNumberFormat="1" applyBorder="1" applyAlignment="1">
      <alignment horizontal="right" vertical="center"/>
    </xf>
    <xf numFmtId="49" fontId="4" fillId="0" borderId="0" xfId="0" applyNumberFormat="1" applyFont="1" applyAlignment="1">
      <alignment horizontal="right" vertical="center"/>
    </xf>
    <xf numFmtId="0" fontId="4" fillId="0" borderId="0" xfId="0" applyFont="1" applyAlignment="1">
      <alignment horizontal="right" vertical="center"/>
    </xf>
    <xf numFmtId="0" fontId="4" fillId="0" borderId="10" xfId="0" applyFont="1" applyBorder="1" applyAlignment="1">
      <alignment horizontal="left" vertical="center"/>
    </xf>
    <xf numFmtId="49" fontId="4" fillId="0" borderId="11" xfId="1" applyNumberFormat="1" applyFont="1" applyBorder="1" applyAlignment="1">
      <alignment horizontal="right" vertical="center"/>
    </xf>
    <xf numFmtId="43" fontId="4" fillId="0" borderId="11" xfId="1" applyFont="1" applyBorder="1" applyAlignment="1">
      <alignment horizontal="right" vertical="center"/>
    </xf>
    <xf numFmtId="0" fontId="4" fillId="0" borderId="12" xfId="0" applyFont="1" applyBorder="1" applyAlignment="1">
      <alignment horizontal="right" vertical="center"/>
    </xf>
    <xf numFmtId="0" fontId="0" fillId="0" borderId="1" xfId="0" applyBorder="1" applyAlignment="1">
      <alignment horizontal="left" vertical="center"/>
    </xf>
    <xf numFmtId="43" fontId="6" fillId="0" borderId="1" xfId="1" applyFont="1" applyBorder="1" applyAlignment="1">
      <alignment horizontal="right" vertical="center"/>
    </xf>
    <xf numFmtId="167" fontId="0" fillId="0" borderId="1" xfId="2" applyNumberFormat="1" applyFont="1" applyBorder="1" applyAlignment="1">
      <alignment horizontal="right" vertical="center"/>
    </xf>
    <xf numFmtId="0" fontId="0" fillId="0" borderId="1" xfId="0" applyBorder="1" applyAlignment="1">
      <alignment horizontal="right" vertical="center"/>
    </xf>
    <xf numFmtId="10" fontId="1" fillId="0" borderId="0" xfId="2" applyNumberFormat="1" applyFont="1" applyAlignment="1">
      <alignment horizontal="right" vertical="center"/>
    </xf>
    <xf numFmtId="10" fontId="3" fillId="0" borderId="0" xfId="2" applyNumberFormat="1" applyFont="1" applyAlignment="1">
      <alignment horizontal="right" vertical="center"/>
    </xf>
    <xf numFmtId="10" fontId="1" fillId="0" borderId="0" xfId="1" applyNumberFormat="1" applyFont="1" applyAlignment="1">
      <alignment horizontal="right" vertical="center"/>
    </xf>
    <xf numFmtId="10" fontId="3" fillId="0" borderId="0" xfId="1" applyNumberFormat="1" applyFont="1" applyAlignment="1">
      <alignment horizontal="right" vertical="center"/>
    </xf>
    <xf numFmtId="43" fontId="1" fillId="0" borderId="0" xfId="2" applyNumberFormat="1" applyFont="1" applyAlignment="1">
      <alignment horizontal="right" vertical="center"/>
    </xf>
    <xf numFmtId="43" fontId="3" fillId="0" borderId="0" xfId="1" applyFont="1" applyAlignment="1">
      <alignment horizontal="right" vertical="center"/>
    </xf>
    <xf numFmtId="10" fontId="0" fillId="0" borderId="1" xfId="0" applyNumberFormat="1" applyBorder="1" applyAlignment="1">
      <alignment vertical="center"/>
    </xf>
    <xf numFmtId="0" fontId="3" fillId="0" borderId="0" xfId="0" applyFont="1" applyAlignment="1">
      <alignment horizontal="center" vertical="center"/>
    </xf>
  </cellXfs>
  <cellStyles count="3">
    <cellStyle name="Comma" xfId="1" builtinId="3"/>
    <cellStyle name="Normal" xfId="0" builtinId="0"/>
    <cellStyle name="Percent" xfId="2" builtinId="5"/>
  </cellStyles>
  <dxfs count="279">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67" formatCode="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1"/>
        <color theme="0"/>
        <name val="Calibri"/>
        <family val="2"/>
        <scheme val="minor"/>
      </font>
      <border diagonalUp="0" diagonalDown="0">
        <left/>
        <right/>
        <top/>
        <bottom/>
        <vertical/>
        <horizontal/>
      </border>
    </dxf>
    <dxf>
      <font>
        <b val="0"/>
        <i val="0"/>
        <strike val="0"/>
        <condense val="0"/>
        <extend val="0"/>
        <outline val="0"/>
        <shadow val="0"/>
        <u val="none"/>
        <vertAlign val="baseline"/>
        <sz val="11"/>
        <color auto="1"/>
        <name val="Calibri"/>
        <family val="2"/>
        <scheme val="minor"/>
      </font>
      <numFmt numFmtId="35" formatCode="_ * #,##0.00_ ;_ * \-#,##0.00_ ;_ * &quot;-&quot;??_ ;_ @_ "/>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C00000"/>
        </patternFill>
      </fill>
      <alignment horizontal="righ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6">
  <rv s="0">
    <v>https://www.bing.com/financeapi/forcetrigger?t=by9i27&amp;q=XLON%3a0R2N&amp;form=skydnc</v>
    <v>Learn more on Bing</v>
  </rv>
  <rv s="1">
    <v>en-IN</v>
    <v>by9i27</v>
    <v>268435456</v>
    <v>1</v>
    <v>Powered by Refinitiv</v>
    <v>0</v>
    <v>RTX CORPORATION (XLON:0R2N)</v>
    <v>2</v>
    <v>3</v>
    <v>Finance</v>
    <v>4</v>
    <v>181.30600000000001</v>
    <v>110.5</v>
    <v>0.43890000000000001</v>
    <v>-3</v>
    <v>-1.7044999999999998E-2</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185000</v>
    <v>London Stock Exchange</v>
    <v>XLON</v>
    <v>XLON</v>
    <v>1000 Wilson Blvd, ARLINGTON, VA, 22209 US</v>
    <v>Aerospace &amp; Defense</v>
    <v>Stock</v>
    <v>45980.800596955465</v>
    <v>0</v>
    <v>234259700000</v>
    <v>RTX CORPORATION</v>
    <v>RTX CORPORATION</v>
    <v>174.3</v>
    <v>35.7699</v>
    <v>176</v>
    <v>173</v>
    <v>1340772000</v>
    <v>0R2N</v>
    <v>RTX CORPORATION (XLON:0R2N)</v>
    <v>489</v>
    <v>3696350</v>
    <v>1934</v>
  </rv>
  <rv s="2">
    <v>1</v>
  </rv>
  <rv s="0">
    <v>https://www.bing.com/financeapi/forcetrigger?t=a1wzw7&amp;q=XNYS%3aLMT&amp;form=skydnc</v>
    <v>Learn more on Bing</v>
  </rv>
  <rv s="3">
    <v>en-IN</v>
    <v>a1wzw7</v>
    <v>268435456</v>
    <v>1</v>
    <v>Powered by Refinitiv</v>
    <v>5</v>
    <v>LOCKHEED MARTIN CORPORATION (XNYS:LMT)</v>
    <v>2</v>
    <v>6</v>
    <v>Finance</v>
    <v>7</v>
    <v>546</v>
    <v>410.11</v>
    <v>0.24479999999999999</v>
    <v>-4.08</v>
    <v>-8.5950000000000002E-3</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121000</v>
    <v>New York Stock Exchange</v>
    <v>XNYS</v>
    <v>XNYS</v>
    <v>6801 ROCKLEDGE DR, BETHESDA, MD, 20817 US</v>
    <v>472.38</v>
    <v>Aerospace &amp; Defense</v>
    <v>Stock</v>
    <v>45980.837260277345</v>
    <v>3</v>
    <v>468.3</v>
    <v>108905060592</v>
    <v>LOCKHEED MARTIN CORPORATION</v>
    <v>LOCKHEED MARTIN CORPORATION</v>
    <v>472.25</v>
    <v>26.216999999999999</v>
    <v>474.72</v>
    <v>470.64</v>
    <v>231397800</v>
    <v>LMT</v>
    <v>LOCKHEED MARTIN CORPORATION (XNYS:LMT)</v>
    <v>501000</v>
    <v>1428059</v>
    <v>1994</v>
  </rv>
  <rv s="2">
    <v>4</v>
  </rv>
  <rv s="0">
    <v>https://www.bing.com/financeapi/forcetrigger?t=a1tppr&amp;q=XNYS%3aGD&amp;form=skydnc</v>
    <v>Learn more on Bing</v>
  </rv>
  <rv s="3">
    <v>en-IN</v>
    <v>a1tppr</v>
    <v>268435456</v>
    <v>1</v>
    <v>Powered by Refinitiv</v>
    <v>5</v>
    <v>GENERAL DYNAMICS CORPORATION (XNYS:GD)</v>
    <v>2</v>
    <v>6</v>
    <v>Finance</v>
    <v>7</v>
    <v>360.5</v>
    <v>239.2</v>
    <v>0.40679999999999999</v>
    <v>0.69499999999999995</v>
    <v>2.036E-3</v>
    <v>USD</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New York Stock Exchange</v>
    <v>XNYS</v>
    <v>XNYS</v>
    <v>11011 Sunset Hills Rd, RESTON, VA, 20190 US</v>
    <v>342.88</v>
    <v>Aerospace &amp; Defense</v>
    <v>Stock</v>
    <v>45980.837230335157</v>
    <v>6</v>
    <v>336.29</v>
    <v>92377159192</v>
    <v>GENERAL DYNAMICS CORPORATION</v>
    <v>GENERAL DYNAMICS CORPORATION</v>
    <v>339.13</v>
    <v>22.171800000000001</v>
    <v>341.29</v>
    <v>341.98500000000001</v>
    <v>270120500</v>
    <v>GD</v>
    <v>GENERAL DYNAMICS CORPORATION (XNYS:GD)</v>
    <v>721082</v>
    <v>1144683</v>
    <v>1952</v>
  </rv>
  <rv s="2">
    <v>7</v>
  </rv>
  <rv s="0">
    <v>https://www.bing.com/financeapi/forcetrigger?t=a1uvar&amp;q=XNYS%3aLHX&amp;form=skydnc</v>
    <v>Learn more on Bing</v>
  </rv>
  <rv s="3">
    <v>en-IN</v>
    <v>a1uvar</v>
    <v>268435456</v>
    <v>1</v>
    <v>Powered by Refinitiv</v>
    <v>5</v>
    <v>L3HARRIS TECHNOLOGIES, INC. (XNYS:LHX)</v>
    <v>2</v>
    <v>6</v>
    <v>Finance</v>
    <v>7</v>
    <v>308.12</v>
    <v>193.09</v>
    <v>0.65180000000000005</v>
    <v>-0.22989999999999999</v>
    <v>-8.0539999999999995E-4</v>
    <v>USD</v>
    <v>L3Harris Technologies, Inc. provides end-to-end technology solutions connecting the space, air, land, sea and cyber domains in the interest of national security. Its segments include Space &amp; Airborne Systems (SAS), Integrated Mission Systems (IMS), Communication Systems (CS), and Aerojet Rocketdyne (AR). The SAS segment supplies full mission solutions as a prime and subsystem integrator in the space, airborne and cyber domains. The IMS segment delivers differentiated mission capabilities and prime systems integration to support intelligence, reconnaissance and surveillance (ISR), passive sensing and targeting, electronic attack, autonomy, power and communications, networks and sensors. CS enables warfighters across all domains with solutions critical to mission success even in the contested environments. The AR segment provides propulsion, power and armament products and systems to the U.S. Government, including the DoD, NASA and various aerospace and defense prime contractors.</v>
    <v>47000</v>
    <v>New York Stock Exchange</v>
    <v>XNYS</v>
    <v>XNYS</v>
    <v>1025 W Nasa Blvd, MELBOURNE, FL, 32919-0001 US</v>
    <v>286.05</v>
    <v>Aerospace &amp; Defense</v>
    <v>Stock</v>
    <v>45980.837222140624</v>
    <v>9</v>
    <v>282.50009999999997</v>
    <v>53392360000</v>
    <v>L3HARRIS TECHNOLOGIES, INC.</v>
    <v>L3HARRIS TECHNOLOGIES, INC.</v>
    <v>283.52</v>
    <v>30.6295</v>
    <v>285.44</v>
    <v>285.21010000000001</v>
    <v>187052900</v>
    <v>LHX</v>
    <v>L3HARRIS TECHNOLOGIES, INC. (XNYS:LHX)</v>
    <v>534162</v>
    <v>1169116</v>
    <v>1926</v>
  </rv>
  <rv s="2">
    <v>10</v>
  </rv>
  <rv s="0">
    <v>https://www.bing.com/financeapi/forcetrigger?t=a1yngh&amp;q=XNYS%3aNOC&amp;form=skydnc</v>
    <v>Learn more on Bing</v>
  </rv>
  <rv s="3">
    <v>en-IN</v>
    <v>a1yngh</v>
    <v>268435456</v>
    <v>1</v>
    <v>Powered by Refinitiv</v>
    <v>5</v>
    <v>NORTHROP GRUMMAN CORPORATION (XNYS:NOC)</v>
    <v>2</v>
    <v>6</v>
    <v>Finance</v>
    <v>7</v>
    <v>640.90099999999995</v>
    <v>426.24</v>
    <v>5.6500000000000002E-2</v>
    <v>-0.64</v>
    <v>-1.129E-3</v>
    <v>USD</v>
    <v>Northrop Grumman Corporation is a global aerospace and defense technology company. Its segments include Aeronautics Systems, Defense Systems, Mission Systems, and Space Systems. Aeronautics Systems is engaged in the design, development, production, integration, sustainment and modernization of military aircraft systems for the United States Air Force, the United States Navy, other United States government agencies, and international customers. Defense Systems is engaged in the design, engineering, development, integration, and manufacturing of deterrent systems, advanced tactical weapons, and missile defense solutions. Mission Systems is a provider of mission solutions and multifunction systems. Its products and services include command, control, communications and computers, and reconnaissance (C4ISR) systems. Space Systems delivers end-to-end mission solutions through the design, development, integration, production and operation of space, missile defense, and launch systems.</v>
    <v>97000</v>
    <v>New York Stock Exchange</v>
    <v>XNYS</v>
    <v>XNYS</v>
    <v>2980 Fairview Park Drive, FALLS CHURCH, VA, 22042 US</v>
    <v>566.66099999999994</v>
    <v>Aerospace &amp; Defense</v>
    <v>Stock</v>
    <v>45980.837229363278</v>
    <v>12</v>
    <v>557.97500000000002</v>
    <v>80796703012</v>
    <v>NORTHROP GRUMMAN CORPORATION</v>
    <v>NORTHROP GRUMMAN CORPORATION</v>
    <v>560.69000000000005</v>
    <v>20.375699999999998</v>
    <v>566.76</v>
    <v>566.12</v>
    <v>142720100</v>
    <v>NOC</v>
    <v>NORTHROP GRUMMAN CORPORATION (XNYS:NOC)</v>
    <v>361441</v>
    <v>812006</v>
    <v>2010</v>
  </rv>
  <rv s="2">
    <v>13</v>
  </rv>
  <rv s="0">
    <v>https://www.bing.com/financeapi/forcetrigger?t=azjgkr&amp;q=XBOM%3a541154&amp;form=skydnc</v>
    <v>Learn more on Bing</v>
  </rv>
  <rv s="3">
    <v>en-IN</v>
    <v>azjgkr</v>
    <v>268435456</v>
    <v>1</v>
    <v>Powered by Refinitiv</v>
    <v>5</v>
    <v>HINDUSTAN AERONAUTICS LIMITED (XBOM:541154)</v>
    <v>2</v>
    <v>8</v>
    <v>Finance</v>
    <v>9</v>
    <v>5166</v>
    <v>3045.95</v>
    <v>1.4863999999999999</v>
    <v>-64.3</v>
    <v>-1.3372E-2</v>
    <v>INR</v>
    <v>Hindustan Aeronautics Limited is an India-based company engaged in the design, development, manufacture, repair, overhaul, upgrade, and servicing of a wide range of products, including aircraft, helicopters, aero-engines, avionics, accessories, and aerospace structures. The Company’s aircraft products include the HAWK, Light Combat Aircraft (LCA), SU-30 MKI, Intermediate Jet Trainer (IJT), Dornier, and HTT-40. Its helicopter products include the Dhruv, Cheetah, Chetak, Lancer, Cheetal, Rudra, Light Combat Helicopter (LCH), and Light Utility Helicopter (LUH). Its civil aviation products include Do-228 Aircraft (Civil) and DHRUV (ALH) - NG. Its space products include Structures, Propellant Tank, and Cryogenic Engines. Its system products include Flight Data Recorder, Panel Instruments, Ground Radars, Forgings, Castings, and Others. Its maintenance, repair, and operations (MRO) products include Aircraft MRO, Helicopter MRO, Power Plant Services, and Systems, Accessories and Avionics.</v>
    <v>23999</v>
    <v>Bombay Stock Exchange</v>
    <v>XBOM</v>
    <v>XBOM</v>
    <v>15/1, Cubbon Road, BANGALORE, KARNATAKA, 560001 IN</v>
    <v>4820.8</v>
    <v>Aerospace &amp; Defense</v>
    <v>Stock</v>
    <v>45980.750405092593</v>
    <v>15</v>
    <v>4738</v>
    <v>3215403000000</v>
    <v>HINDUSTAN AERONAUTICS LIMITED</v>
    <v>HINDUSTAN AERONAUTICS LIMITED</v>
    <v>4787.5</v>
    <v>37.97</v>
    <v>4808.55</v>
    <v>4744.25</v>
    <v>668775000</v>
    <v>541154</v>
    <v>HINDUSTAN AERONAUTICS LIMITED (XBOM:541154)</v>
    <v>59576</v>
    <v>1174730</v>
    <v>1963</v>
  </rv>
  <rv s="2">
    <v>16</v>
  </rv>
  <rv s="0">
    <v>https://www.bing.com/financeapi/forcetrigger?t=ah7pa2&amp;q=XBOM%3a500049&amp;form=skydnc</v>
    <v>Learn more on Bing</v>
  </rv>
  <rv s="3">
    <v>en-IN</v>
    <v>ah7pa2</v>
    <v>268435456</v>
    <v>1</v>
    <v>Powered by Refinitiv</v>
    <v>5</v>
    <v>BHARAT ELECTRONICS LIMITED (XBOM:500049)</v>
    <v>2</v>
    <v>8</v>
    <v>Finance</v>
    <v>9</v>
    <v>435.95</v>
    <v>240.15</v>
    <v>1.0831999999999999</v>
    <v>2.5499999999999998</v>
    <v>6.0590000000000001E-3</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Bombay Stock Exchange</v>
    <v>XBOM</v>
    <v>XBOM</v>
    <v>Outer Ring Road, Nagavara, BANGALORE, KARNATAKA, 560045 IN</v>
    <v>424</v>
    <v>Aerospace &amp; Defense</v>
    <v>Stock</v>
    <v>45980.750405092593</v>
    <v>18</v>
    <v>415.1</v>
    <v>3076686000000</v>
    <v>BHARAT ELECTRONICS LIMITED</v>
    <v>BHARAT ELECTRONICS LIMITED</v>
    <v>420.85</v>
    <v>54.03</v>
    <v>420.85</v>
    <v>423.4</v>
    <v>7309779000</v>
    <v>500049</v>
    <v>BHARAT ELECTRONICS LIMITED (XBOM:500049)</v>
    <v>482594</v>
    <v>13530710</v>
    <v>1954</v>
  </rv>
  <rv s="2">
    <v>19</v>
  </rv>
  <rv s="0">
    <v>https://www.bing.com/financeapi/forcetrigger?t=a1o4ec&amp;q=XNYS%3aBA&amp;form=skydnc</v>
    <v>Learn more on Bing</v>
  </rv>
  <rv s="3">
    <v>en-IN</v>
    <v>a1o4ec</v>
    <v>268435456</v>
    <v>1</v>
    <v>Powered by Refinitiv</v>
    <v>5</v>
    <v>THE BOEING COMPANY (XNYS:BA)</v>
    <v>2</v>
    <v>6</v>
    <v>Finance</v>
    <v>7</v>
    <v>242.68989999999999</v>
    <v>128.8801</v>
    <v>1.1757</v>
    <v>-4.7050000000000001</v>
    <v>-2.4811E-2</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172000</v>
    <v>New York Stock Exchange</v>
    <v>XNYS</v>
    <v>XNYS</v>
    <v>929 Long Bridge Drive, ARLINGTON, VA, 22202 US</v>
    <v>188.93</v>
    <v>Aerospace &amp; Defense</v>
    <v>Stock</v>
    <v>45980.837253529688</v>
    <v>21</v>
    <v>183.01</v>
    <v>140560660337</v>
    <v>THE BOEING COMPANY</v>
    <v>THE BOEING COMPANY</v>
    <v>188.93</v>
    <v>0</v>
    <v>189.63</v>
    <v>184.92500000000001</v>
    <v>760095500</v>
    <v>BA</v>
    <v>THE BOEING COMPANY (XNYS:BA)</v>
    <v>9780695</v>
    <v>7959152</v>
    <v>1934</v>
  </rv>
  <rv s="2">
    <v>22</v>
  </rv>
  <rv s="0">
    <v>https://www.bing.com/financeapi/forcetrigger?t=a1ut3m&amp;q=XNAS%3aHON&amp;form=skydnc</v>
    <v>Learn more on Bing</v>
  </rv>
  <rv s="3">
    <v>en-IN</v>
    <v>a1ut3m</v>
    <v>268435456</v>
    <v>1</v>
    <v>Powered by Refinitiv</v>
    <v>5</v>
    <v>HONEYWELL INTERNATIONAL INCORPORATION (XNAS:HON)</v>
    <v>2</v>
    <v>6</v>
    <v>Finance</v>
    <v>7</v>
    <v>227.74010000000001</v>
    <v>168.98670000000001</v>
    <v>0.95650000000000002</v>
    <v>-1.31</v>
    <v>-6.8430000000000001E-3</v>
    <v>USD</v>
    <v>Honeywell International Inc. is an integrated operating company serving a range of industries and geographies around the world, with a portfolio that is underpinned by its Honeywell Accelerator operating system and Honeywell Forge platform. The Company provides actionable solutions for aerospace, building automation, industrial automation, process automation, and process technology. The Company supplies products, software, and services for aircrafts that it sells to original equipment manufacturers (OEM) and other customers in a variety of end markets. The Company’s portfolio of solutions and services is used in buildings worldwide for fire prevention, controls, access and security. Its offerings serve as the fundamental building blocks of industrial automation. Its sensor technologies and value-added smart edge devices offer connectivity across a variety of sensing and measurement applications. The Company offers a comprehensive portfolio of end-to-end process automation solutions.</v>
    <v>102000</v>
    <v>Nasdaq Stock Market</v>
    <v>XNAS</v>
    <v>XNAS</v>
    <v>855 S. Mint Street, CHARLOTTE, NC, 28202 US</v>
    <v>191.35</v>
    <v>Consumer Goods Conglomerates</v>
    <v>Stock</v>
    <v>45980.837245207811</v>
    <v>24</v>
    <v>189.005</v>
    <v>121549200000</v>
    <v>HONEYWELL INTERNATIONAL INCORPORATION</v>
    <v>HONEYWELL INTERNATIONAL INCORPORATION</v>
    <v>190.67500000000001</v>
    <v>20.035599999999999</v>
    <v>191.45</v>
    <v>190.14</v>
    <v>634887200</v>
    <v>HON</v>
    <v>HONEYWELL INTERNATIONAL INCORPORATION (XNAS:HON)</v>
    <v>1600019</v>
    <v>4654337</v>
    <v>1985</v>
  </rv>
  <rv s="2">
    <v>25</v>
  </rv>
  <rv s="0">
    <v>https://www.bing.com/financeapi/forcetrigger?t=ae9y1h&amp;q=XPAR%3aSAF&amp;form=skydnc</v>
    <v>Learn more on Bing</v>
  </rv>
  <rv s="3">
    <v>en-IN</v>
    <v>ae9y1h</v>
    <v>268435456</v>
    <v>1</v>
    <v>Powered by Refinitiv</v>
    <v>5</v>
    <v>Safran SA (XPAR:SAF)</v>
    <v>2</v>
    <v>10</v>
    <v>Finance</v>
    <v>9</v>
    <v>314.10000000000002</v>
    <v>190.7</v>
    <v>1.1120000000000001</v>
    <v>-0.4</v>
    <v>-1.3370000000000001E-3</v>
    <v>EUR</v>
    <v>Safran SA is a France-based high-technology company that carries out research, design, development, testing, manufacturing, sales, maintenance, and support operations for its high-technology activities. The Company’s segments are: Aerospace Propulsion, Aircraft Equipment and Aircraft Interiors. The Aerospace Propulsion segment designs, develops, produces, and markets, propulsion and mechanical power transmission systems for commercial aircraft, military transport, training and combat aircraft, civil and military helicopters, satellites, and drones. It also includes maintenance, repair, and overhaul (MRO) activities and the sale of spare parts. The Aircraft Equipment segment operates in five main sectors: Landing and braking systems, Engine systems and equipment, Electrical systems, and engineering, Aerosystems, and Electronics &amp; Defense. The Aircraft Interiors segment covers seats and cabin fittings, closets, in-flight entertainment systems and flight-deck equipment.</v>
    <v>100000</v>
    <v>Euronext Paris</v>
    <v>XPAR</v>
    <v>XPAR</v>
    <v>2, Boulevard du General Martial Valin, PARIS, ILE-DE-FRANCE, 75724 FR</v>
    <v>300.7</v>
    <v>Aerospace &amp; Defense</v>
    <v>Stock</v>
    <v>45980.708333333336</v>
    <v>27</v>
    <v>296.39999999999998</v>
    <v>126750900000</v>
    <v>Safran SA</v>
    <v>Safran SA</v>
    <v>300.3</v>
    <v>29.026299999999999</v>
    <v>299.2</v>
    <v>298.8</v>
    <v>423632600</v>
    <v>SAF</v>
    <v>Safran SA (XPAR:SAF)</v>
    <v>400618</v>
    <v>381290</v>
    <v>1956</v>
  </rv>
  <rv s="2">
    <v>28</v>
  </rv>
  <rv s="0">
    <v>https://www.bing.com/financeapi/forcetrigger?t=ao69im&amp;q=XLON%3aBA.&amp;form=skydnc</v>
    <v>Learn more on Bing</v>
  </rv>
  <rv s="3">
    <v>en-IN</v>
    <v>ao69im</v>
    <v>268435456</v>
    <v>1</v>
    <v>Powered by Refinitiv</v>
    <v>5</v>
    <v>BAE SYSTEMS PLC (XLON:BA.)</v>
    <v>2</v>
    <v>11</v>
    <v>Finance</v>
    <v>4</v>
    <v>2073</v>
    <v>1127</v>
    <v>-0.2838</v>
    <v>-80.5</v>
    <v>-4.4598000000000006E-2</v>
    <v>GBp</v>
    <v>BAE Systems plc provides advanced, technology-led defense, aerospace, and security solutions. The Company is a provider of space, aircraft, weapon systems and munitions, Complex warships, Submarines, Embedding environmental considerations, Intelligence and cyber security, Naval ship repair and support, and Uncrewed and future air system capabilities. Its Electronic Systems segment comprises the United States and United Kingdom-based electronics activities, including electronic warfare systems, navigation systems, and others. Its Platforms &amp; Services segment, with operations in the United States, Sweden and the United Kingdom, manufactures and upgrades combat vehicles, weapons and munitions, and delivers services and sustainment activities Its Air segment comprises air build and support activities. Its Maritime segment comprises maritime and land activities. Its Cyber &amp; Intelligence segment comprises the Intelligence and Security business and the Digital Intelligence business.</v>
    <v>109700</v>
    <v>London Stock Exchange</v>
    <v>XLON</v>
    <v>XLON</v>
    <v>6 Carlton Gardens, Stirling Square, LONDON, SW1Y 5AD GB</v>
    <v>1802.5</v>
    <v>Aerospace &amp; Defense</v>
    <v>Stock</v>
    <v>45980.686686469533</v>
    <v>30</v>
    <v>1709.5</v>
    <v>54205390000</v>
    <v>BAE SYSTEMS PLC</v>
    <v>BAE SYSTEMS PLC</v>
    <v>1802</v>
    <v>26.128599999999999</v>
    <v>1805</v>
    <v>1724.5</v>
    <v>3003069000</v>
    <v>BA.</v>
    <v>BAE SYSTEMS PLC (XLON:BA.)</v>
    <v>6274352</v>
    <v>5139180</v>
    <v>1979</v>
  </rv>
  <rv s="2">
    <v>31</v>
  </rv>
  <rv s="4">
    <v>en-IN</v>
    <v>cd1tu2</v>
    <v>268435456</v>
    <v>1</v>
    <v>Powered by Refinitiv</v>
    <v>12</v>
    <v>Rheinmetall AG (XMEX:RHMN)</v>
    <v>13</v>
    <v>14</v>
    <v>Finance</v>
    <v>15</v>
    <v>42533.97</v>
    <v>19723.82</v>
    <v>0.3639</v>
    <v>-2602.39</v>
    <v>-7.1128999999999998E-2</v>
    <v>MXN</v>
    <v>Rheinmetall AG is a Germany-based Company. The Company’s focus is on security technology and mobility solutions. It operates through two segments and five divisions such as defense and automotive segments. The vehicle systems, electronic solutions and weapon and ammunition divisions are operating under security and defense segment and the sensors and actuators and materials and trade divisions supply under automotive segment. The vehicle systems division activity areas are armored tracked vehicles, chemical, biological, radiological and nuclear protection equipment. The weapon and ammunition providing activities in weapons and munitions, propellants, protection systems. The electronic solutions operating areas are air defense systems, soldier systems, command, control and reconnaissance systems, fire control systems. The material and trade operate in engine blocks, structural components and cylinder heads, plain bearings. The sensors and actuators operate in emissions reduction.</v>
    <v>31537</v>
    <v>Mexican Stock Exchange</v>
    <v>XMEX</v>
    <v>XMEX</v>
    <v>Rheinmetall Platz 1, DUESSELDORF, NORDRHEIN-WESTFALEN, 40476 DE</v>
    <v>33984.39</v>
    <v>Aerospace &amp; Defense</v>
    <v>Stock</v>
    <v>45980.622337962966</v>
    <v>33984.39</v>
    <v>78940350000</v>
    <v>Rheinmetall AG</v>
    <v>Rheinmetall AG</v>
    <v>33984.39</v>
    <v>36586.78</v>
    <v>33984.39</v>
    <v>46002530</v>
    <v>RHMN</v>
    <v>Rheinmetall AG (XMEX:RHMN)</v>
    <v>1225</v>
    <v>179300</v>
    <v>2001</v>
  </rv>
  <rv s="2">
    <v>33</v>
  </rv>
  <rv s="0">
    <v>https://www.bing.com/financeapi/forcetrigger?t=ae8w52&amp;q=XPAR%3aHO&amp;form=skydnc</v>
    <v>Learn more on Bing</v>
  </rv>
  <rv s="3">
    <v>en-IN</v>
    <v>ae8w52</v>
    <v>268435456</v>
    <v>1</v>
    <v>Powered by Refinitiv</v>
    <v>5</v>
    <v>Thales SA (XPAR:HO)</v>
    <v>2</v>
    <v>10</v>
    <v>Finance</v>
    <v>9</v>
    <v>279.3</v>
    <v>134.19999999999999</v>
    <v>0.26829999999999998</v>
    <v>-5.9</v>
    <v>-2.4707E-2</v>
    <v>EUR</v>
    <v>Thales SA is a France-based technology company. The Company provides a range of solutions divided into three segments: Aerospace systems, Defense and security systems, Digital identification and security solutions. The aerospace systems segment provides avionics equipment such as cockpit, cabin multimedia, and simulation equipment and space systems include satellites and payload technologies, among others. Its Defense and security systems segment includes control and monitoring, communication, protection, cybersecurity, and related technologies, radars and optronics. The company’s Cyber and Digital segment offers cybersecurity solutions such as data security, application security as well as digital identity and biometrics solutions to banks, mobile network operators and governments.</v>
    <v>83020</v>
    <v>Euronext Paris</v>
    <v>XPAR</v>
    <v>XPAR</v>
    <v>4 rue de la Verrerie, MEUDON, ILE-DE-FRANCE, 92190 FR</v>
    <v>240</v>
    <v>Aerospace &amp; Defense</v>
    <v>Stock</v>
    <v>45980.708333333336</v>
    <v>35</v>
    <v>229.9</v>
    <v>49178930000</v>
    <v>Thales SA</v>
    <v>Thales SA</v>
    <v>239.6</v>
    <v>33.741399999999999</v>
    <v>238.8</v>
    <v>232.9</v>
    <v>205941900</v>
    <v>HO</v>
    <v>Thales SA (XPAR:HO)</v>
    <v>243442</v>
    <v>225190</v>
    <v>1949</v>
  </rv>
  <rv s="2">
    <v>36</v>
  </rv>
  <rv s="0">
    <v>https://www.bing.com/financeapi/forcetrigger?t=afkj27&amp;q=XFRA%3aSDV&amp;form=skydnc</v>
    <v>Learn more on Bing</v>
  </rv>
  <rv s="3">
    <v>en-IN</v>
    <v>afkj27</v>
    <v>268435456</v>
    <v>1</v>
    <v>Powered by Refinitiv</v>
    <v>5</v>
    <v>Saab AB (XFRA:SDV1)</v>
    <v>2</v>
    <v>16</v>
    <v>Finance</v>
    <v>9</v>
    <v>86.96</v>
    <v>14.895</v>
    <v>-0.18629999999999999</v>
    <v>-2.0099999999999998</v>
    <v>-4.2967000000000005E-2</v>
    <v>EUR</v>
    <v>Saab AB is a Sweden-based company offering products and services ranging from military defense to civil security. The Company’s operations are divided into six business areas. The Aeronautics includes the development of civil and military aviation technology, including the Gripen and Unmanned Aerial Systems. The Dynamics comprises a product portfolio of weapon systems, such as support weapons, missiles, Remotely Operated Vehicles and signature management systems. The Electronic Defense Systems provides airbone, land-based and naval systems and radar, signals intelligence and self-protection. The Security and Defense Solutions provides the military and civil security market with, among others, computerized command, control, communications and intelligence systems. The Support and Services offers service and support to the Saab’s clients. Among others, the Company operates through Thyssen Krupp Marine Systems AB and Nordic Defence Industries, a producer of mine disposal charge systems.</v>
    <v>27270</v>
    <v>Deutsche Boerse AG</v>
    <v>XFRA</v>
    <v>XFRA</v>
    <v>Broderna Ugglas Gata, LINKOPING, OSTERGOTLAND, 582 54 SE</v>
    <v>47</v>
    <v>Aerospace &amp; Defense</v>
    <v>Stock</v>
    <v>45980.826388888891</v>
    <v>38</v>
    <v>44.664999999999999</v>
    <v>275091800000</v>
    <v>Saab AB</v>
    <v>Saab AB</v>
    <v>46.84</v>
    <v>42.235799999999998</v>
    <v>46.78</v>
    <v>44.77</v>
    <v>533847800</v>
    <v>SDV1</v>
    <v>Saab AB (XFRA:SDV1)</v>
    <v>1912</v>
    <v>1946550</v>
    <v>1937</v>
  </rv>
  <rv s="2">
    <v>39</v>
  </rv>
  <rv s="5">
    <v>en-IN</v>
    <v>cax327</v>
    <v>268435456</v>
    <v>1</v>
    <v>Powered by Refinitiv</v>
    <v>17</v>
    <v>Kongsberg Gruppen ASA (XFRA:KOZ0)</v>
    <v>13</v>
    <v>18</v>
    <v>Finance</v>
    <v>9</v>
    <v>0.75480000000000003</v>
    <v>-1</v>
    <v>-9.2592999999999995E-2</v>
    <v>EUR</v>
    <v>Kongsberg Gruppen ASA is a Norway-based international technology company, whose objective is to engage in technological and industrial activities in the maritime, defense and related sectors. The Company has three operating segments organized by industry: Kongsberg Maritime (KM), Kongsberg Defense &amp; Aerospace (KDA) and Kongsberg Digital (KDI). Kongsberg Maritime develops and supplies technology that contribute to the realization of sustainable management of the ocean space, Kongsberg Defense &amp; Aerospace supplies various systems and services to the defense industry, while Kongsberg Digital is focused on taking up new and strengthening existing positions related to digitalization within the oil and gas, wind and merchant marine markets. Kongsberg Gruppen ASA has several subsidiaries, including Kongsberg Defence &amp; Aerospace AS, Kongsberg Martime China Ltd, Kongsberg Oil &amp; Gas Tecnologies AS og Kongsberg Maritime AS.</v>
    <v>15529</v>
    <v>Deutsche Boerse AG</v>
    <v>XFRA</v>
    <v>XFRA</v>
    <v>Kirkegardsveien 45, KONGSBERG, BUSKERUD, 3616 NO</v>
    <v>10.4</v>
    <v>Aerospace &amp; Defense</v>
    <v>Stock</v>
    <v>45980.806944444441</v>
    <v>9.8000000000000007</v>
    <v>213525100000</v>
    <v>Kongsberg Gruppen ASA</v>
    <v>Kongsberg Gruppen ASA</v>
    <v>9.9</v>
    <v>10.8</v>
    <v>9.8000000000000007</v>
    <v>879609300</v>
    <v>KOZ0</v>
    <v>Kongsberg Gruppen ASA (XFRA:KOZ0)</v>
    <v>235</v>
    <v>888800</v>
    <v>1995</v>
  </rv>
  <rv s="2">
    <v>41</v>
  </rv>
  <rv s="0">
    <v>https://www.bing.com/financeapi/forcetrigger?t=ae7r27&amp;q=XPAR%3aAM&amp;form=skydnc</v>
    <v>Learn more on Bing</v>
  </rv>
  <rv s="3">
    <v>en-IN</v>
    <v>ae7r27</v>
    <v>268435456</v>
    <v>1</v>
    <v>Powered by Refinitiv</v>
    <v>5</v>
    <v>Dassault Aviation SA (XPAR:AM)</v>
    <v>2</v>
    <v>10</v>
    <v>Finance</v>
    <v>9</v>
    <v>332.2</v>
    <v>185.3</v>
    <v>0.46250000000000002</v>
    <v>-8.1999999999999993</v>
    <v>-2.9140000000000003E-2</v>
    <v>EUR</v>
    <v>Dassault Aviation SA is a France-based company that operates in the global civil and military aviation industry. The Company specializes in the design, manufacture and sale of combat aircrafts and executive jets. Its portfolio of products includes Falcon family for the civil aviation market, as well as Mirage 2000, Rafale and Neuron aircrafts for the military sector. It also offers spare parts, tools and a range of services, such as technical support, maintenance and repair of airframe equipment and parts, among others. The Company has its offices in Europe, Asia, South America and Middle East. Dassault Aviation SA has a number of subsidiaries, located in Europe and Northern America, including DFJ-Little Rock, Sogitec Industries, DFJ Wilmington Corp., DFJ Teterboro, Dassault Falcon Service - Le Bourget, Aero-Precision Repair &amp; Overhaul Co., Inc, Dassault Procurement Services Inc., Dassault Aircraft Services and Midway Aircraft Instruments Company.</v>
    <v>14589</v>
    <v>Euronext Paris</v>
    <v>XPAR</v>
    <v>XPAR</v>
    <v>9, Rond-Point des Champs-Elysees, Marcel-Dassault, PARIS, ILE-DE-FRANCE, 75008 FR</v>
    <v>284</v>
    <v>Aerospace &amp; Defense</v>
    <v>Stock</v>
    <v>45980.708333333336</v>
    <v>43</v>
    <v>273.2</v>
    <v>22060930000</v>
    <v>Dassault Aviation SA</v>
    <v>Dassault Aviation SA</v>
    <v>282.39999999999998</v>
    <v>23.897300000000001</v>
    <v>281.39999999999998</v>
    <v>273.2</v>
    <v>78397030</v>
    <v>AM</v>
    <v>Dassault Aviation SA (XPAR:AM)</v>
    <v>60341</v>
    <v>42330</v>
    <v>1971</v>
  </rv>
  <rv s="2">
    <v>44</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ExchangeID</v>
      <v t="s">%ProviderInfo</v>
    </a>
  </spbArrays>
  <spbData count="19">
    <spb s="0">
      <v>0</v>
      <v>Name</v>
      <v>LearnMoreOnLink</v>
    </spb>
    <spb s="1">
      <v>0</v>
      <v>0</v>
      <v>0</v>
    </spb>
    <spb s="2">
      <v>1</v>
      <v>1</v>
      <v>1</v>
      <v>1</v>
    </spb>
    <spb s="3">
      <v>1</v>
      <v>1</v>
      <v>2</v>
      <v>3</v>
      <v>3</v>
      <v>3</v>
      <v>4</v>
      <v>4</v>
      <v>5</v>
      <v>6</v>
      <v>3</v>
      <v>3</v>
      <v>3</v>
      <v>4</v>
      <v>7</v>
      <v>8</v>
      <v>9</v>
      <v>4</v>
    </spb>
    <spb s="4">
      <v>Delayed 15 minutes</v>
      <v>from previous close</v>
      <v>from previous close</v>
      <v>LSE</v>
      <v>GMT</v>
    </spb>
    <spb s="0">
      <v>1</v>
      <v>Name</v>
      <v>LearnMoreOnLink</v>
    </spb>
    <spb s="5">
      <v>3</v>
      <v>1</v>
      <v>1</v>
      <v>3</v>
      <v>2</v>
      <v>3</v>
      <v>3</v>
      <v>3</v>
      <v>4</v>
      <v>4</v>
      <v>5</v>
      <v>6</v>
      <v>3</v>
      <v>3</v>
      <v>3</v>
      <v>4</v>
      <v>7</v>
      <v>8</v>
      <v>9</v>
      <v>4</v>
    </spb>
    <spb s="4">
      <v>Real-Time Nasdaq Last Sale</v>
      <v>from previous close</v>
      <v>from previous close</v>
      <v>Source: Nasdaq Last Sale</v>
      <v>GMT</v>
    </spb>
    <spb s="5">
      <v>10</v>
      <v>1</v>
      <v>1</v>
      <v>10</v>
      <v>2</v>
      <v>10</v>
      <v>10</v>
      <v>10</v>
      <v>4</v>
      <v>4</v>
      <v>5</v>
      <v>11</v>
      <v>10</v>
      <v>10</v>
      <v>10</v>
      <v>4</v>
      <v>7</v>
      <v>8</v>
      <v>9</v>
      <v>4</v>
    </spb>
    <spb s="6">
      <v>Delayed 15 minutes</v>
      <v>from previous close</v>
      <v>from previous close</v>
      <v>GMT</v>
    </spb>
    <spb s="5">
      <v>12</v>
      <v>1</v>
      <v>1</v>
      <v>12</v>
      <v>2</v>
      <v>12</v>
      <v>12</v>
      <v>12</v>
      <v>4</v>
      <v>4</v>
      <v>5</v>
      <v>13</v>
      <v>12</v>
      <v>12</v>
      <v>12</v>
      <v>4</v>
      <v>7</v>
      <v>8</v>
      <v>9</v>
      <v>4</v>
    </spb>
    <spb s="5">
      <v>14</v>
      <v>1</v>
      <v>1</v>
      <v>14</v>
      <v>2</v>
      <v>14</v>
      <v>14</v>
      <v>14</v>
      <v>4</v>
      <v>4</v>
      <v>5</v>
      <v>15</v>
      <v>14</v>
      <v>14</v>
      <v>14</v>
      <v>4</v>
      <v>7</v>
      <v>8</v>
      <v>9</v>
      <v>4</v>
    </spb>
    <spb s="7">
      <v>2</v>
      <v>Name</v>
    </spb>
    <spb s="8">
      <v>1</v>
      <v>1</v>
      <v>1</v>
    </spb>
    <spb s="9">
      <v>16</v>
      <v>1</v>
      <v>16</v>
      <v>2</v>
      <v>16</v>
      <v>16</v>
      <v>16</v>
      <v>4</v>
      <v>4</v>
      <v>5</v>
      <v>13</v>
      <v>16</v>
      <v>16</v>
      <v>16</v>
      <v>4</v>
      <v>7</v>
      <v>8</v>
      <v>9</v>
      <v>4</v>
    </spb>
    <spb s="6">
      <v>Delayed 20 minutes</v>
      <v>from previous close</v>
      <v>from previous close</v>
      <v>GMT</v>
    </spb>
    <spb s="5">
      <v>12</v>
      <v>1</v>
      <v>1</v>
      <v>12</v>
      <v>2</v>
      <v>12</v>
      <v>12</v>
      <v>12</v>
      <v>4</v>
      <v>4</v>
      <v>5</v>
      <v>17</v>
      <v>12</v>
      <v>12</v>
      <v>12</v>
      <v>4</v>
      <v>7</v>
      <v>8</v>
      <v>9</v>
      <v>4</v>
    </spb>
    <spb s="7">
      <v>3</v>
      <v>Name</v>
    </spb>
    <spb s="10">
      <v>12</v>
      <v>1</v>
      <v>12</v>
      <v>2</v>
      <v>12</v>
      <v>12</v>
      <v>12</v>
      <v>4</v>
      <v>4</v>
      <v>5</v>
      <v>18</v>
      <v>12</v>
      <v>4</v>
      <v>7</v>
      <v>8</v>
      <v>9</v>
      <v>4</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P/E" t="i"/>
    <k n="Beta"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x:dxf>
      <x:numFmt numFmtId="35" formatCode="_ * #,##0.00_ ;_ * \-#,##0.00_ ;_ * &quot;-&quot;??_ ;_ @_ "/>
    </x:dxf>
  </dxfs>
  <richProperties>
    <rPr n="NumberFormat" t="s"/>
    <rPr n="IsTitleField" t="b"/>
  </richProperties>
  <richStyles>
    <rSty dxfid="5">
      <rpv i="0">#,##0.00</rpv>
    </rSty>
    <rSty>
      <rpv i="1">1</rpv>
    </rSty>
    <rSty dxfid="1">
      <rpv i="0">_([$$-en-US]* #,##0.00_);_([$$-en-US]* (#,##0.00);_([$$-en-US]* "-"??_);_(@_)</rpv>
    </rSty>
    <rSty dxfid="4">
      <rpv i="0">#,##0</rpv>
    </rSty>
    <rSty dxfid="3"/>
    <rSty dxfid="1">
      <rpv i="0">_([$$-en-US]* #,##0_);_([$$-en-US]* (#,##0);_([$$-en-US]* "-"_);_(@_)</rpv>
    </rSty>
    <rSty dxfid="2"/>
    <rSty dxfid="6">
      <rpv i="0">0</rpv>
    </rSty>
    <rSty dxfid="0">
      <rpv i="0">0.00</rpv>
    </rSty>
    <rSty dxfid="1">
      <rpv i="0" xml:space="preserve">_ [$₹-en-IN] * #,##0.00_ ;_ [$₹-en-IN] * -#,##0.00_ ;_ [$₹-en-IN] * "-"??_ ;_ @_ </rpv>
    </rSty>
    <rSty dxfid="1">
      <rpv i="0" xml:space="preserve">_ [$₹-en-IN] * #,##0_ ;_ [$₹-en-IN] * -#,##0_ ;_ [$₹-en-IN] * "-"_ ;_ @_ </rpv>
    </rSty>
    <rSty dxfid="1">
      <rpv i="0">_([$€-x-euro2] * #,##0.00_);_([$€-x-euro2] * (#,##0.00);_([$€-x-euro2] * "-"??_);_(@_)</rpv>
    </rSty>
    <rSty dxfid="1">
      <rpv i="0">_([$€-x-euro2] * #,##0_);_([$€-x-euro2] * (#,##0);_([$€-x-euro2] * "-"_);_(@_)</rpv>
    </rSty>
    <rSty dxfid="7">
      <rpv i="0">_(* #,##0.00_);_(* (#,##0.00);_(* "-"??_);_(@_)</rpv>
    </rSty>
    <rSty dxfid="1">
      <rpv i="0">_-[$£-en-GB]* #,##0_-;-[$£-en-GB]* #,##0_-;_-[$£-en-GB]* "-"_-;_-@_-</rpv>
    </rSty>
    <rSty dxfid="1">
      <rpv i="0">_-[$$-es-MX]* #,##0.00_-;-[$$-es-MX]* #,##0.00_-;_-[$$-es-MX]* "-"??_-;_-@_-</rpv>
    </rSty>
    <rSty dxfid="1">
      <rpv i="0">_-* #,##0 [$kr-smj-SE]_-;-* #,##0 [$kr-smj-SE]_-;_-* "-" [$kr-smj-SE]_-;_-@_-</rpv>
    </rSty>
    <rSty dxfid="1">
      <rpv i="0" xml:space="preserve">_ [$kr-smj-NO] * #,##0_ ;_ [$kr-smj-NO] * -#,##0_ ;_ [$kr-smj-NO] * "-"_ ;_ @_ </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DDD401-A3E6-40C4-BB04-71FD3D9253F1}" name="Table1" displayName="Table1" ref="A2:F10" totalsRowShown="0" headerRowDxfId="278" dataDxfId="277">
  <autoFilter ref="A2:F10" xr:uid="{0CDDD401-A3E6-40C4-BB04-71FD3D9253F1}">
    <filterColumn colId="0" hiddenButton="1"/>
    <filterColumn colId="1" hiddenButton="1"/>
    <filterColumn colId="2" hiddenButton="1"/>
    <filterColumn colId="3" hiddenButton="1"/>
    <filterColumn colId="4" hiddenButton="1"/>
    <filterColumn colId="5" hiddenButton="1"/>
  </autoFilter>
  <tableColumns count="6">
    <tableColumn id="1" xr3:uid="{8C5BBD60-F0CD-4AFB-8DD8-5DAD42A35852}" name="Particulars" dataDxfId="276"/>
    <tableColumn id="2" xr3:uid="{A17CBC22-360D-42B3-8CCF-B02A226D99F0}" name="2020" dataDxfId="275" dataCellStyle="Comma"/>
    <tableColumn id="3" xr3:uid="{69F6E783-4362-4D3A-8791-F63CF4687702}" name="2021" dataDxfId="274" dataCellStyle="Comma"/>
    <tableColumn id="4" xr3:uid="{2D0649A7-1F9A-4EA0-8AB2-2F67D117E8E2}" name="2022" dataDxfId="273" dataCellStyle="Comma"/>
    <tableColumn id="5" xr3:uid="{DA3EAAA9-E055-4E36-866A-13EA76B3EA29}" name="2023" dataDxfId="272" dataCellStyle="Comma"/>
    <tableColumn id="6" xr3:uid="{B5F82A33-ABA8-47F6-B7AD-395F360A5B86}" name="2024" dataDxfId="271" dataCellStyle="Comm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4332E7-5C77-4D2D-A464-6FE55EF32632}" name="Table2" displayName="Table2" ref="A13:F22" totalsRowShown="0" headerRowDxfId="270" dataDxfId="269">
  <autoFilter ref="A13:F22" xr:uid="{744332E7-5C77-4D2D-A464-6FE55EF32632}">
    <filterColumn colId="0" hiddenButton="1"/>
    <filterColumn colId="1" hiddenButton="1"/>
    <filterColumn colId="2" hiddenButton="1"/>
    <filterColumn colId="3" hiddenButton="1"/>
    <filterColumn colId="4" hiddenButton="1"/>
    <filterColumn colId="5" hiddenButton="1"/>
  </autoFilter>
  <tableColumns count="6">
    <tableColumn id="1" xr3:uid="{43AAA801-B27B-4F44-8ADF-DCC1EAA8A217}" name="Particulars" dataDxfId="268"/>
    <tableColumn id="2" xr3:uid="{E9E58019-1C94-4DDC-A0DE-BD721A777CD3}" name="2020" dataDxfId="267" dataCellStyle="Comma"/>
    <tableColumn id="3" xr3:uid="{C4F93EA2-377E-4990-87AB-66EEF79C94DC}" name="2021" dataDxfId="266" dataCellStyle="Comma"/>
    <tableColumn id="4" xr3:uid="{35CD197A-496A-4223-9E70-5B54D5C1A289}" name="2022" dataDxfId="265" dataCellStyle="Comma"/>
    <tableColumn id="5" xr3:uid="{94482960-0EAB-4A2B-8255-45E9337AD9FF}" name="2023" dataDxfId="264" dataCellStyle="Comma"/>
    <tableColumn id="6" xr3:uid="{848DC8FE-B610-4965-917E-5344C9324F54}" name="2024" dataDxfId="263" dataCellStyle="Comm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FAC38B-E702-4A25-8FFE-C08B20CC70A8}" name="Table3" displayName="Table3" ref="A25:F30" totalsRowShown="0" headerRowDxfId="262" dataDxfId="261">
  <autoFilter ref="A25:F30" xr:uid="{7CFAC38B-E702-4A25-8FFE-C08B20CC70A8}">
    <filterColumn colId="0" hiddenButton="1"/>
    <filterColumn colId="1" hiddenButton="1"/>
    <filterColumn colId="2" hiddenButton="1"/>
    <filterColumn colId="3" hiddenButton="1"/>
    <filterColumn colId="4" hiddenButton="1"/>
    <filterColumn colId="5" hiddenButton="1"/>
  </autoFilter>
  <tableColumns count="6">
    <tableColumn id="1" xr3:uid="{AA9DDC4B-B8B9-4A5F-A5BC-AA89EEA2FAF8}" name="Particulars" dataDxfId="260"/>
    <tableColumn id="2" xr3:uid="{A40562B5-B8EC-4C69-9B43-169996413DA7}" name="2020" dataDxfId="259" dataCellStyle="Comma"/>
    <tableColumn id="3" xr3:uid="{86CA1E78-1937-4C7A-965A-8E18D52C4ACB}" name="2021" dataDxfId="258" dataCellStyle="Comma"/>
    <tableColumn id="4" xr3:uid="{B63C7144-5B10-43B7-B200-F101F61DA560}" name="2022" dataDxfId="257" dataCellStyle="Comma"/>
    <tableColumn id="5" xr3:uid="{FF4B3A8F-3508-48A4-80E0-5ECFDCBA1500}" name="2023" dataDxfId="256" dataCellStyle="Comma"/>
    <tableColumn id="6" xr3:uid="{D6DB2FD1-F37F-4834-8094-DD08B1AE6486}" name="2024" dataDxfId="255" dataCellStyle="Comma"/>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BF5FD8-FB67-41B3-987E-F35843C60A7D}" name="Table18" displayName="Table18" ref="H2:M10" totalsRowShown="0" headerRowDxfId="254" dataDxfId="253">
  <autoFilter ref="H2:M10" xr:uid="{D5BF5FD8-FB67-41B3-987E-F35843C60A7D}">
    <filterColumn colId="0" hiddenButton="1"/>
    <filterColumn colId="1" hiddenButton="1"/>
    <filterColumn colId="2" hiddenButton="1"/>
    <filterColumn colId="3" hiddenButton="1"/>
    <filterColumn colId="4" hiddenButton="1"/>
    <filterColumn colId="5" hiddenButton="1"/>
  </autoFilter>
  <tableColumns count="6">
    <tableColumn id="1" xr3:uid="{DA531D10-85EC-4CAD-9060-E16073F8B788}" name="Particulars" dataDxfId="252"/>
    <tableColumn id="2" xr3:uid="{D9FC2992-FCBA-46E9-B2FD-5CE0821B0FFA}" name="2020" dataDxfId="251" dataCellStyle="Comma"/>
    <tableColumn id="3" xr3:uid="{11456E5B-0AE6-4CDB-907B-151317BD56D7}" name="2021" dataDxfId="250" dataCellStyle="Comma"/>
    <tableColumn id="4" xr3:uid="{A0BB2176-CEBE-45FA-B118-7FD7355317C1}" name="2022" dataDxfId="249" dataCellStyle="Comma"/>
    <tableColumn id="5" xr3:uid="{42182116-6DD7-4E79-94C7-A115D9FAD814}" name="2023" dataDxfId="248" dataCellStyle="Comma"/>
    <tableColumn id="6" xr3:uid="{232FBC2A-A9A4-4569-97EB-3C3585F999DC}" name="2024" dataDxfId="247" dataCellStyle="Comma"/>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FBF8357-4434-40D3-93F0-605907D7122C}" name="Table29" displayName="Table29" ref="H13:M23" totalsRowShown="0" headerRowDxfId="246" dataDxfId="245">
  <autoFilter ref="H13:M23" xr:uid="{FFBF8357-4434-40D3-93F0-605907D7122C}">
    <filterColumn colId="0" hiddenButton="1"/>
    <filterColumn colId="1" hiddenButton="1"/>
    <filterColumn colId="2" hiddenButton="1"/>
    <filterColumn colId="3" hiddenButton="1"/>
    <filterColumn colId="4" hiddenButton="1"/>
    <filterColumn colId="5" hiddenButton="1"/>
  </autoFilter>
  <tableColumns count="6">
    <tableColumn id="1" xr3:uid="{55C3BD5C-A1BA-4627-B0EA-B076AA3FF518}" name="Particulars" dataDxfId="244"/>
    <tableColumn id="2" xr3:uid="{0B48EA04-2AA0-4997-A30A-60345EDC90BB}" name="2020" dataDxfId="243" dataCellStyle="Comma"/>
    <tableColumn id="3" xr3:uid="{92E6C7A5-AC2B-4893-AA77-F8D91F196FDC}" name="2021" dataDxfId="242" dataCellStyle="Comma"/>
    <tableColumn id="4" xr3:uid="{811DAA65-9D60-47BA-950B-32CF10FE5C44}" name="2022" dataDxfId="241" dataCellStyle="Comma"/>
    <tableColumn id="5" xr3:uid="{A6D8BAE5-04A2-4067-AA19-7BB775514B06}" name="2023" dataDxfId="240" dataCellStyle="Comma"/>
    <tableColumn id="6" xr3:uid="{F12491BC-AB4B-437F-ADCC-10C09E4ECB95}" name="2024" dataDxfId="239" dataCellStyle="Comma"/>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38E6F8-55AA-43F1-A6F7-66457419A70C}" name="Table310" displayName="Table310" ref="H26:M31" totalsRowShown="0" headerRowDxfId="238" dataDxfId="237">
  <autoFilter ref="H26:M31" xr:uid="{D038E6F8-55AA-43F1-A6F7-66457419A70C}">
    <filterColumn colId="0" hiddenButton="1"/>
    <filterColumn colId="1" hiddenButton="1"/>
    <filterColumn colId="2" hiddenButton="1"/>
    <filterColumn colId="3" hiddenButton="1"/>
    <filterColumn colId="4" hiddenButton="1"/>
    <filterColumn colId="5" hiddenButton="1"/>
  </autoFilter>
  <tableColumns count="6">
    <tableColumn id="1" xr3:uid="{FB16003A-E140-48F9-B847-F244EF4EE543}" name="Particulars" dataDxfId="236"/>
    <tableColumn id="2" xr3:uid="{9006BB0E-B196-427E-B89F-EAC6E697F61F}" name="2020" dataDxfId="235" dataCellStyle="Comma"/>
    <tableColumn id="3" xr3:uid="{633B56F8-7CF5-4101-8970-F2E1761862B3}" name="2021" dataDxfId="234" dataCellStyle="Comma"/>
    <tableColumn id="4" xr3:uid="{315B8DB7-F54E-47E8-A213-0ED0EBCCDBE0}" name="2022" dataDxfId="233" dataCellStyle="Comma"/>
    <tableColumn id="5" xr3:uid="{ED703BD3-6DA5-4BDB-989E-428740751E7C}" name="2023" dataDxfId="232" dataCellStyle="Comma"/>
    <tableColumn id="6" xr3:uid="{71D9B610-7C73-403E-AF69-E123B0FFA801}" name="2024" dataDxfId="231" dataCellStyle="Comma"/>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CED27CE-6654-4819-B77D-F815390D5851}" name="Table119" displayName="Table119" ref="O2:T10" totalsRowShown="0" headerRowDxfId="230" dataDxfId="229">
  <autoFilter ref="O2:T10" xr:uid="{ECED27CE-6654-4819-B77D-F815390D5851}">
    <filterColumn colId="0" hiddenButton="1"/>
    <filterColumn colId="1" hiddenButton="1"/>
    <filterColumn colId="2" hiddenButton="1"/>
    <filterColumn colId="3" hiddenButton="1"/>
    <filterColumn colId="4" hiddenButton="1"/>
    <filterColumn colId="5" hiddenButton="1"/>
  </autoFilter>
  <tableColumns count="6">
    <tableColumn id="1" xr3:uid="{9D0AFC9B-D93A-4111-8764-AE52B4AE9521}" name="Particulars" dataDxfId="228"/>
    <tableColumn id="2" xr3:uid="{1CDF9DF8-AD62-4B98-8AFE-986240C4E12F}" name="2020" dataDxfId="227" dataCellStyle="Comma"/>
    <tableColumn id="3" xr3:uid="{8C401E5A-7010-4113-B0D3-A64F4CA6023E}" name="2021" dataDxfId="226" dataCellStyle="Comma"/>
    <tableColumn id="4" xr3:uid="{7440F016-4C59-484B-9B34-136BC012C49D}" name="2022" dataDxfId="225" dataCellStyle="Comma"/>
    <tableColumn id="5" xr3:uid="{77656F4B-A2B9-462B-9775-73BFED4C4A87}" name="2023" dataDxfId="224" dataCellStyle="Comma"/>
    <tableColumn id="6" xr3:uid="{B7C2F239-5859-495E-A8EE-4CA6069893D4}" name="2024" dataDxfId="223" dataCellStyle="Comma"/>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7A5C23F-F91C-45A9-820B-834C9EC8915C}" name="Table220" displayName="Table220" ref="O13:T23" totalsRowShown="0" headerRowDxfId="222" dataDxfId="221">
  <autoFilter ref="O13:T23" xr:uid="{07A5C23F-F91C-45A9-820B-834C9EC8915C}">
    <filterColumn colId="0" hiddenButton="1"/>
    <filterColumn colId="1" hiddenButton="1"/>
    <filterColumn colId="2" hiddenButton="1"/>
    <filterColumn colId="3" hiddenButton="1"/>
    <filterColumn colId="4" hiddenButton="1"/>
    <filterColumn colId="5" hiddenButton="1"/>
  </autoFilter>
  <tableColumns count="6">
    <tableColumn id="1" xr3:uid="{7BCC8536-55E4-43C8-A75F-B5225EFF4498}" name="Particulars" dataDxfId="220"/>
    <tableColumn id="2" xr3:uid="{11A88B75-FEB0-4553-B615-1B3B216DFCD8}" name="2020" dataDxfId="219" dataCellStyle="Comma"/>
    <tableColumn id="3" xr3:uid="{A4254DFD-86E7-4B02-8034-0DBD75ED8A82}" name="2021" dataDxfId="218" dataCellStyle="Comma"/>
    <tableColumn id="4" xr3:uid="{4AA2DDCA-B5E9-467F-8FCB-D292DC7E7C7F}" name="2022" dataDxfId="217" dataCellStyle="Comma"/>
    <tableColumn id="5" xr3:uid="{E5C893EB-6A23-4A2D-8364-F8CF7CA1EE13}" name="2023" dataDxfId="216" dataCellStyle="Comma"/>
    <tableColumn id="6" xr3:uid="{5A1DD25E-1033-49C5-914D-981395D35D20}" name="2024" dataDxfId="215" dataCellStyle="Comma"/>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FB80BE7-B65B-4791-A87D-30F88CBBE5AE}" name="Table321" displayName="Table321" ref="O26:T31" totalsRowShown="0" headerRowDxfId="214" dataDxfId="213">
  <autoFilter ref="O26:T31" xr:uid="{EFB80BE7-B65B-4791-A87D-30F88CBBE5AE}">
    <filterColumn colId="0" hiddenButton="1"/>
    <filterColumn colId="1" hiddenButton="1"/>
    <filterColumn colId="2" hiddenButton="1"/>
    <filterColumn colId="3" hiddenButton="1"/>
    <filterColumn colId="4" hiddenButton="1"/>
    <filterColumn colId="5" hiddenButton="1"/>
  </autoFilter>
  <tableColumns count="6">
    <tableColumn id="1" xr3:uid="{CE4FF4F0-F6C0-4EF3-B3E0-AE9C10E36B0E}" name="Particulars" dataDxfId="212"/>
    <tableColumn id="2" xr3:uid="{305D905B-5BF5-40E7-83BB-F0F4EF3C5670}" name="2020" dataDxfId="211" dataCellStyle="Comma"/>
    <tableColumn id="3" xr3:uid="{94CD946F-CD16-455B-BC72-C0595E1F3055}" name="2021" dataDxfId="210" dataCellStyle="Comma"/>
    <tableColumn id="4" xr3:uid="{EE7A6967-708E-4BA1-8975-12C52EED1662}" name="2022" dataDxfId="209" dataCellStyle="Comma"/>
    <tableColumn id="5" xr3:uid="{57158DEA-0AD5-4DFF-B103-374B96E0564D}" name="2023" dataDxfId="208" dataCellStyle="Comma"/>
    <tableColumn id="6" xr3:uid="{A2239630-20A5-4CE2-A64F-DFB04F13BDFD}" name="2024" dataDxfId="207" dataCellStyle="Comma"/>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326058A-CD97-425D-BC0F-8D9A2D290A0F}" name="Table1822" displayName="Table1822" ref="W2:AB10" totalsRowShown="0" headerRowDxfId="206" dataDxfId="205">
  <autoFilter ref="W2:AB10" xr:uid="{8326058A-CD97-425D-BC0F-8D9A2D290A0F}">
    <filterColumn colId="0" hiddenButton="1"/>
    <filterColumn colId="1" hiddenButton="1"/>
    <filterColumn colId="2" hiddenButton="1"/>
    <filterColumn colId="3" hiddenButton="1"/>
    <filterColumn colId="4" hiddenButton="1"/>
    <filterColumn colId="5" hiddenButton="1"/>
  </autoFilter>
  <tableColumns count="6">
    <tableColumn id="1" xr3:uid="{E2639B71-E94A-48FD-BDA4-3A7299DDD61F}" name="Particulars" dataDxfId="204"/>
    <tableColumn id="2" xr3:uid="{E4C932AF-CAD9-45F8-8462-43A05C96679D}" name="2020" dataDxfId="203" dataCellStyle="Comma"/>
    <tableColumn id="3" xr3:uid="{769FF928-88AC-4A2D-8942-9E3DB8424D05}" name="2021" dataDxfId="202" dataCellStyle="Comma"/>
    <tableColumn id="4" xr3:uid="{B8FD35C9-4552-4498-8CEC-92190B77A9FA}" name="2022" dataDxfId="201" dataCellStyle="Comma"/>
    <tableColumn id="5" xr3:uid="{6D0C3F09-E50C-4A38-8A28-35A5F815F91E}" name="2023" dataDxfId="200" dataCellStyle="Comma"/>
    <tableColumn id="6" xr3:uid="{9024A88E-2817-41F1-94F8-8D662C7BBE72}" name="2024" dataDxfId="199" dataCellStyle="Comma"/>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B9699F6-A8BE-4358-9FCF-59E8065580ED}" name="Table2923" displayName="Table2923" ref="W13:AB23" totalsRowShown="0" headerRowDxfId="198" dataDxfId="197">
  <autoFilter ref="W13:AB23" xr:uid="{3B9699F6-A8BE-4358-9FCF-59E8065580ED}">
    <filterColumn colId="0" hiddenButton="1"/>
    <filterColumn colId="1" hiddenButton="1"/>
    <filterColumn colId="2" hiddenButton="1"/>
    <filterColumn colId="3" hiddenButton="1"/>
    <filterColumn colId="4" hiddenButton="1"/>
    <filterColumn colId="5" hiddenButton="1"/>
  </autoFilter>
  <tableColumns count="6">
    <tableColumn id="1" xr3:uid="{BD998518-64C6-4DA1-822A-89DB1C6DD9BD}" name="Particulars" dataDxfId="196"/>
    <tableColumn id="2" xr3:uid="{C653C4EE-FB9C-4B99-99F3-B72ADADBDC75}" name="2020" dataDxfId="195" dataCellStyle="Comma"/>
    <tableColumn id="3" xr3:uid="{0E68B713-6189-49F5-AB7C-FC497B113DFC}" name="2021" dataDxfId="194" dataCellStyle="Comma"/>
    <tableColumn id="4" xr3:uid="{A0EC6762-EAD9-457D-9FB4-ADC787DD736F}" name="2022" dataDxfId="193" dataCellStyle="Comma"/>
    <tableColumn id="5" xr3:uid="{B5010BAB-AFD6-4D47-BDFD-CF63B17AA58E}" name="2023" dataDxfId="192" dataCellStyle="Comma"/>
    <tableColumn id="6" xr3:uid="{6FE01B92-FBE3-4BD0-B1E2-944DFAC85015}" name="2024" dataDxfId="191" dataCellStyle="Comma"/>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47C0454-BF4A-4315-8847-CBCAA043916B}" name="Table31024" displayName="Table31024" ref="W26:AB31" totalsRowShown="0" headerRowDxfId="190" dataDxfId="189">
  <autoFilter ref="W26:AB31" xr:uid="{947C0454-BF4A-4315-8847-CBCAA043916B}">
    <filterColumn colId="0" hiddenButton="1"/>
    <filterColumn colId="1" hiddenButton="1"/>
    <filterColumn colId="2" hiddenButton="1"/>
    <filterColumn colId="3" hiddenButton="1"/>
    <filterColumn colId="4" hiddenButton="1"/>
    <filterColumn colId="5" hiddenButton="1"/>
  </autoFilter>
  <tableColumns count="6">
    <tableColumn id="1" xr3:uid="{E09104CD-3C37-4424-9AB6-B297F9F80F0E}" name="Particulars" dataDxfId="188"/>
    <tableColumn id="2" xr3:uid="{1BB95A34-4EEE-49A3-B8F9-370285E60EAE}" name="2020" dataDxfId="187" dataCellStyle="Comma"/>
    <tableColumn id="3" xr3:uid="{215E5191-F7DA-4AA7-A741-04FCE9A35CAE}" name="2021" dataDxfId="186" dataCellStyle="Comma"/>
    <tableColumn id="4" xr3:uid="{25D3FC53-B5D8-4AE2-BF76-7132144A2228}" name="2022" dataDxfId="185" dataCellStyle="Comma"/>
    <tableColumn id="5" xr3:uid="{04833C7F-F048-441A-8FD4-E7992C47F3D5}" name="2023" dataDxfId="184" dataCellStyle="Comma"/>
    <tableColumn id="6" xr3:uid="{572208BF-1CC0-4957-8247-6620E5CBC008}" name="2024" dataDxfId="183" dataCellStyle="Comma"/>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01AC381-7726-4CBE-9295-A57AC54A69B2}" name="Table182225" displayName="Table182225" ref="AE2:AJ10" totalsRowShown="0" headerRowDxfId="182" dataDxfId="181">
  <autoFilter ref="AE2:AJ10" xr:uid="{E01AC381-7726-4CBE-9295-A57AC54A69B2}">
    <filterColumn colId="0" hiddenButton="1"/>
    <filterColumn colId="1" hiddenButton="1"/>
    <filterColumn colId="2" hiddenButton="1"/>
    <filterColumn colId="3" hiddenButton="1"/>
    <filterColumn colId="4" hiddenButton="1"/>
    <filterColumn colId="5" hiddenButton="1"/>
  </autoFilter>
  <tableColumns count="6">
    <tableColumn id="1" xr3:uid="{1AEF1697-3735-46E0-AA4D-19050B13226E}" name="Particulars" dataDxfId="180"/>
    <tableColumn id="2" xr3:uid="{D2197282-E653-410B-A5D7-95249E778423}" name="2020" dataDxfId="179" dataCellStyle="Comma"/>
    <tableColumn id="3" xr3:uid="{89BD3551-ED5F-414E-AB80-2B07B81A6AC1}" name="2021" dataDxfId="178" dataCellStyle="Comma"/>
    <tableColumn id="4" xr3:uid="{F31E57A0-F2FE-4FA8-A4B1-F0151E010993}" name="2022" dataDxfId="177" dataCellStyle="Comma"/>
    <tableColumn id="5" xr3:uid="{B17CD9F0-9021-4F1E-805C-D82145749174}" name="2023" dataDxfId="176" dataCellStyle="Comma"/>
    <tableColumn id="6" xr3:uid="{7F1C3AF6-62A7-4FB5-90B4-2990713A9DCA}" name="2024" dataDxfId="175" dataCellStyle="Comma"/>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08B70E0-C7C7-4397-9328-0EB5D3266AC2}" name="Table292326" displayName="Table292326" ref="AE13:AJ23" totalsRowShown="0" headerRowDxfId="174" dataDxfId="173">
  <autoFilter ref="AE13:AJ23" xr:uid="{208B70E0-C7C7-4397-9328-0EB5D3266AC2}">
    <filterColumn colId="0" hiddenButton="1"/>
    <filterColumn colId="1" hiddenButton="1"/>
    <filterColumn colId="2" hiddenButton="1"/>
    <filterColumn colId="3" hiddenButton="1"/>
    <filterColumn colId="4" hiddenButton="1"/>
    <filterColumn colId="5" hiddenButton="1"/>
  </autoFilter>
  <tableColumns count="6">
    <tableColumn id="1" xr3:uid="{50AE638C-66A6-49EF-BF66-873AC9331141}" name="Particulars" dataDxfId="172"/>
    <tableColumn id="2" xr3:uid="{C563A258-B947-4B2C-A03F-8EFFDAC15EBB}" name="2020" dataDxfId="171" dataCellStyle="Comma"/>
    <tableColumn id="3" xr3:uid="{C029C6B7-56F7-4160-B3B1-FB864D5CD4C6}" name="2021" dataDxfId="170" dataCellStyle="Comma"/>
    <tableColumn id="4" xr3:uid="{F73DDAEA-90EC-4E39-BC29-BC6D0D341B20}" name="2022" dataDxfId="169" dataCellStyle="Comma"/>
    <tableColumn id="5" xr3:uid="{C03B38DB-8C40-4FE3-A40F-E2EB82142CD7}" name="2023" dataDxfId="168" dataCellStyle="Comma"/>
    <tableColumn id="6" xr3:uid="{A5E16CED-5231-4AAC-A4CC-44FDA6DAA3CB}" name="2024" dataDxfId="167" dataCellStyle="Comma"/>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FFE2BC8-D7BE-43AC-ADC9-7FA65C4F4FAE}" name="Table3102427" displayName="Table3102427" ref="AE26:AJ31" totalsRowShown="0" headerRowDxfId="166" dataDxfId="165">
  <autoFilter ref="AE26:AJ31" xr:uid="{BFFE2BC8-D7BE-43AC-ADC9-7FA65C4F4FAE}">
    <filterColumn colId="0" hiddenButton="1"/>
    <filterColumn colId="1" hiddenButton="1"/>
    <filterColumn colId="2" hiddenButton="1"/>
    <filterColumn colId="3" hiddenButton="1"/>
    <filterColumn colId="4" hiddenButton="1"/>
    <filterColumn colId="5" hiddenButton="1"/>
  </autoFilter>
  <tableColumns count="6">
    <tableColumn id="1" xr3:uid="{5D7C4A82-76C5-4ECF-9998-EABC7330EAEE}" name="Particulars" dataDxfId="164"/>
    <tableColumn id="2" xr3:uid="{9F2A428F-67AD-47AF-8F8C-89F449E1BF6C}" name="2020" dataDxfId="163" dataCellStyle="Comma"/>
    <tableColumn id="3" xr3:uid="{9CC8BF88-84C5-4523-92A3-5270EFF6B9FD}" name="2021" dataDxfId="162" dataCellStyle="Comma"/>
    <tableColumn id="4" xr3:uid="{BDC53E76-CAC3-4138-8A0A-E37ECF596FBB}" name="2022" dataDxfId="161" dataCellStyle="Comma"/>
    <tableColumn id="5" xr3:uid="{A3ACC467-17B2-4755-B1F7-B2372BEDC88B}" name="2023" dataDxfId="160" dataCellStyle="Comma"/>
    <tableColumn id="6" xr3:uid="{26CB7EE4-0139-4A8D-B200-2FC4ECCEDEF9}" name="2024" dataDxfId="159" dataCellStyle="Comma"/>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E5F493-E280-4B02-8C32-F968C6D31F9C}" name="Table4" displayName="Table4" ref="O34:T37" totalsRowShown="0" headerRowDxfId="49" dataDxfId="50">
  <autoFilter ref="O34:T37" xr:uid="{28E5F493-E280-4B02-8C32-F968C6D31F9C}">
    <filterColumn colId="0" hiddenButton="1"/>
    <filterColumn colId="1" hiddenButton="1"/>
    <filterColumn colId="2" hiddenButton="1"/>
    <filterColumn colId="3" hiddenButton="1"/>
    <filterColumn colId="4" hiddenButton="1"/>
    <filterColumn colId="5" hiddenButton="1"/>
  </autoFilter>
  <tableColumns count="6">
    <tableColumn id="1" xr3:uid="{826548C7-31BC-440B-8A65-C6DE15367572}" name="Particulars" dataDxfId="48"/>
    <tableColumn id="2" xr3:uid="{A38321F9-40D5-4856-B730-FBF92176E156}" name="2020" dataDxfId="47"/>
    <tableColumn id="3" xr3:uid="{8ACA291D-EF4A-4114-82EE-FD7178FF4707}" name="2021" dataDxfId="46"/>
    <tableColumn id="4" xr3:uid="{FDAB686D-335C-4615-B445-CFB79019E33B}" name="2022" dataDxfId="45"/>
    <tableColumn id="5" xr3:uid="{E6DA427F-3777-40D1-A5BA-D7B37EEF3B1F}" name="2023" dataDxfId="44"/>
    <tableColumn id="6" xr3:uid="{3B9AC39A-B873-4BBA-9C32-F11B66015C53}" name="2024" dataDxfId="43"/>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DC4837-9FA2-4E66-AEF1-CBE3F1D056B5}" name="Table5" displayName="Table5" ref="O39:U42" totalsRowShown="0" headerRowDxfId="41" dataDxfId="42">
  <autoFilter ref="O39:U42" xr:uid="{6FDC4837-9FA2-4E66-AEF1-CBE3F1D056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5A1C56-03DE-44E0-9F20-F616B8B935E6}" name="Particulars" dataDxfId="40">
      <calculatedColumnFormula>O35</calculatedColumnFormula>
    </tableColumn>
    <tableColumn id="2" xr3:uid="{EAA0FFE7-D7A2-49A5-9052-1974B56BF52F}" name="2025" dataDxfId="39">
      <calculatedColumnFormula>DCF!R3</calculatedColumnFormula>
    </tableColumn>
    <tableColumn id="3" xr3:uid="{8E3E9D19-ADF6-49C3-A34D-310AB90A8D06}" name="2026" dataDxfId="38">
      <calculatedColumnFormula>DCF!S3</calculatedColumnFormula>
    </tableColumn>
    <tableColumn id="4" xr3:uid="{51D7697E-A05B-407D-A219-0655775EE415}" name="2027" dataDxfId="37">
      <calculatedColumnFormula>DCF!T3</calculatedColumnFormula>
    </tableColumn>
    <tableColumn id="5" xr3:uid="{8089C3DE-80D1-4A9F-8430-933C33897D0D}" name="2028" dataDxfId="36">
      <calculatedColumnFormula>DCF!U3</calculatedColumnFormula>
    </tableColumn>
    <tableColumn id="6" xr3:uid="{152FE0A5-E9BF-4E79-9B86-864235D77A45}" name="2029" dataDxfId="35">
      <calculatedColumnFormula>DCF!V3</calculatedColumnFormula>
    </tableColumn>
    <tableColumn id="7" xr3:uid="{7E5FF8AA-D417-46C5-AD75-D5F0F99D2570}" name="2030" dataDxfId="34">
      <calculatedColumnFormula>DCF!W3</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E90B39-7700-45BC-8811-03928D4E6391}" name="Table47" displayName="Table47" ref="W34:AB37" totalsRowShown="0" headerRowDxfId="33" dataDxfId="32">
  <autoFilter ref="W34:AB37" xr:uid="{12E90B39-7700-45BC-8811-03928D4E6391}">
    <filterColumn colId="0" hiddenButton="1"/>
    <filterColumn colId="1" hiddenButton="1"/>
    <filterColumn colId="2" hiddenButton="1"/>
    <filterColumn colId="3" hiddenButton="1"/>
    <filterColumn colId="4" hiddenButton="1"/>
    <filterColumn colId="5" hiddenButton="1"/>
  </autoFilter>
  <tableColumns count="6">
    <tableColumn id="1" xr3:uid="{BC71EDFB-D0A6-4509-A9A8-FB7ECA58BA80}" name="Particulars" dataDxfId="31"/>
    <tableColumn id="2" xr3:uid="{44EC0860-8E94-410B-B09F-CCA597675AA1}" name="2020" dataDxfId="30"/>
    <tableColumn id="3" xr3:uid="{ECA48B25-1FE3-4363-BC26-A9972B85293C}" name="2021" dataDxfId="29"/>
    <tableColumn id="4" xr3:uid="{3A0CD4C0-AD99-4FFE-81C5-2C911780A790}" name="2022" dataDxfId="28"/>
    <tableColumn id="5" xr3:uid="{D7B19558-A0A5-4B3A-8C5D-AF8312C2EAAB}" name="2023" dataDxfId="27"/>
    <tableColumn id="6" xr3:uid="{EE3EDD46-2545-471D-B8B3-A20085C461B4}" name="2024" dataDxfId="26"/>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43E564-FD5E-4BC6-8451-EF8E0CC7C5EA}" name="Table511" displayName="Table511" ref="W39:AC42" totalsRowShown="0" headerRowDxfId="25" dataDxfId="24">
  <autoFilter ref="W39:AC42" xr:uid="{2B43E564-FD5E-4BC6-8451-EF8E0CC7C5E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85407B6-FC31-484D-91A0-E218E4BCAD8A}" name="Particulars" dataDxfId="23">
      <calculatedColumnFormula>W35</calculatedColumnFormula>
    </tableColumn>
    <tableColumn id="2" xr3:uid="{77FAF890-93DE-4CAE-961E-8ECA69BCB407}" name="2025" dataDxfId="22">
      <calculatedColumnFormula>DCF!Z3</calculatedColumnFormula>
    </tableColumn>
    <tableColumn id="3" xr3:uid="{C0F90107-9836-49E6-B8D7-BC72781D2BFB}" name="2026" dataDxfId="21">
      <calculatedColumnFormula>DCF!AA3</calculatedColumnFormula>
    </tableColumn>
    <tableColumn id="4" xr3:uid="{87A42B34-207A-4057-AA05-47F8E7FAE5FB}" name="2027" dataDxfId="20">
      <calculatedColumnFormula>DCF!AB3</calculatedColumnFormula>
    </tableColumn>
    <tableColumn id="5" xr3:uid="{2564FFC4-7458-4D13-870F-1D41920DA854}" name="2028" dataDxfId="19">
      <calculatedColumnFormula>DCF!AC3</calculatedColumnFormula>
    </tableColumn>
    <tableColumn id="6" xr3:uid="{768ED6DB-9699-4075-9E93-7C5B5AA75A99}" name="2029" dataDxfId="18">
      <calculatedColumnFormula>DCF!AD3</calculatedColumnFormula>
    </tableColumn>
    <tableColumn id="7" xr3:uid="{BD471DF4-990E-45EE-B326-74C355974FBF}" name="2030" dataDxfId="17">
      <calculatedColumnFormula>DCF!AE3</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7067779-4A99-4F88-B7A1-93C55072DEA4}" name="Table417" displayName="Table417" ref="AE34:AJ37" totalsRowShown="0" headerRowDxfId="16" dataDxfId="15">
  <autoFilter ref="AE34:AJ37" xr:uid="{E7067779-4A99-4F88-B7A1-93C55072DEA4}">
    <filterColumn colId="0" hiddenButton="1"/>
    <filterColumn colId="1" hiddenButton="1"/>
    <filterColumn colId="2" hiddenButton="1"/>
    <filterColumn colId="3" hiddenButton="1"/>
    <filterColumn colId="4" hiddenButton="1"/>
    <filterColumn colId="5" hiddenButton="1"/>
  </autoFilter>
  <tableColumns count="6">
    <tableColumn id="1" xr3:uid="{D87FFBBA-735F-4BCB-86D7-7FB8D977DAD1}" name="Particulars" dataDxfId="14"/>
    <tableColumn id="2" xr3:uid="{55E87294-9566-462D-8292-A4E666011DE3}" name="2020" dataDxfId="13"/>
    <tableColumn id="3" xr3:uid="{1A7CF628-EDAC-40CF-AD70-9CF2EC1DB223}" name="2021" dataDxfId="12"/>
    <tableColumn id="4" xr3:uid="{0488BCC5-4DA8-473D-B334-DAB336D0D8C9}" name="2022" dataDxfId="11"/>
    <tableColumn id="5" xr3:uid="{E4020E76-44E6-4107-A583-5E16C93BACFA}" name="2023" dataDxfId="10"/>
    <tableColumn id="6" xr3:uid="{1F387AF2-968C-4130-812D-A279BB28C4DE}" name="2024" dataDxfId="9"/>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BA48BFB-B070-4335-97DA-07A53BDE4369}" name="Table518" displayName="Table518" ref="AE39:AK42" totalsRowShown="0" headerRowDxfId="8" dataDxfId="7">
  <autoFilter ref="AE39:AK42" xr:uid="{2BA48BFB-B070-4335-97DA-07A53BDE436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1448E19-6813-4E66-B0CE-B5FD16A16B37}" name="Particulars" dataDxfId="6">
      <calculatedColumnFormula>AE35</calculatedColumnFormula>
    </tableColumn>
    <tableColumn id="2" xr3:uid="{58B4BE69-617C-4CD4-AE0D-72DF86D106DA}" name="2025" dataDxfId="5">
      <calculatedColumnFormula>DCF!AH3</calculatedColumnFormula>
    </tableColumn>
    <tableColumn id="3" xr3:uid="{4AD931FA-896C-48DA-AB66-6C10620D8219}" name="2026" dataDxfId="4">
      <calculatedColumnFormula>DCF!AI3</calculatedColumnFormula>
    </tableColumn>
    <tableColumn id="4" xr3:uid="{5B42FB4C-5E11-4FF1-B6EE-BAC642AFDC35}" name="2027" dataDxfId="3">
      <calculatedColumnFormula>DCF!AJ3</calculatedColumnFormula>
    </tableColumn>
    <tableColumn id="5" xr3:uid="{C285BD01-44CD-4B3C-A064-2830EEB34297}" name="2028" dataDxfId="2">
      <calculatedColumnFormula>DCF!AK3</calculatedColumnFormula>
    </tableColumn>
    <tableColumn id="6" xr3:uid="{23BD0950-FEBE-4463-9CE9-10F67862A4A1}" name="2029" dataDxfId="1">
      <calculatedColumnFormula>DCF!AL3</calculatedColumnFormula>
    </tableColumn>
    <tableColumn id="7" xr3:uid="{C393E8C6-47B7-46D3-AC09-A84661036C6C}" name="2030" dataDxfId="0">
      <calculatedColumnFormula>DCF!AM3</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97928C-C714-4538-B6ED-E7057380032A}" name="Table8" displayName="Table8" ref="A12:B22" totalsRowShown="0" headerRowDxfId="158" dataDxfId="157">
  <autoFilter ref="A12:B22" xr:uid="{2397928C-C714-4538-B6ED-E7057380032A}">
    <filterColumn colId="0" hiddenButton="1"/>
    <filterColumn colId="1" hiddenButton="1"/>
  </autoFilter>
  <tableColumns count="2">
    <tableColumn id="1" xr3:uid="{DDB40596-D04D-4BE1-9511-9118532950ED}" name="Metrics" dataDxfId="156"/>
    <tableColumn id="2" xr3:uid="{5F69F73C-B776-4F4B-A2A8-0024324C05A2}" name="Value" dataDxfId="155"/>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22BFF09-E710-4F96-B67D-7074463541D9}" name="Table9" displayName="Table9" ref="A2:G9" totalsRowShown="0" headerRowDxfId="154" dataDxfId="153" headerRowCellStyle="Percent">
  <autoFilter ref="A2:G9" xr:uid="{922BFF09-E710-4F96-B67D-7074463541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47AC34A-CC20-4230-9B92-0140C330943F}" name="Particulars" dataDxfId="152"/>
    <tableColumn id="2" xr3:uid="{BE5341AF-190E-40B0-A8EF-C11AD69795AF}" name="2025" dataDxfId="151"/>
    <tableColumn id="3" xr3:uid="{FB544A30-D51E-460C-B5FA-0A809CD72267}" name="2026" dataDxfId="150"/>
    <tableColumn id="4" xr3:uid="{7257BBA3-50B7-4624-A4BE-8791EFC3FB88}" name="2027" dataDxfId="149"/>
    <tableColumn id="5" xr3:uid="{8E957D1B-877A-4CAA-9477-B1A09F58F8E7}" name="2028" dataDxfId="148"/>
    <tableColumn id="6" xr3:uid="{8892F08E-0110-439A-8C12-777DAE1ED728}" name="2029" dataDxfId="147"/>
    <tableColumn id="7" xr3:uid="{C9FF0F06-1570-457A-A86D-CEB59DE5EEF0}" name="2030" dataDxfId="146"/>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E6E0FB-B932-4AED-B2E7-2965E791AECB}" name="Table814" displayName="Table814" ref="I12:J22" totalsRowShown="0" headerRowDxfId="145" dataDxfId="144" tableBorderDxfId="143">
  <autoFilter ref="I12:J22" xr:uid="{D3E6E0FB-B932-4AED-B2E7-2965E791AECB}">
    <filterColumn colId="0" hiddenButton="1"/>
    <filterColumn colId="1" hiddenButton="1"/>
  </autoFilter>
  <tableColumns count="2">
    <tableColumn id="1" xr3:uid="{4728CC93-26DB-4123-B529-38EEDD1AC956}" name="Metrics" dataDxfId="142"/>
    <tableColumn id="2" xr3:uid="{02303A69-B4A7-4A14-8AE7-A14DB40D0912}" name="Value" dataDxfId="141"/>
  </tableColumns>
  <tableStyleInfo name="TableStyleMedium1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C7FC5DC-9406-4EB8-9DD7-C123907C2EE4}" name="Table915" displayName="Table915" ref="I2:O9" totalsRowShown="0" headerRowDxfId="140" dataDxfId="139" tableBorderDxfId="138" headerRowCellStyle="Percent">
  <autoFilter ref="I2:O9" xr:uid="{FC7FC5DC-9406-4EB8-9DD7-C123907C2EE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97C1D9A-7897-45B9-82B8-EEABF13EDEBC}" name="Particulars" dataDxfId="137"/>
    <tableColumn id="2" xr3:uid="{D209FF34-2F33-47E8-A517-BEC3214FCA9B}" name="2025" dataDxfId="136"/>
    <tableColumn id="3" xr3:uid="{F6BA5073-046A-4BB3-A19C-8EE8D76F578E}" name="2026" dataDxfId="135"/>
    <tableColumn id="4" xr3:uid="{D01486DB-E8AB-4622-A39C-793988383165}" name="2027" dataDxfId="134"/>
    <tableColumn id="5" xr3:uid="{5F45A7E1-F1DC-428E-9FF8-B92D0EC90362}" name="2028" dataDxfId="133"/>
    <tableColumn id="6" xr3:uid="{7D02819F-78D0-4FA8-81C3-0FFAE9C84B2E}" name="2029" dataDxfId="132"/>
    <tableColumn id="7" xr3:uid="{7CC72EC3-D016-496F-B11B-18078021867E}" name="2030" dataDxfId="131"/>
  </tableColumns>
  <tableStyleInfo name="TableStyleMedium1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EBDDFCE-701D-42D1-AFF7-FE9BC3C7A6E0}" name="Table833" displayName="Table833" ref="Q12:R22" totalsRowShown="0" headerRowDxfId="130" dataDxfId="129">
  <autoFilter ref="Q12:R22" xr:uid="{CEBDDFCE-701D-42D1-AFF7-FE9BC3C7A6E0}">
    <filterColumn colId="0" hiddenButton="1"/>
    <filterColumn colId="1" hiddenButton="1"/>
  </autoFilter>
  <tableColumns count="2">
    <tableColumn id="1" xr3:uid="{F33F29A5-75BD-4AAD-88A0-0CDD3DD24015}" name="Metrics" dataDxfId="128"/>
    <tableColumn id="2" xr3:uid="{ABA73DAE-CE14-40C6-83FB-EFA83AB97AD7}" name="Value" dataDxfId="127"/>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23FEA9C-EB4A-4E42-8535-8D059F476360}" name="Table934" displayName="Table934" ref="Q2:W9" totalsRowShown="0" headerRowDxfId="126" dataDxfId="125" headerRowCellStyle="Percent">
  <autoFilter ref="Q2:W9" xr:uid="{323FEA9C-EB4A-4E42-8535-8D059F47636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E8AF97B-C808-4DFC-9DB8-9ECCEB8D878C}" name="Particulars" dataDxfId="124"/>
    <tableColumn id="2" xr3:uid="{FA1B1378-4370-44E4-BB35-B2A7EA50D15B}" name="2025" dataDxfId="123"/>
    <tableColumn id="3" xr3:uid="{6058CE98-2CC1-4893-B739-4925A9DA46F7}" name="2026" dataDxfId="122"/>
    <tableColumn id="4" xr3:uid="{FB535F13-F344-44A1-A9D1-82484F46F8DC}" name="2027" dataDxfId="121"/>
    <tableColumn id="5" xr3:uid="{6879B412-F7F9-4782-94CA-907239E01FA5}" name="2028" dataDxfId="120"/>
    <tableColumn id="6" xr3:uid="{DEBF7D4F-8111-4560-AF36-AAD62DBFDE5C}" name="2029" dataDxfId="119"/>
    <tableColumn id="7" xr3:uid="{B9538D3C-50D9-463A-B09B-DD5C0EC5FC7A}" name="2030" dataDxfId="118"/>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3C4E4A4-4859-4E60-B06C-550DA4E9B253}" name="Table81435" displayName="Table81435" ref="Y12:Z22" totalsRowShown="0" headerRowDxfId="117" dataDxfId="116" tableBorderDxfId="115">
  <autoFilter ref="Y12:Z22" xr:uid="{13C4E4A4-4859-4E60-B06C-550DA4E9B253}">
    <filterColumn colId="0" hiddenButton="1"/>
    <filterColumn colId="1" hiddenButton="1"/>
  </autoFilter>
  <tableColumns count="2">
    <tableColumn id="1" xr3:uid="{A17160D9-3A65-44A3-9C7A-E04EB4F2949A}" name="Metrics" dataDxfId="114"/>
    <tableColumn id="2" xr3:uid="{52F20D85-8428-4EFB-8626-CADB080D65E3}" name="Value" dataDxfId="113"/>
  </tableColumns>
  <tableStyleInfo name="TableStyleMedium1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26E842-4268-4CEF-BF23-87B4120DFEED}" name="Table91536" displayName="Table91536" ref="Y2:AE9" totalsRowShown="0" headerRowDxfId="112" dataDxfId="111" tableBorderDxfId="110" headerRowCellStyle="Percent">
  <autoFilter ref="Y2:AE9" xr:uid="{A126E842-4268-4CEF-BF23-87B4120DFEE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A006FB-F0A0-48D4-A80E-A327CE882747}" name="Particulars" dataDxfId="109"/>
    <tableColumn id="2" xr3:uid="{B114CBB3-A888-4EEC-BD5E-9DD4B8F59A1E}" name="2025" dataDxfId="108"/>
    <tableColumn id="3" xr3:uid="{AA0581F7-7BD5-4134-B0E5-2D2EDCB7B703}" name="2026" dataDxfId="107"/>
    <tableColumn id="4" xr3:uid="{B2EC2A43-3781-4A34-A1EE-6F585CDF8835}" name="2027" dataDxfId="106"/>
    <tableColumn id="5" xr3:uid="{F7F0BE41-9071-4FB4-BED1-A411A0B7D867}" name="2028" dataDxfId="105"/>
    <tableColumn id="6" xr3:uid="{33186E65-EF8A-4E53-8C07-892836DA8D63}" name="2029" dataDxfId="104"/>
    <tableColumn id="7" xr3:uid="{7CB7532D-E4E0-4845-97A7-174A3FA431F0}" name="2030" dataDxfId="103"/>
  </tableColumns>
  <tableStyleInfo name="TableStyleMedium1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B5C5ED7-4924-4CB6-AFBE-2D378DD4130A}" name="Table83343" displayName="Table83343" ref="AG12:AH22" totalsRowShown="0" headerRowDxfId="102" dataDxfId="101">
  <autoFilter ref="AG12:AH22" xr:uid="{7B5C5ED7-4924-4CB6-AFBE-2D378DD4130A}">
    <filterColumn colId="0" hiddenButton="1"/>
    <filterColumn colId="1" hiddenButton="1"/>
  </autoFilter>
  <tableColumns count="2">
    <tableColumn id="1" xr3:uid="{6D0C4643-4157-41B4-A13A-9BEBFED35E63}" name="Metrics" dataDxfId="100"/>
    <tableColumn id="2" xr3:uid="{7CCFD1F3-0E3B-4D96-BD8D-34388B4466F9}" name="Value" dataDxfId="99"/>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25DE2D1-7905-42CC-B82E-0FCF66CB3245}" name="Table93444" displayName="Table93444" ref="AG2:AM9" totalsRowShown="0" headerRowDxfId="98" dataDxfId="97" headerRowCellStyle="Percent">
  <autoFilter ref="AG2:AM9" xr:uid="{625DE2D1-7905-42CC-B82E-0FCF66CB324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B037048-2BA5-49F4-871F-F3337C4B4A33}" name="Particulars" dataDxfId="96"/>
    <tableColumn id="2" xr3:uid="{1CE165FF-B8C4-4903-B7C7-2B3AE9732E19}" name="2025" dataDxfId="95"/>
    <tableColumn id="3" xr3:uid="{A9035D97-DC1B-48AE-8BCA-6FDFBDFE34A2}" name="2026" dataDxfId="94"/>
    <tableColumn id="4" xr3:uid="{0A44FF7A-7086-49C7-8F78-220545BAC844}" name="2027" dataDxfId="93"/>
    <tableColumn id="5" xr3:uid="{162A72CF-5F40-4157-BF3F-C78111FD4C7D}" name="2028" dataDxfId="92"/>
    <tableColumn id="6" xr3:uid="{5BB1BA09-A8D8-4C4C-B12D-F242E6BCB863}" name="2029" dataDxfId="91"/>
    <tableColumn id="7" xr3:uid="{84538AD0-F2DE-429B-92AD-245363FF56B1}" name="2030" dataDxfId="90"/>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028FB33-02F5-4EE4-943E-B6463A45114A}" name="Table15" displayName="Table15" ref="A22:E27" totalsRowShown="0" headerRowDxfId="89" dataDxfId="88" tableBorderDxfId="87">
  <autoFilter ref="A22:E27" xr:uid="{2028FB33-02F5-4EE4-943E-B6463A45114A}">
    <filterColumn colId="0" hiddenButton="1"/>
    <filterColumn colId="1" hiddenButton="1"/>
    <filterColumn colId="2" hiddenButton="1"/>
    <filterColumn colId="3" hiddenButton="1"/>
    <filterColumn colId="4" hiddenButton="1"/>
  </autoFilter>
  <tableColumns count="5">
    <tableColumn id="1" xr3:uid="{61CAE75D-0FB8-4356-AA6D-CF6EE244EE51}" name="Company" dataDxfId="86"/>
    <tableColumn id="2" xr3:uid="{0EFABCA3-6C24-4438-A9AD-B7AF6427B281}" name="EBITDA" dataDxfId="85"/>
    <tableColumn id="3" xr3:uid="{0E147485-E62B-483F-AB7A-723F1BDB9149}" name="Net Income" dataDxfId="84"/>
    <tableColumn id="4" xr3:uid="{011973F1-47F5-469F-B294-27E901989821}" name="Revenue" dataDxfId="83"/>
    <tableColumn id="5" xr3:uid="{F1D774E8-625E-4946-BEB2-289B411A733A}" name="Book Value" dataDxfId="82"/>
  </tableColumns>
  <tableStyleInfo name="TableStyleDark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E098ECB-9A2C-40C9-B3A9-5BDA4DB16DB8}" name="Table45" displayName="Table45" ref="H2:M7" totalsRowShown="0" headerRowDxfId="81" dataDxfId="80" dataCellStyle="Comma">
  <autoFilter ref="H2:M7" xr:uid="{FE098ECB-9A2C-40C9-B3A9-5BDA4DB16DB8}">
    <filterColumn colId="0" hiddenButton="1"/>
    <filterColumn colId="1" hiddenButton="1"/>
    <filterColumn colId="2" hiddenButton="1"/>
    <filterColumn colId="3" hiddenButton="1"/>
    <filterColumn colId="4" hiddenButton="1"/>
    <filterColumn colId="5" hiddenButton="1"/>
  </autoFilter>
  <tableColumns count="6">
    <tableColumn id="1" xr3:uid="{86BFDDB8-6A60-423C-9FA3-A09AD77813E2}" name="Company" dataDxfId="79">
      <calculatedColumnFormula>A23</calculatedColumnFormula>
    </tableColumn>
    <tableColumn id="2" xr3:uid="{02160188-AC77-4CC1-9DCE-6CB95D96DE9D}" name="EV/EBITDA" dataDxfId="78" dataCellStyle="Comma"/>
    <tableColumn id="3" xr3:uid="{69497B2B-BF8E-4828-875A-93D003B7DE9E}" name="P/E" dataDxfId="77" dataCellStyle="Comma"/>
    <tableColumn id="4" xr3:uid="{2706C17E-24DF-4707-8EFF-44EEC69BFE25}" name="P/S" dataDxfId="76" dataCellStyle="Comma"/>
    <tableColumn id="5" xr3:uid="{A64C7473-DFBF-47E2-A05D-C02BDB5C7A71}" name="Book Value" dataDxfId="75" dataCellStyle="Comma"/>
    <tableColumn id="6" xr3:uid="{AAF6603B-4E43-4D70-B8AA-67120642587A}" name="Shares" dataDxfId="74"/>
  </tableColumns>
  <tableStyleInfo name="TableStyleMedium1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34EF0AF-8276-4DAB-A537-0362F3B9CB15}" name="Table46" displayName="Table46" ref="H9:K14" totalsRowShown="0" headerRowDxfId="73" headerRowBorderDxfId="72" tableBorderDxfId="71">
  <autoFilter ref="H9:K14" xr:uid="{534EF0AF-8276-4DAB-A537-0362F3B9CB15}">
    <filterColumn colId="0" hiddenButton="1"/>
    <filterColumn colId="1" hiddenButton="1"/>
    <filterColumn colId="2" hiddenButton="1"/>
    <filterColumn colId="3" hiddenButton="1"/>
  </autoFilter>
  <tableColumns count="4">
    <tableColumn id="1" xr3:uid="{C7AAEF8B-8EDD-434C-828C-1D2D872DC294}" name="Company" dataDxfId="70">
      <calculatedColumnFormula>H3</calculatedColumnFormula>
    </tableColumn>
    <tableColumn id="2" xr3:uid="{292D3C49-6E17-416F-88E2-0F7F69851D01}" name="Target Price" dataDxfId="69" dataCellStyle="Comma">
      <calculatedColumnFormula>AVERAGE(I3:L3)</calculatedColumnFormula>
    </tableColumn>
    <tableColumn id="3" xr3:uid="{842CDBA9-6F53-488F-97EB-2228094368D9}" name="CMP" dataDxfId="68"/>
    <tableColumn id="4" xr3:uid="{210258AB-DA3C-48B4-A07D-6E10ECFBF5AF}" name="U/D" dataDxfId="67" dataCellStyle="Percent">
      <calculatedColumnFormula>(I10-J10)/J10</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9.xml"/><Relationship Id="rId3" Type="http://schemas.openxmlformats.org/officeDocument/2006/relationships/table" Target="../tables/table24.xml"/><Relationship Id="rId7" Type="http://schemas.openxmlformats.org/officeDocument/2006/relationships/table" Target="../tables/table28.xml"/><Relationship Id="rId2" Type="http://schemas.openxmlformats.org/officeDocument/2006/relationships/table" Target="../tables/table23.xml"/><Relationship Id="rId1" Type="http://schemas.openxmlformats.org/officeDocument/2006/relationships/table" Target="../tables/table22.xml"/><Relationship Id="rId6" Type="http://schemas.openxmlformats.org/officeDocument/2006/relationships/table" Target="../tables/table27.xml"/><Relationship Id="rId5" Type="http://schemas.openxmlformats.org/officeDocument/2006/relationships/table" Target="../tables/table26.xml"/><Relationship Id="rId10" Type="http://schemas.openxmlformats.org/officeDocument/2006/relationships/table" Target="../tables/table31.xml"/><Relationship Id="rId4" Type="http://schemas.openxmlformats.org/officeDocument/2006/relationships/table" Target="../tables/table25.xml"/><Relationship Id="rId9" Type="http://schemas.openxmlformats.org/officeDocument/2006/relationships/table" Target="../tables/table30.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opLeftCell="E1" workbookViewId="0">
      <selection activeCell="E13" sqref="E13"/>
    </sheetView>
  </sheetViews>
  <sheetFormatPr defaultRowHeight="14.4" x14ac:dyDescent="0.3"/>
  <cols>
    <col min="1" max="1" width="16.6640625" style="1" bestFit="1" customWidth="1"/>
    <col min="2" max="3" width="27.33203125" style="3" customWidth="1"/>
    <col min="4" max="4" width="24.5546875" style="1" bestFit="1" customWidth="1"/>
    <col min="5" max="5" width="29.21875" style="1" bestFit="1" customWidth="1"/>
    <col min="6" max="6" width="25.88671875" style="1" bestFit="1" customWidth="1"/>
    <col min="7" max="16384" width="8.88671875" style="1"/>
  </cols>
  <sheetData>
    <row r="1" spans="1:6" s="2" customFormat="1" ht="43.2" x14ac:dyDescent="0.3">
      <c r="A1" s="16" t="s">
        <v>0</v>
      </c>
      <c r="B1" s="17" t="e" vm="1">
        <v>#VALUE!</v>
      </c>
      <c r="C1" s="17" t="e" vm="2">
        <v>#VALUE!</v>
      </c>
      <c r="D1" s="16" t="e" vm="3">
        <v>#VALUE!</v>
      </c>
      <c r="E1" s="16" t="e" vm="4">
        <v>#VALUE!</v>
      </c>
      <c r="F1" s="16" t="e" vm="5">
        <v>#VALUE!</v>
      </c>
    </row>
    <row r="2" spans="1:6" s="2" customFormat="1" ht="28.8" x14ac:dyDescent="0.3">
      <c r="A2" s="5" t="s">
        <v>1</v>
      </c>
      <c r="B2" s="6" t="str" cm="1">
        <f t="array" aca="1" ref="B2" ca="1">_FV(B1,"Official name",TRUE)</f>
        <v>RTX CORPORATION</v>
      </c>
      <c r="C2" s="6" t="str" cm="1">
        <f t="array" aca="1" ref="C2" ca="1">_FV(C1,"Official name",TRUE)</f>
        <v>LOCKHEED MARTIN CORPORATION</v>
      </c>
      <c r="D2" s="6" t="str" cm="1">
        <f t="array" aca="1" ref="D2" ca="1">_FV(D1,"Official name",TRUE)</f>
        <v>GENERAL DYNAMICS CORPORATION</v>
      </c>
      <c r="E2" s="6" t="str" cm="1">
        <f t="array" aca="1" ref="E2" ca="1">_FV(E1,"Official name",TRUE)</f>
        <v>L3HARRIS TECHNOLOGIES, INC.</v>
      </c>
      <c r="F2" s="6" t="str" cm="1">
        <f t="array" aca="1" ref="F2" ca="1">_FV(F1,"Official name",TRUE)</f>
        <v>NORTHROP GRUMMAN CORPORATION</v>
      </c>
    </row>
    <row r="3" spans="1:6" x14ac:dyDescent="0.3">
      <c r="A3" s="7" t="s">
        <v>2</v>
      </c>
      <c r="B3" s="8" cm="1">
        <f t="array" aca="1" ref="B3" ca="1">_FV(B1,"Price")</f>
        <v>173</v>
      </c>
      <c r="C3" s="8" cm="1">
        <f t="array" aca="1" ref="C3" ca="1">_FV(C1,"Price")</f>
        <v>470.64</v>
      </c>
      <c r="D3" s="8" cm="1">
        <f t="array" aca="1" ref="D3" ca="1">_FV(D1,"Price")</f>
        <v>341.98500000000001</v>
      </c>
      <c r="E3" s="8" cm="1">
        <f t="array" aca="1" ref="E3" ca="1">_FV(E1,"Price")</f>
        <v>285.21010000000001</v>
      </c>
      <c r="F3" s="8" cm="1">
        <f t="array" aca="1" ref="F3" ca="1">_FV(F1,"Price")</f>
        <v>566.12</v>
      </c>
    </row>
    <row r="4" spans="1:6" x14ac:dyDescent="0.3">
      <c r="A4" s="7" t="s">
        <v>3</v>
      </c>
      <c r="B4" s="9" cm="1">
        <f t="array" aca="1" ref="B4" ca="1">_FV(B1,"Change (%)",TRUE)</f>
        <v>-1.7044999999999998E-2</v>
      </c>
      <c r="C4" s="9" cm="1">
        <f t="array" aca="1" ref="C4" ca="1">_FV(C1,"Change (%)",TRUE)</f>
        <v>-8.5950000000000002E-3</v>
      </c>
      <c r="D4" s="9" cm="1">
        <f t="array" aca="1" ref="D4" ca="1">_FV(D1,"Change (%)",TRUE)</f>
        <v>2.036E-3</v>
      </c>
      <c r="E4" s="9" cm="1">
        <f t="array" aca="1" ref="E4" ca="1">_FV(E1,"Change (%)",TRUE)</f>
        <v>-8.0539999999999995E-4</v>
      </c>
      <c r="F4" s="9" cm="1">
        <f t="array" aca="1" ref="F4" ca="1">_FV(F1,"Change (%)",TRUE)</f>
        <v>-1.129E-3</v>
      </c>
    </row>
    <row r="5" spans="1:6" x14ac:dyDescent="0.3">
      <c r="A5" s="7" t="s">
        <v>4</v>
      </c>
      <c r="B5" s="10" cm="1">
        <f t="array" aca="1" ref="B5" ca="1">_FV(B1,"Beta")</f>
        <v>0.43890000000000001</v>
      </c>
      <c r="C5" s="10" cm="1">
        <f t="array" aca="1" ref="C5" ca="1">_FV(C1,"Beta")</f>
        <v>0.24479999999999999</v>
      </c>
      <c r="D5" s="10" cm="1">
        <f t="array" aca="1" ref="D5" ca="1">_FV(D1,"Beta")</f>
        <v>0.40679999999999999</v>
      </c>
      <c r="E5" s="10" cm="1">
        <f t="array" aca="1" ref="E5" ca="1">_FV(E1,"Beta")</f>
        <v>0.65180000000000005</v>
      </c>
      <c r="F5" s="10" cm="1">
        <f t="array" aca="1" ref="F5" ca="1">_FV(F1,"Beta")</f>
        <v>5.6500000000000002E-2</v>
      </c>
    </row>
    <row r="6" spans="1:6" x14ac:dyDescent="0.3">
      <c r="A6" s="7" t="s">
        <v>5</v>
      </c>
      <c r="B6" s="11" cm="1">
        <f t="array" aca="1" ref="B6" ca="1">_FV(B1,"Market cap",TRUE)</f>
        <v>234259700000</v>
      </c>
      <c r="C6" s="11" cm="1">
        <f t="array" aca="1" ref="C6" ca="1">_FV(C1,"Market cap",TRUE)</f>
        <v>108905060592</v>
      </c>
      <c r="D6" s="11" cm="1">
        <f t="array" aca="1" ref="D6" ca="1">_FV(D1,"Market cap",TRUE)</f>
        <v>92377159192</v>
      </c>
      <c r="E6" s="11" cm="1">
        <f t="array" aca="1" ref="E6" ca="1">_FV(E1,"Market cap",TRUE)</f>
        <v>53392360000</v>
      </c>
      <c r="F6" s="11" cm="1">
        <f t="array" aca="1" ref="F6" ca="1">_FV(F1,"Market cap",TRUE)</f>
        <v>80796703012</v>
      </c>
    </row>
    <row r="7" spans="1:6" x14ac:dyDescent="0.3">
      <c r="A7" s="7" t="s">
        <v>6</v>
      </c>
      <c r="B7" s="12">
        <f ca="1">B6/1000000</f>
        <v>234259.7</v>
      </c>
      <c r="C7" s="12">
        <f ca="1">C6/1000000</f>
        <v>108905.06059199999</v>
      </c>
      <c r="D7" s="12">
        <f t="shared" ref="D7:F7" ca="1" si="0">D6/1000000</f>
        <v>92377.159192000006</v>
      </c>
      <c r="E7" s="12">
        <f t="shared" ca="1" si="0"/>
        <v>53392.36</v>
      </c>
      <c r="F7" s="12">
        <f t="shared" ca="1" si="0"/>
        <v>80796.703011999998</v>
      </c>
    </row>
    <row r="8" spans="1:6" x14ac:dyDescent="0.3">
      <c r="A8" s="7" t="s">
        <v>7</v>
      </c>
      <c r="B8" s="13" cm="1">
        <f t="array" aca="1" ref="B8" ca="1">_FV(B1,"Shares outstanding",TRUE)</f>
        <v>1340772000</v>
      </c>
      <c r="C8" s="13" cm="1">
        <f t="array" aca="1" ref="C8" ca="1">_FV(C1,"Shares outstanding",TRUE)</f>
        <v>231397800</v>
      </c>
      <c r="D8" s="13" cm="1">
        <f t="array" aca="1" ref="D8" ca="1">_FV(D1,"Shares outstanding",TRUE)</f>
        <v>270120500</v>
      </c>
      <c r="E8" s="13" cm="1">
        <f t="array" aca="1" ref="E8" ca="1">_FV(E1,"Shares outstanding",TRUE)</f>
        <v>187052900</v>
      </c>
      <c r="F8" s="13" cm="1">
        <f t="array" aca="1" ref="F8" ca="1">_FV(F1,"Shares outstanding",TRUE)</f>
        <v>142720100</v>
      </c>
    </row>
    <row r="9" spans="1:6" x14ac:dyDescent="0.3">
      <c r="A9" s="7" t="s">
        <v>6</v>
      </c>
      <c r="B9" s="14">
        <f ca="1">B8/1000000</f>
        <v>1340.7719999999999</v>
      </c>
      <c r="C9" s="14">
        <f ca="1">C8/1000000</f>
        <v>231.39779999999999</v>
      </c>
      <c r="D9" s="14">
        <f t="shared" ref="D9:F9" ca="1" si="1">D8/1000000</f>
        <v>270.12049999999999</v>
      </c>
      <c r="E9" s="14">
        <f t="shared" ca="1" si="1"/>
        <v>187.05289999999999</v>
      </c>
      <c r="F9" s="14">
        <f t="shared" ca="1" si="1"/>
        <v>142.7201</v>
      </c>
    </row>
    <row r="10" spans="1:6" x14ac:dyDescent="0.3">
      <c r="A10" s="7" t="s">
        <v>8</v>
      </c>
      <c r="B10" s="14" cm="1">
        <f t="array" aca="1" ref="B10" ca="1">_FV(B1,"P/E",TRUE)</f>
        <v>35.7699</v>
      </c>
      <c r="C10" s="14" cm="1">
        <f t="array" aca="1" ref="C10" ca="1">_FV(C1,"P/E",TRUE)</f>
        <v>26.216999999999999</v>
      </c>
      <c r="D10" s="14" cm="1">
        <f t="array" aca="1" ref="D10" ca="1">_FV(D1,"P/E",TRUE)</f>
        <v>22.171800000000001</v>
      </c>
      <c r="E10" s="14" cm="1">
        <f t="array" aca="1" ref="E10" ca="1">_FV(E1,"P/E",TRUE)</f>
        <v>30.6295</v>
      </c>
      <c r="F10" s="14" cm="1">
        <f t="array" aca="1" ref="F10" ca="1">_FV(F1,"P/E",TRUE)</f>
        <v>20.375699999999998</v>
      </c>
    </row>
    <row r="11" spans="1:6" x14ac:dyDescent="0.3">
      <c r="A11" s="7" t="s">
        <v>9</v>
      </c>
      <c r="B11" s="15" cm="1">
        <f t="array" aca="1" ref="B11" ca="1">_FV(B1,"Year incorporated",TRUE)</f>
        <v>1934</v>
      </c>
      <c r="C11" s="15" cm="1">
        <f t="array" aca="1" ref="C11" ca="1">_FV(C1,"Year incorporated",TRUE)</f>
        <v>1994</v>
      </c>
      <c r="D11" s="15" cm="1">
        <f t="array" aca="1" ref="D11" ca="1">_FV(D1,"Year incorporated",TRUE)</f>
        <v>1952</v>
      </c>
      <c r="E11" s="15" cm="1">
        <f t="array" aca="1" ref="E11" ca="1">_FV(E1,"Year incorporated",TRUE)</f>
        <v>1926</v>
      </c>
      <c r="F11" s="15" cm="1">
        <f t="array" aca="1" ref="F11" ca="1">_FV(F1,"Year incorporated",TRUE)</f>
        <v>2010</v>
      </c>
    </row>
  </sheetData>
  <conditionalFormatting sqref="B4:F4">
    <cfRule type="cellIs" dxfId="66" priority="1" operator="lessThan">
      <formula>0</formula>
    </cfRule>
    <cfRule type="cellIs" dxfId="65"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F2040-A768-47DA-9EC9-C324F28B8298}">
  <dimension ref="A1:BA42"/>
  <sheetViews>
    <sheetView topLeftCell="AF29" workbookViewId="0">
      <selection activeCell="AE39" sqref="AE39:AK42"/>
    </sheetView>
  </sheetViews>
  <sheetFormatPr defaultRowHeight="14.4" x14ac:dyDescent="0.3"/>
  <cols>
    <col min="1" max="1" width="33.109375" style="1" bestFit="1" customWidth="1"/>
    <col min="2" max="6" width="9.88671875" style="1" bestFit="1" customWidth="1"/>
    <col min="7" max="7" width="8.88671875" style="1"/>
    <col min="8" max="8" width="33.109375" style="1" bestFit="1" customWidth="1"/>
    <col min="9" max="13" width="9.88671875" style="1" bestFit="1" customWidth="1"/>
    <col min="14" max="14" width="8.88671875" style="1"/>
    <col min="15" max="15" width="33.109375" style="1" bestFit="1" customWidth="1"/>
    <col min="16" max="20" width="9.88671875" style="1" bestFit="1" customWidth="1"/>
    <col min="21" max="21" width="9.88671875" style="1" customWidth="1"/>
    <col min="22" max="22" width="8.88671875" style="1"/>
    <col min="23" max="23" width="33.109375" style="1" bestFit="1" customWidth="1"/>
    <col min="24" max="28" width="9.88671875" style="1" bestFit="1" customWidth="1"/>
    <col min="29" max="29" width="9.88671875" style="1" customWidth="1"/>
    <col min="30" max="30" width="8.88671875" style="1"/>
    <col min="31" max="31" width="33.109375" style="1" bestFit="1" customWidth="1"/>
    <col min="32" max="37" width="9.88671875" style="1" bestFit="1" customWidth="1"/>
    <col min="38" max="38" width="8.88671875" style="1"/>
    <col min="39" max="39" width="15.5546875" style="1" bestFit="1" customWidth="1"/>
    <col min="40" max="42" width="9.88671875" style="3" bestFit="1" customWidth="1"/>
    <col min="43" max="45" width="10.88671875" style="3" bestFit="1" customWidth="1"/>
    <col min="46" max="46" width="8.88671875" style="1"/>
    <col min="47" max="47" width="14.77734375" style="1" bestFit="1" customWidth="1"/>
    <col min="48" max="48" width="6.109375" style="3" bestFit="1" customWidth="1"/>
    <col min="49" max="49" width="14.44140625" style="3" bestFit="1" customWidth="1"/>
    <col min="50" max="50" width="12.33203125" style="3" bestFit="1" customWidth="1"/>
    <col min="51" max="51" width="12.44140625" style="3" bestFit="1" customWidth="1"/>
    <col min="52" max="52" width="10" style="3" bestFit="1" customWidth="1"/>
    <col min="53" max="53" width="15.44140625" style="3" bestFit="1" customWidth="1"/>
    <col min="54" max="16384" width="8.88671875" style="1"/>
  </cols>
  <sheetData>
    <row r="1" spans="1:53" x14ac:dyDescent="0.3">
      <c r="A1" s="18" t="s">
        <v>10</v>
      </c>
      <c r="F1" s="20" t="s">
        <v>41</v>
      </c>
      <c r="H1" s="18" t="s">
        <v>10</v>
      </c>
      <c r="M1" s="20" t="s">
        <v>42</v>
      </c>
      <c r="O1" s="18" t="s">
        <v>10</v>
      </c>
      <c r="S1" s="129" t="s">
        <v>118</v>
      </c>
      <c r="T1" s="129"/>
      <c r="U1" s="20"/>
      <c r="W1" s="18" t="s">
        <v>10</v>
      </c>
      <c r="AB1" s="20" t="s">
        <v>119</v>
      </c>
      <c r="AC1" s="20"/>
      <c r="AE1" s="18" t="s">
        <v>10</v>
      </c>
      <c r="AJ1" s="20" t="s">
        <v>121</v>
      </c>
    </row>
    <row r="2" spans="1:53" x14ac:dyDescent="0.3">
      <c r="A2" s="18" t="s">
        <v>11</v>
      </c>
      <c r="B2" s="20" t="s">
        <v>36</v>
      </c>
      <c r="C2" s="20" t="s">
        <v>37</v>
      </c>
      <c r="D2" s="20" t="s">
        <v>38</v>
      </c>
      <c r="E2" s="20" t="s">
        <v>39</v>
      </c>
      <c r="F2" s="20" t="s">
        <v>40</v>
      </c>
      <c r="H2" s="18" t="s">
        <v>11</v>
      </c>
      <c r="I2" s="20" t="s">
        <v>36</v>
      </c>
      <c r="J2" s="20" t="s">
        <v>37</v>
      </c>
      <c r="K2" s="20" t="s">
        <v>38</v>
      </c>
      <c r="L2" s="20" t="s">
        <v>39</v>
      </c>
      <c r="M2" s="20" t="s">
        <v>40</v>
      </c>
      <c r="O2" s="18" t="s">
        <v>11</v>
      </c>
      <c r="P2" s="20" t="s">
        <v>36</v>
      </c>
      <c r="Q2" s="20" t="s">
        <v>37</v>
      </c>
      <c r="R2" s="20" t="s">
        <v>38</v>
      </c>
      <c r="S2" s="20" t="s">
        <v>39</v>
      </c>
      <c r="T2" s="20" t="s">
        <v>40</v>
      </c>
      <c r="U2" s="20"/>
      <c r="W2" s="18" t="s">
        <v>11</v>
      </c>
      <c r="X2" s="20" t="s">
        <v>36</v>
      </c>
      <c r="Y2" s="20" t="s">
        <v>37</v>
      </c>
      <c r="Z2" s="20" t="s">
        <v>38</v>
      </c>
      <c r="AA2" s="20" t="s">
        <v>39</v>
      </c>
      <c r="AB2" s="20" t="s">
        <v>40</v>
      </c>
      <c r="AC2" s="20"/>
      <c r="AE2" s="18" t="s">
        <v>11</v>
      </c>
      <c r="AF2" s="20" t="s">
        <v>36</v>
      </c>
      <c r="AG2" s="20" t="s">
        <v>37</v>
      </c>
      <c r="AH2" s="20" t="s">
        <v>38</v>
      </c>
      <c r="AI2" s="20" t="s">
        <v>39</v>
      </c>
      <c r="AJ2" s="20" t="s">
        <v>40</v>
      </c>
    </row>
    <row r="3" spans="1:53" x14ac:dyDescent="0.3">
      <c r="A3" s="1" t="s">
        <v>12</v>
      </c>
      <c r="B3" s="21">
        <v>56587</v>
      </c>
      <c r="C3" s="21">
        <v>64388</v>
      </c>
      <c r="D3" s="21">
        <v>67074</v>
      </c>
      <c r="E3" s="21">
        <v>68920</v>
      </c>
      <c r="F3" s="21">
        <v>80738</v>
      </c>
      <c r="H3" s="1" t="s">
        <v>12</v>
      </c>
      <c r="I3" s="21">
        <v>65398</v>
      </c>
      <c r="J3" s="21">
        <v>67044</v>
      </c>
      <c r="K3" s="21">
        <v>65984</v>
      </c>
      <c r="L3" s="21">
        <v>67571</v>
      </c>
      <c r="M3" s="21">
        <v>71043</v>
      </c>
      <c r="O3" s="1" t="s">
        <v>12</v>
      </c>
      <c r="P3" s="21">
        <v>37925</v>
      </c>
      <c r="Q3" s="21">
        <v>38469</v>
      </c>
      <c r="R3" s="21">
        <v>39407</v>
      </c>
      <c r="S3" s="21">
        <v>42272</v>
      </c>
      <c r="T3" s="21">
        <v>47716</v>
      </c>
      <c r="U3" s="21"/>
      <c r="W3" s="1" t="s">
        <v>12</v>
      </c>
      <c r="X3" s="21">
        <v>18194</v>
      </c>
      <c r="Y3" s="21">
        <v>17814</v>
      </c>
      <c r="Z3" s="21">
        <v>17062</v>
      </c>
      <c r="AA3" s="21">
        <v>19419</v>
      </c>
      <c r="AB3" s="21">
        <v>21325</v>
      </c>
      <c r="AC3" s="21"/>
      <c r="AE3" s="1" t="s">
        <v>12</v>
      </c>
      <c r="AF3" s="21">
        <v>36799</v>
      </c>
      <c r="AG3" s="21">
        <v>35667</v>
      </c>
      <c r="AH3" s="21">
        <v>36602</v>
      </c>
      <c r="AI3" s="21">
        <v>39290</v>
      </c>
      <c r="AJ3" s="21">
        <v>41033</v>
      </c>
    </row>
    <row r="4" spans="1:53" x14ac:dyDescent="0.3">
      <c r="A4" s="1" t="s">
        <v>13</v>
      </c>
      <c r="B4" s="21">
        <f>38137+9919</f>
        <v>48056</v>
      </c>
      <c r="C4" s="21">
        <f>41095+10802</f>
        <v>51897</v>
      </c>
      <c r="D4" s="21">
        <f>41927+11479</f>
        <v>53406</v>
      </c>
      <c r="E4" s="21">
        <f>43425+13406</f>
        <v>56831</v>
      </c>
      <c r="F4" s="21">
        <f>50768+14560</f>
        <v>65328</v>
      </c>
      <c r="H4" s="1" t="s">
        <v>13</v>
      </c>
      <c r="I4" s="21">
        <v>56744</v>
      </c>
      <c r="J4" s="21">
        <v>57983</v>
      </c>
      <c r="K4" s="21">
        <v>57697</v>
      </c>
      <c r="L4" s="21">
        <v>59092</v>
      </c>
      <c r="M4" s="21">
        <v>64113</v>
      </c>
      <c r="O4" s="1" t="s">
        <v>13</v>
      </c>
      <c r="P4" s="21">
        <f>18192+13408</f>
        <v>31600</v>
      </c>
      <c r="Q4" s="21">
        <f>18524+13537</f>
        <v>32061</v>
      </c>
      <c r="R4" s="21">
        <f>18981+13804</f>
        <v>32785</v>
      </c>
      <c r="S4" s="21">
        <f>20591+15009</f>
        <v>35600</v>
      </c>
      <c r="T4" s="21">
        <f>24332+16020</f>
        <v>40352</v>
      </c>
      <c r="U4" s="21"/>
      <c r="W4" s="1" t="s">
        <v>13</v>
      </c>
      <c r="X4" s="21">
        <v>12886</v>
      </c>
      <c r="Y4" s="21">
        <v>12438</v>
      </c>
      <c r="Z4" s="21">
        <v>12135</v>
      </c>
      <c r="AA4" s="21">
        <v>14306</v>
      </c>
      <c r="AB4" s="21">
        <v>15801</v>
      </c>
      <c r="AC4" s="21"/>
      <c r="AE4" s="1" t="s">
        <v>13</v>
      </c>
      <c r="AF4" s="21">
        <f>21559+7762</f>
        <v>29321</v>
      </c>
      <c r="AG4" s="21">
        <f>22309+6090</f>
        <v>28399</v>
      </c>
      <c r="AH4" s="21">
        <f>22761+6367</f>
        <v>29128</v>
      </c>
      <c r="AI4" s="21">
        <f>26226+6513</f>
        <v>32739</v>
      </c>
      <c r="AJ4" s="21">
        <f>26188+6483</f>
        <v>32671</v>
      </c>
    </row>
    <row r="5" spans="1:53" s="18" customFormat="1" x14ac:dyDescent="0.3">
      <c r="A5" s="18" t="s">
        <v>14</v>
      </c>
      <c r="B5" s="79">
        <f>B3-B4</f>
        <v>8531</v>
      </c>
      <c r="C5" s="79">
        <f>C3-C4</f>
        <v>12491</v>
      </c>
      <c r="D5" s="79">
        <f>D3-D4</f>
        <v>13668</v>
      </c>
      <c r="E5" s="79">
        <f>E3-E4</f>
        <v>12089</v>
      </c>
      <c r="F5" s="79">
        <f>F3-F4</f>
        <v>15410</v>
      </c>
      <c r="H5" s="18" t="s">
        <v>14</v>
      </c>
      <c r="I5" s="79">
        <f>I3-I4</f>
        <v>8654</v>
      </c>
      <c r="J5" s="79">
        <f>J3-J4</f>
        <v>9061</v>
      </c>
      <c r="K5" s="79">
        <f>K3-K4</f>
        <v>8287</v>
      </c>
      <c r="L5" s="79">
        <f>L3-L4</f>
        <v>8479</v>
      </c>
      <c r="M5" s="79">
        <f>M3-M4</f>
        <v>6930</v>
      </c>
      <c r="O5" s="18" t="s">
        <v>14</v>
      </c>
      <c r="P5" s="79">
        <f>P3-P4</f>
        <v>6325</v>
      </c>
      <c r="Q5" s="79">
        <f>Q3-Q4</f>
        <v>6408</v>
      </c>
      <c r="R5" s="79">
        <f>R3-R4</f>
        <v>6622</v>
      </c>
      <c r="S5" s="79">
        <f>S3-S4</f>
        <v>6672</v>
      </c>
      <c r="T5" s="79">
        <f>T3-T4</f>
        <v>7364</v>
      </c>
      <c r="U5" s="79"/>
      <c r="W5" s="18" t="s">
        <v>14</v>
      </c>
      <c r="X5" s="79">
        <f>X3-X4</f>
        <v>5308</v>
      </c>
      <c r="Y5" s="79">
        <f>Y3-Y4</f>
        <v>5376</v>
      </c>
      <c r="Z5" s="79">
        <f>Z3-Z4</f>
        <v>4927</v>
      </c>
      <c r="AA5" s="79">
        <f>AA3-AA4</f>
        <v>5113</v>
      </c>
      <c r="AB5" s="79">
        <f>AB3-AB4</f>
        <v>5524</v>
      </c>
      <c r="AC5" s="79"/>
      <c r="AE5" s="18" t="s">
        <v>14</v>
      </c>
      <c r="AF5" s="79">
        <f>AF3-AF4</f>
        <v>7478</v>
      </c>
      <c r="AG5" s="79">
        <f>AG3-AG4</f>
        <v>7268</v>
      </c>
      <c r="AH5" s="79">
        <f>AH3-AH4</f>
        <v>7474</v>
      </c>
      <c r="AI5" s="79">
        <f>AI3-AI4</f>
        <v>6551</v>
      </c>
      <c r="AJ5" s="79">
        <f>AJ3-AJ4</f>
        <v>8362</v>
      </c>
    </row>
    <row r="6" spans="1:53" x14ac:dyDescent="0.3">
      <c r="A6" s="1" t="s">
        <v>15</v>
      </c>
      <c r="B6" s="21">
        <f>2582+5540</f>
        <v>8122</v>
      </c>
      <c r="C6" s="21">
        <f>2732+5224</f>
        <v>7956</v>
      </c>
      <c r="D6" s="21">
        <f>2711+5663</f>
        <v>8374</v>
      </c>
      <c r="E6" s="21">
        <f>2805+5809</f>
        <v>8614</v>
      </c>
      <c r="F6" s="21">
        <f>2934+5806</f>
        <v>8740</v>
      </c>
      <c r="H6" s="1" t="s">
        <v>15</v>
      </c>
      <c r="I6" s="21">
        <v>-10</v>
      </c>
      <c r="J6" s="21">
        <v>62</v>
      </c>
      <c r="K6" s="21">
        <v>61</v>
      </c>
      <c r="L6" s="21">
        <v>28</v>
      </c>
      <c r="M6" s="21">
        <v>83</v>
      </c>
      <c r="O6" s="1" t="s">
        <v>15</v>
      </c>
      <c r="P6" s="21">
        <v>2192</v>
      </c>
      <c r="Q6" s="21">
        <v>2245</v>
      </c>
      <c r="R6" s="21">
        <v>2411</v>
      </c>
      <c r="S6" s="21">
        <v>2427</v>
      </c>
      <c r="T6" s="21">
        <v>2568</v>
      </c>
      <c r="U6" s="21"/>
      <c r="W6" s="1" t="s">
        <v>15</v>
      </c>
      <c r="X6" s="21">
        <f>3315+51+767-401-16</f>
        <v>3716</v>
      </c>
      <c r="Y6" s="21">
        <f>3280-220+207-439</f>
        <v>2828</v>
      </c>
      <c r="Z6" s="21">
        <f>2998+802-425</f>
        <v>3375</v>
      </c>
      <c r="AA6" s="21">
        <f>3313+374-338</f>
        <v>3349</v>
      </c>
      <c r="AB6" s="21">
        <f>3568+38-354</f>
        <v>3252</v>
      </c>
      <c r="AC6" s="21"/>
      <c r="AE6" s="1" t="s">
        <v>15</v>
      </c>
      <c r="AF6" s="21">
        <f>3413+1198-1034</f>
        <v>3577</v>
      </c>
      <c r="AG6" s="21">
        <f>3597-1980-1469-2355-19</f>
        <v>-2226</v>
      </c>
      <c r="AH6" s="21">
        <f>3873-1505-1232-4</f>
        <v>1132</v>
      </c>
      <c r="AI6" s="21">
        <f>4014-530-246+422</f>
        <v>3660</v>
      </c>
      <c r="AJ6" s="21">
        <f>3992-656-443-168</f>
        <v>2725</v>
      </c>
    </row>
    <row r="7" spans="1:53" s="18" customFormat="1" x14ac:dyDescent="0.3">
      <c r="A7" s="18" t="s">
        <v>16</v>
      </c>
      <c r="B7" s="79">
        <f>B5-B6</f>
        <v>409</v>
      </c>
      <c r="C7" s="79">
        <f>C5-C6</f>
        <v>4535</v>
      </c>
      <c r="D7" s="79">
        <f>D5-D6</f>
        <v>5294</v>
      </c>
      <c r="E7" s="79">
        <f>E5-E6</f>
        <v>3475</v>
      </c>
      <c r="F7" s="79">
        <f>F5-F6</f>
        <v>6670</v>
      </c>
      <c r="H7" s="18" t="s">
        <v>16</v>
      </c>
      <c r="I7" s="79">
        <f>I5+I6</f>
        <v>8644</v>
      </c>
      <c r="J7" s="79">
        <f>J5+J6</f>
        <v>9123</v>
      </c>
      <c r="K7" s="79">
        <f>K5+K6</f>
        <v>8348</v>
      </c>
      <c r="L7" s="79">
        <f>L5+L6</f>
        <v>8507</v>
      </c>
      <c r="M7" s="79">
        <f>M5+M6</f>
        <v>7013</v>
      </c>
      <c r="O7" s="18" t="s">
        <v>16</v>
      </c>
      <c r="P7" s="79">
        <f>P5-P6</f>
        <v>4133</v>
      </c>
      <c r="Q7" s="79">
        <f>Q5-Q6</f>
        <v>4163</v>
      </c>
      <c r="R7" s="79">
        <f>R5-R6</f>
        <v>4211</v>
      </c>
      <c r="S7" s="79">
        <f>S5-S6</f>
        <v>4245</v>
      </c>
      <c r="T7" s="79">
        <f>T5-T6</f>
        <v>4796</v>
      </c>
      <c r="U7" s="79"/>
      <c r="W7" s="18" t="s">
        <v>16</v>
      </c>
      <c r="X7" s="79">
        <f>X5-X6</f>
        <v>1592</v>
      </c>
      <c r="Y7" s="79">
        <f t="shared" ref="Y7:AB7" si="0">Y5-Y6</f>
        <v>2548</v>
      </c>
      <c r="Z7" s="79">
        <f t="shared" si="0"/>
        <v>1552</v>
      </c>
      <c r="AA7" s="79">
        <f t="shared" si="0"/>
        <v>1764</v>
      </c>
      <c r="AB7" s="79">
        <f t="shared" si="0"/>
        <v>2272</v>
      </c>
      <c r="AC7" s="79"/>
      <c r="AE7" s="18" t="s">
        <v>16</v>
      </c>
      <c r="AF7" s="79">
        <f>AF5-AF6</f>
        <v>3901</v>
      </c>
      <c r="AG7" s="79">
        <f t="shared" ref="AG7:AJ7" si="1">AG5-AG6</f>
        <v>9494</v>
      </c>
      <c r="AH7" s="79">
        <f t="shared" si="1"/>
        <v>6342</v>
      </c>
      <c r="AI7" s="79">
        <f t="shared" si="1"/>
        <v>2891</v>
      </c>
      <c r="AJ7" s="79">
        <f t="shared" si="1"/>
        <v>5637</v>
      </c>
    </row>
    <row r="8" spans="1:53" x14ac:dyDescent="0.3">
      <c r="A8" s="1" t="s">
        <v>17</v>
      </c>
      <c r="B8" s="21">
        <v>1366</v>
      </c>
      <c r="C8" s="21">
        <v>1322</v>
      </c>
      <c r="D8" s="21">
        <v>1276</v>
      </c>
      <c r="E8" s="21">
        <v>1505</v>
      </c>
      <c r="F8" s="21">
        <v>1862</v>
      </c>
      <c r="H8" s="1" t="s">
        <v>17</v>
      </c>
      <c r="I8" s="21">
        <v>591</v>
      </c>
      <c r="J8" s="21">
        <v>569</v>
      </c>
      <c r="K8" s="21">
        <v>623</v>
      </c>
      <c r="L8" s="21">
        <v>916</v>
      </c>
      <c r="M8" s="21">
        <v>1036</v>
      </c>
      <c r="O8" s="1" t="s">
        <v>17</v>
      </c>
      <c r="P8" s="21">
        <v>477</v>
      </c>
      <c r="Q8" s="21">
        <v>424</v>
      </c>
      <c r="R8" s="21">
        <v>364</v>
      </c>
      <c r="S8" s="21">
        <v>343</v>
      </c>
      <c r="T8" s="21">
        <v>324</v>
      </c>
      <c r="U8" s="21"/>
      <c r="W8" s="1" t="s">
        <v>17</v>
      </c>
      <c r="X8" s="21">
        <v>270</v>
      </c>
      <c r="Y8" s="21">
        <v>265</v>
      </c>
      <c r="Z8" s="21">
        <v>279</v>
      </c>
      <c r="AA8" s="21">
        <v>543</v>
      </c>
      <c r="AB8" s="21">
        <v>675</v>
      </c>
      <c r="AC8" s="21"/>
      <c r="AE8" s="1" t="s">
        <v>17</v>
      </c>
      <c r="AF8" s="21">
        <v>593</v>
      </c>
      <c r="AG8" s="21">
        <v>556</v>
      </c>
      <c r="AH8" s="21">
        <v>506</v>
      </c>
      <c r="AI8" s="21">
        <v>545</v>
      </c>
      <c r="AJ8" s="21">
        <v>621</v>
      </c>
    </row>
    <row r="9" spans="1:53" x14ac:dyDescent="0.3">
      <c r="A9" s="1" t="s">
        <v>18</v>
      </c>
      <c r="B9" s="21">
        <v>575</v>
      </c>
      <c r="C9" s="21">
        <v>786</v>
      </c>
      <c r="D9" s="21">
        <v>790</v>
      </c>
      <c r="E9" s="21">
        <v>456</v>
      </c>
      <c r="F9" s="21">
        <v>1181</v>
      </c>
      <c r="H9" s="1" t="s">
        <v>18</v>
      </c>
      <c r="I9" s="21">
        <v>1347</v>
      </c>
      <c r="J9" s="21">
        <v>1235</v>
      </c>
      <c r="K9" s="21">
        <v>948</v>
      </c>
      <c r="L9" s="21">
        <v>1178</v>
      </c>
      <c r="M9" s="21">
        <v>884</v>
      </c>
      <c r="O9" s="1" t="s">
        <v>18</v>
      </c>
      <c r="P9" s="21">
        <v>571</v>
      </c>
      <c r="Q9" s="21">
        <v>616</v>
      </c>
      <c r="R9" s="21">
        <v>646</v>
      </c>
      <c r="S9" s="21">
        <v>669</v>
      </c>
      <c r="T9" s="21">
        <v>758</v>
      </c>
      <c r="U9" s="21"/>
      <c r="W9" s="1" t="s">
        <v>18</v>
      </c>
      <c r="X9" s="21">
        <v>234</v>
      </c>
      <c r="Y9" s="21">
        <v>440</v>
      </c>
      <c r="Z9" s="21">
        <v>212</v>
      </c>
      <c r="AA9" s="21">
        <v>23</v>
      </c>
      <c r="AB9" s="21">
        <v>85</v>
      </c>
      <c r="AC9" s="21"/>
      <c r="AE9" s="1" t="s">
        <v>18</v>
      </c>
      <c r="AF9" s="21">
        <v>539</v>
      </c>
      <c r="AG9" s="21">
        <v>1933</v>
      </c>
      <c r="AH9" s="21">
        <v>940</v>
      </c>
      <c r="AI9" s="21">
        <v>290</v>
      </c>
      <c r="AJ9" s="21">
        <v>842</v>
      </c>
    </row>
    <row r="10" spans="1:53" s="18" customFormat="1" x14ac:dyDescent="0.3">
      <c r="A10" s="18" t="s">
        <v>19</v>
      </c>
      <c r="B10" s="79">
        <f>B7-B8-B9</f>
        <v>-1532</v>
      </c>
      <c r="C10" s="79">
        <f>C7-C8-C9</f>
        <v>2427</v>
      </c>
      <c r="D10" s="79">
        <f>D7-D8-D9</f>
        <v>3228</v>
      </c>
      <c r="E10" s="79">
        <f>E7-E8-E9</f>
        <v>1514</v>
      </c>
      <c r="F10" s="79">
        <f>F7-F8-F9</f>
        <v>3627</v>
      </c>
      <c r="H10" s="18" t="s">
        <v>19</v>
      </c>
      <c r="I10" s="79">
        <f>I7-I8-I9</f>
        <v>6706</v>
      </c>
      <c r="J10" s="79">
        <f>J7-J8-J9</f>
        <v>7319</v>
      </c>
      <c r="K10" s="79">
        <f>K7-K8-K9</f>
        <v>6777</v>
      </c>
      <c r="L10" s="79">
        <f>L7-L8-L9</f>
        <v>6413</v>
      </c>
      <c r="M10" s="79">
        <f>M7-M8-M9</f>
        <v>5093</v>
      </c>
      <c r="O10" s="18" t="s">
        <v>19</v>
      </c>
      <c r="P10" s="79">
        <f>P7-P8-P9</f>
        <v>3085</v>
      </c>
      <c r="Q10" s="79">
        <f>Q7-Q8-Q9</f>
        <v>3123</v>
      </c>
      <c r="R10" s="79">
        <f>R7-R8-R9</f>
        <v>3201</v>
      </c>
      <c r="S10" s="79">
        <f>S7-S8-S9</f>
        <v>3233</v>
      </c>
      <c r="T10" s="79">
        <f>T7-T8-T9</f>
        <v>3714</v>
      </c>
      <c r="U10" s="79"/>
      <c r="W10" s="18" t="s">
        <v>19</v>
      </c>
      <c r="X10" s="79">
        <f>X7-X8-X9</f>
        <v>1088</v>
      </c>
      <c r="Y10" s="79">
        <f>Y7-Y8-Y9</f>
        <v>1843</v>
      </c>
      <c r="Z10" s="79">
        <f>Z7-Z8-Z9</f>
        <v>1061</v>
      </c>
      <c r="AA10" s="79">
        <f>AA7-AA8-AA9</f>
        <v>1198</v>
      </c>
      <c r="AB10" s="79">
        <f>AB7-AB8-AB9</f>
        <v>1512</v>
      </c>
      <c r="AC10" s="79"/>
      <c r="AE10" s="18" t="s">
        <v>19</v>
      </c>
      <c r="AF10" s="79">
        <f>AF7-AF8-AF9</f>
        <v>2769</v>
      </c>
      <c r="AG10" s="79">
        <f>AG7-AG8-AG9</f>
        <v>7005</v>
      </c>
      <c r="AH10" s="79">
        <f>AH7-AH8-AH9</f>
        <v>4896</v>
      </c>
      <c r="AI10" s="79">
        <f>AI7-AI8-AI9</f>
        <v>2056</v>
      </c>
      <c r="AJ10" s="79">
        <f>AJ7-AJ8-AJ9</f>
        <v>4174</v>
      </c>
    </row>
    <row r="12" spans="1:53" x14ac:dyDescent="0.3">
      <c r="A12" s="18" t="s">
        <v>20</v>
      </c>
      <c r="H12" s="18" t="s">
        <v>20</v>
      </c>
      <c r="O12" s="18" t="s">
        <v>20</v>
      </c>
      <c r="W12" s="18" t="s">
        <v>20</v>
      </c>
      <c r="AE12" s="18" t="s">
        <v>20</v>
      </c>
    </row>
    <row r="13" spans="1:53" x14ac:dyDescent="0.3">
      <c r="A13" s="18" t="s">
        <v>11</v>
      </c>
      <c r="B13" s="20" t="s">
        <v>36</v>
      </c>
      <c r="C13" s="20" t="s">
        <v>37</v>
      </c>
      <c r="D13" s="20" t="s">
        <v>38</v>
      </c>
      <c r="E13" s="20" t="s">
        <v>39</v>
      </c>
      <c r="F13" s="20" t="s">
        <v>40</v>
      </c>
      <c r="H13" s="18" t="s">
        <v>11</v>
      </c>
      <c r="I13" s="20" t="s">
        <v>36</v>
      </c>
      <c r="J13" s="20" t="s">
        <v>37</v>
      </c>
      <c r="K13" s="20" t="s">
        <v>38</v>
      </c>
      <c r="L13" s="20" t="s">
        <v>39</v>
      </c>
      <c r="M13" s="20" t="s">
        <v>40</v>
      </c>
      <c r="O13" s="18" t="s">
        <v>11</v>
      </c>
      <c r="P13" s="20" t="s">
        <v>36</v>
      </c>
      <c r="Q13" s="20" t="s">
        <v>37</v>
      </c>
      <c r="R13" s="20" t="s">
        <v>38</v>
      </c>
      <c r="S13" s="20" t="s">
        <v>39</v>
      </c>
      <c r="T13" s="20" t="s">
        <v>40</v>
      </c>
      <c r="U13" s="20"/>
      <c r="W13" s="18" t="s">
        <v>11</v>
      </c>
      <c r="X13" s="20" t="s">
        <v>36</v>
      </c>
      <c r="Y13" s="20" t="s">
        <v>37</v>
      </c>
      <c r="Z13" s="20" t="s">
        <v>38</v>
      </c>
      <c r="AA13" s="20" t="s">
        <v>39</v>
      </c>
      <c r="AB13" s="20" t="s">
        <v>40</v>
      </c>
      <c r="AC13" s="20"/>
      <c r="AE13" s="18" t="s">
        <v>11</v>
      </c>
      <c r="AF13" s="20" t="s">
        <v>36</v>
      </c>
      <c r="AG13" s="20" t="s">
        <v>37</v>
      </c>
      <c r="AH13" s="20" t="s">
        <v>38</v>
      </c>
      <c r="AI13" s="20" t="s">
        <v>39</v>
      </c>
      <c r="AJ13" s="20" t="s">
        <v>40</v>
      </c>
    </row>
    <row r="14" spans="1:53" s="18" customFormat="1" x14ac:dyDescent="0.3">
      <c r="A14" s="18" t="s">
        <v>21</v>
      </c>
      <c r="B14" s="79">
        <v>43376</v>
      </c>
      <c r="C14" s="79">
        <v>42050</v>
      </c>
      <c r="D14" s="79">
        <v>42443</v>
      </c>
      <c r="E14" s="79">
        <v>48417</v>
      </c>
      <c r="F14" s="79">
        <v>51133</v>
      </c>
      <c r="H14" s="18" t="s">
        <v>21</v>
      </c>
      <c r="I14" s="79">
        <v>19378</v>
      </c>
      <c r="J14" s="79">
        <v>19815</v>
      </c>
      <c r="K14" s="79">
        <v>20991</v>
      </c>
      <c r="L14" s="79">
        <v>20521</v>
      </c>
      <c r="M14" s="79">
        <v>21849</v>
      </c>
      <c r="O14" s="18" t="s">
        <v>21</v>
      </c>
      <c r="P14" s="79">
        <v>21543</v>
      </c>
      <c r="Q14" s="79">
        <v>19987</v>
      </c>
      <c r="R14" s="79">
        <v>21063</v>
      </c>
      <c r="S14" s="79">
        <v>23615</v>
      </c>
      <c r="T14" s="79">
        <v>24386</v>
      </c>
      <c r="U14" s="79"/>
      <c r="W14" s="18" t="s">
        <v>21</v>
      </c>
      <c r="X14" s="79">
        <v>6667</v>
      </c>
      <c r="Y14" s="79">
        <v>6359</v>
      </c>
      <c r="Z14" s="79">
        <v>6754</v>
      </c>
      <c r="AA14" s="79">
        <v>8055</v>
      </c>
      <c r="AB14" s="79">
        <v>8218</v>
      </c>
      <c r="AC14" s="79"/>
      <c r="AE14" s="18" t="s">
        <v>21</v>
      </c>
      <c r="AF14" s="79">
        <v>15344</v>
      </c>
      <c r="AG14" s="79">
        <v>12426</v>
      </c>
      <c r="AH14" s="79">
        <v>12488</v>
      </c>
      <c r="AI14" s="79">
        <v>13706</v>
      </c>
      <c r="AJ14" s="79">
        <v>14274</v>
      </c>
    </row>
    <row r="15" spans="1:53" x14ac:dyDescent="0.3">
      <c r="A15" s="1" t="s">
        <v>22</v>
      </c>
      <c r="B15" s="21">
        <v>8802</v>
      </c>
      <c r="C15" s="21">
        <v>7832</v>
      </c>
      <c r="D15" s="21">
        <v>6220</v>
      </c>
      <c r="E15" s="21">
        <v>6587</v>
      </c>
      <c r="F15" s="21">
        <v>5578</v>
      </c>
      <c r="H15" s="1" t="s">
        <v>22</v>
      </c>
      <c r="I15" s="21">
        <v>3160</v>
      </c>
      <c r="J15" s="21">
        <v>3604</v>
      </c>
      <c r="K15" s="21">
        <v>2547</v>
      </c>
      <c r="L15" s="21">
        <v>1442</v>
      </c>
      <c r="M15" s="21">
        <v>2483</v>
      </c>
      <c r="O15" s="1" t="s">
        <v>22</v>
      </c>
      <c r="P15" s="21">
        <v>2824</v>
      </c>
      <c r="Q15" s="21">
        <v>1603</v>
      </c>
      <c r="R15" s="21">
        <v>1242</v>
      </c>
      <c r="S15" s="21">
        <v>1913</v>
      </c>
      <c r="T15" s="21">
        <v>1697</v>
      </c>
      <c r="U15" s="21"/>
      <c r="W15" s="1" t="s">
        <v>22</v>
      </c>
      <c r="X15" s="21">
        <v>1276</v>
      </c>
      <c r="Y15" s="21">
        <v>941</v>
      </c>
      <c r="Z15" s="21">
        <v>880</v>
      </c>
      <c r="AA15" s="21">
        <v>560</v>
      </c>
      <c r="AB15" s="21">
        <v>615</v>
      </c>
      <c r="AC15" s="21"/>
      <c r="AE15" s="1" t="s">
        <v>22</v>
      </c>
      <c r="AF15" s="21">
        <v>4907</v>
      </c>
      <c r="AG15" s="21">
        <v>3530</v>
      </c>
      <c r="AH15" s="21">
        <v>2577</v>
      </c>
      <c r="AI15" s="21">
        <v>3109</v>
      </c>
      <c r="AJ15" s="21">
        <v>4353</v>
      </c>
    </row>
    <row r="16" spans="1:53" s="18" customFormat="1" x14ac:dyDescent="0.3">
      <c r="A16" s="18" t="s">
        <v>23</v>
      </c>
      <c r="B16" s="79">
        <v>35848</v>
      </c>
      <c r="C16" s="79">
        <v>35449</v>
      </c>
      <c r="D16" s="79">
        <v>39114</v>
      </c>
      <c r="E16" s="79">
        <v>46761</v>
      </c>
      <c r="F16" s="79">
        <v>51499</v>
      </c>
      <c r="H16" s="18" t="s">
        <v>23</v>
      </c>
      <c r="I16" s="79">
        <v>13933</v>
      </c>
      <c r="J16" s="79">
        <v>13997</v>
      </c>
      <c r="K16" s="79">
        <v>15887</v>
      </c>
      <c r="L16" s="79">
        <v>16937</v>
      </c>
      <c r="M16" s="79">
        <v>19420</v>
      </c>
      <c r="O16" s="18" t="s">
        <v>23</v>
      </c>
      <c r="P16" s="79">
        <v>15964</v>
      </c>
      <c r="Q16" s="79">
        <v>13978</v>
      </c>
      <c r="R16" s="79">
        <v>15341</v>
      </c>
      <c r="S16" s="79">
        <v>16432</v>
      </c>
      <c r="T16" s="79">
        <v>17824</v>
      </c>
      <c r="U16" s="79"/>
      <c r="W16" s="18" t="s">
        <v>23</v>
      </c>
      <c r="X16" s="79">
        <v>4240</v>
      </c>
      <c r="Y16" s="79">
        <v>4551</v>
      </c>
      <c r="Z16" s="79">
        <v>5776</v>
      </c>
      <c r="AA16" s="79">
        <v>8004</v>
      </c>
      <c r="AB16" s="79">
        <v>7633</v>
      </c>
      <c r="AC16" s="79"/>
      <c r="AE16" s="18" t="s">
        <v>23</v>
      </c>
      <c r="AF16" s="79">
        <v>9580</v>
      </c>
      <c r="AG16" s="79">
        <v>9530</v>
      </c>
      <c r="AH16" s="79">
        <v>11587</v>
      </c>
      <c r="AI16" s="79">
        <v>11942</v>
      </c>
      <c r="AJ16" s="79">
        <v>14128</v>
      </c>
      <c r="AN16" s="63"/>
      <c r="AO16" s="63"/>
      <c r="AP16" s="63"/>
      <c r="AQ16" s="63"/>
      <c r="AR16" s="63"/>
      <c r="AS16" s="63"/>
      <c r="AV16" s="63"/>
      <c r="AW16" s="63"/>
      <c r="AX16" s="63"/>
      <c r="AY16" s="63"/>
      <c r="AZ16" s="63"/>
      <c r="BA16" s="63"/>
    </row>
    <row r="17" spans="1:53" x14ac:dyDescent="0.3">
      <c r="A17" s="1" t="s">
        <v>24</v>
      </c>
      <c r="B17" s="21">
        <v>9411</v>
      </c>
      <c r="C17" s="21">
        <v>9178</v>
      </c>
      <c r="D17" s="21">
        <v>10617</v>
      </c>
      <c r="E17" s="21">
        <v>11777</v>
      </c>
      <c r="F17" s="21">
        <v>12768</v>
      </c>
      <c r="H17" s="1" t="s">
        <v>24</v>
      </c>
      <c r="I17" s="21">
        <v>3545</v>
      </c>
      <c r="J17" s="21">
        <v>2981</v>
      </c>
      <c r="K17" s="21">
        <v>3088</v>
      </c>
      <c r="L17" s="21">
        <v>3132</v>
      </c>
      <c r="M17" s="21">
        <v>3474</v>
      </c>
      <c r="O17" s="1" t="s">
        <v>24</v>
      </c>
      <c r="P17" s="21">
        <v>5745</v>
      </c>
      <c r="Q17" s="21">
        <v>5340</v>
      </c>
      <c r="R17" s="21">
        <v>6322</v>
      </c>
      <c r="S17" s="21">
        <v>8578</v>
      </c>
      <c r="T17" s="21">
        <v>9724</v>
      </c>
      <c r="U17" s="21"/>
      <c r="W17" s="1" t="s">
        <v>24</v>
      </c>
      <c r="X17" s="21">
        <v>973</v>
      </c>
      <c r="Y17" s="21">
        <v>982</v>
      </c>
      <c r="Z17" s="21">
        <v>1291</v>
      </c>
      <c r="AA17" s="21">
        <v>1472</v>
      </c>
      <c r="AB17" s="21">
        <v>1330</v>
      </c>
      <c r="AC17" s="21"/>
      <c r="AE17" s="1" t="s">
        <v>24</v>
      </c>
      <c r="AF17" s="21">
        <v>759</v>
      </c>
      <c r="AG17" s="21">
        <v>811</v>
      </c>
      <c r="AH17" s="21">
        <v>978</v>
      </c>
      <c r="AI17" s="21">
        <v>1109</v>
      </c>
      <c r="AJ17" s="21">
        <v>1455</v>
      </c>
    </row>
    <row r="18" spans="1:53" x14ac:dyDescent="0.3">
      <c r="A18" s="1" t="s">
        <v>25</v>
      </c>
      <c r="B18" s="21">
        <v>9254</v>
      </c>
      <c r="C18" s="21">
        <v>9661</v>
      </c>
      <c r="D18" s="21">
        <v>9108</v>
      </c>
      <c r="E18" s="21">
        <v>10838</v>
      </c>
      <c r="F18" s="21">
        <v>10976</v>
      </c>
      <c r="H18" s="1" t="s">
        <v>25</v>
      </c>
      <c r="I18" s="21">
        <v>1978</v>
      </c>
      <c r="J18" s="21">
        <v>1963</v>
      </c>
      <c r="K18" s="21">
        <v>2505</v>
      </c>
      <c r="L18" s="21">
        <v>2132</v>
      </c>
      <c r="M18" s="21">
        <v>2351</v>
      </c>
      <c r="O18" s="1" t="s">
        <v>25</v>
      </c>
      <c r="P18" s="21">
        <v>3161</v>
      </c>
      <c r="Q18" s="21">
        <v>3041</v>
      </c>
      <c r="R18" s="21">
        <v>3008</v>
      </c>
      <c r="S18" s="21">
        <v>3004</v>
      </c>
      <c r="T18" s="21">
        <v>2977</v>
      </c>
      <c r="U18" s="21"/>
      <c r="W18" s="1" t="s">
        <v>25</v>
      </c>
      <c r="X18" s="21">
        <v>1344</v>
      </c>
      <c r="Y18" s="21">
        <v>1045</v>
      </c>
      <c r="Z18" s="21">
        <v>1251</v>
      </c>
      <c r="AA18" s="21">
        <v>1230</v>
      </c>
      <c r="AB18" s="21">
        <v>1072</v>
      </c>
      <c r="AC18" s="21"/>
      <c r="AE18" s="1" t="s">
        <v>25</v>
      </c>
      <c r="AF18" s="21">
        <v>1501</v>
      </c>
      <c r="AG18" s="21">
        <v>1467</v>
      </c>
      <c r="AH18" s="21">
        <v>1511</v>
      </c>
      <c r="AI18" s="21">
        <v>1454</v>
      </c>
      <c r="AJ18" s="21">
        <v>1272</v>
      </c>
    </row>
    <row r="19" spans="1:53" x14ac:dyDescent="0.3">
      <c r="A19" s="1" t="s">
        <v>26</v>
      </c>
      <c r="B19" s="21">
        <v>8639</v>
      </c>
      <c r="C19" s="21">
        <v>8751</v>
      </c>
      <c r="D19" s="21">
        <v>9896</v>
      </c>
      <c r="E19" s="21">
        <v>10698</v>
      </c>
      <c r="F19" s="21">
        <v>12897</v>
      </c>
      <c r="H19" s="1" t="s">
        <v>26</v>
      </c>
      <c r="I19" s="21">
        <v>880</v>
      </c>
      <c r="J19" s="21">
        <v>780</v>
      </c>
      <c r="K19" s="21">
        <v>2117</v>
      </c>
      <c r="L19" s="21">
        <v>2312</v>
      </c>
      <c r="M19" s="21">
        <v>2222</v>
      </c>
      <c r="O19" s="1" t="s">
        <v>26</v>
      </c>
      <c r="P19" s="21">
        <v>2952</v>
      </c>
      <c r="Q19" s="21">
        <v>3167</v>
      </c>
      <c r="R19" s="21">
        <v>3398</v>
      </c>
      <c r="S19" s="21">
        <v>3095</v>
      </c>
      <c r="T19" s="21">
        <v>3344</v>
      </c>
      <c r="U19" s="21"/>
      <c r="W19" s="1" t="s">
        <v>26</v>
      </c>
      <c r="X19" s="21">
        <v>1406</v>
      </c>
      <c r="Y19" s="21">
        <v>1767</v>
      </c>
      <c r="Z19" s="21">
        <v>1945</v>
      </c>
      <c r="AA19" s="21">
        <v>2106</v>
      </c>
      <c r="AB19" s="21">
        <v>2005</v>
      </c>
      <c r="AC19" s="21"/>
      <c r="AE19" s="1" t="s">
        <v>26</v>
      </c>
      <c r="AF19" s="21">
        <v>1806</v>
      </c>
      <c r="AG19" s="21">
        <v>2197</v>
      </c>
      <c r="AH19" s="21">
        <v>2587</v>
      </c>
      <c r="AI19" s="21">
        <v>2110</v>
      </c>
      <c r="AJ19" s="21">
        <v>2599</v>
      </c>
    </row>
    <row r="20" spans="1:53" x14ac:dyDescent="0.3">
      <c r="A20" s="1" t="s">
        <v>27</v>
      </c>
      <c r="B20" s="21">
        <v>14962</v>
      </c>
      <c r="C20" s="21">
        <v>14972</v>
      </c>
      <c r="D20" s="21">
        <v>15170</v>
      </c>
      <c r="E20" s="21">
        <v>15748</v>
      </c>
      <c r="F20" s="21">
        <v>16089</v>
      </c>
      <c r="H20" s="1" t="s">
        <v>27</v>
      </c>
      <c r="I20" s="21">
        <v>7213</v>
      </c>
      <c r="J20" s="21">
        <v>7597</v>
      </c>
      <c r="K20" s="21">
        <v>7975</v>
      </c>
      <c r="L20" s="21">
        <v>8370</v>
      </c>
      <c r="M20" s="21">
        <v>8726</v>
      </c>
      <c r="O20" s="1" t="s">
        <v>27</v>
      </c>
      <c r="P20" s="21">
        <v>5100</v>
      </c>
      <c r="Q20" s="21">
        <v>5417</v>
      </c>
      <c r="R20" s="21">
        <v>5900</v>
      </c>
      <c r="S20" s="21">
        <v>6198</v>
      </c>
      <c r="T20" s="21">
        <v>6467</v>
      </c>
      <c r="U20" s="21"/>
      <c r="W20" s="1" t="s">
        <v>27</v>
      </c>
      <c r="X20" s="21">
        <v>2102</v>
      </c>
      <c r="Y20" s="21">
        <v>2101</v>
      </c>
      <c r="Z20" s="21">
        <v>2104</v>
      </c>
      <c r="AA20" s="21">
        <v>2862</v>
      </c>
      <c r="AB20" s="21">
        <v>2806</v>
      </c>
      <c r="AC20" s="21"/>
      <c r="AE20" s="1" t="s">
        <v>27</v>
      </c>
      <c r="AF20" s="21">
        <v>7071</v>
      </c>
      <c r="AG20" s="21">
        <v>7894</v>
      </c>
      <c r="AH20" s="21">
        <v>8800</v>
      </c>
      <c r="AI20" s="21">
        <v>9653</v>
      </c>
      <c r="AJ20" s="21">
        <v>10536</v>
      </c>
    </row>
    <row r="21" spans="1:53" s="18" customFormat="1" x14ac:dyDescent="0.3">
      <c r="A21" s="18" t="s">
        <v>28</v>
      </c>
      <c r="B21" s="79">
        <f>247+550+31026</f>
        <v>31823</v>
      </c>
      <c r="C21" s="79">
        <f>134+24+31327</f>
        <v>31485</v>
      </c>
      <c r="D21" s="79">
        <f>625+595+30694</f>
        <v>31914</v>
      </c>
      <c r="E21" s="79">
        <f>189+1283+42355</f>
        <v>43827</v>
      </c>
      <c r="F21" s="79">
        <f>183+2352+38726</f>
        <v>41261</v>
      </c>
      <c r="H21" s="18" t="s">
        <v>28</v>
      </c>
      <c r="I21" s="79">
        <f>500+11669</f>
        <v>12169</v>
      </c>
      <c r="J21" s="79">
        <f>6+11670</f>
        <v>11676</v>
      </c>
      <c r="K21" s="79">
        <f>118+15429</f>
        <v>15547</v>
      </c>
      <c r="L21" s="79">
        <f>168+17291</f>
        <v>17459</v>
      </c>
      <c r="M21" s="79">
        <f>643+19627</f>
        <v>20270</v>
      </c>
      <c r="O21" s="18" t="s">
        <v>28</v>
      </c>
      <c r="P21" s="79">
        <f>3003+9995</f>
        <v>12998</v>
      </c>
      <c r="Q21" s="79">
        <f>1005+10490</f>
        <v>11495</v>
      </c>
      <c r="R21" s="79">
        <f>1253+9243</f>
        <v>10496</v>
      </c>
      <c r="S21" s="79">
        <f>507+8754</f>
        <v>9261</v>
      </c>
      <c r="T21" s="79">
        <f>1502+7260</f>
        <v>8762</v>
      </c>
      <c r="U21" s="79"/>
      <c r="W21" s="18" t="s">
        <v>28</v>
      </c>
      <c r="X21" s="79">
        <f>2+8+6908</f>
        <v>6918</v>
      </c>
      <c r="Y21" s="79">
        <f>2+11+7048</f>
        <v>7061</v>
      </c>
      <c r="Z21" s="79">
        <f>2+818+6225</f>
        <v>7045</v>
      </c>
      <c r="AA21" s="79">
        <f>1602+363+11160</f>
        <v>13125</v>
      </c>
      <c r="AB21" s="79">
        <f>515+640+11081</f>
        <v>12236</v>
      </c>
      <c r="AC21" s="79"/>
      <c r="AE21" s="18" t="s">
        <v>28</v>
      </c>
      <c r="AF21" s="79">
        <f>14261</f>
        <v>14261</v>
      </c>
      <c r="AG21" s="79">
        <f>12777</f>
        <v>12777</v>
      </c>
      <c r="AH21" s="79">
        <v>11805</v>
      </c>
      <c r="AI21" s="79">
        <v>13786</v>
      </c>
      <c r="AJ21" s="79">
        <v>14692</v>
      </c>
      <c r="AN21" s="63"/>
      <c r="AO21" s="63"/>
      <c r="AP21" s="63"/>
      <c r="AQ21" s="63"/>
      <c r="AR21" s="63"/>
      <c r="AS21" s="63"/>
      <c r="AV21" s="63"/>
      <c r="AW21" s="63"/>
      <c r="AX21" s="63"/>
      <c r="AY21" s="63"/>
      <c r="AZ21" s="63"/>
      <c r="BA21" s="63"/>
    </row>
    <row r="22" spans="1:53" x14ac:dyDescent="0.3">
      <c r="A22" s="1" t="s">
        <v>29</v>
      </c>
      <c r="B22" s="21">
        <f>73852</f>
        <v>73852</v>
      </c>
      <c r="C22" s="21">
        <v>74664</v>
      </c>
      <c r="D22" s="21">
        <v>74178</v>
      </c>
      <c r="E22" s="21">
        <f>61410</f>
        <v>61410</v>
      </c>
      <c r="F22" s="21">
        <v>61923</v>
      </c>
      <c r="H22" s="1" t="s">
        <v>29</v>
      </c>
      <c r="I22" s="21">
        <v>6038</v>
      </c>
      <c r="J22" s="21">
        <v>10959</v>
      </c>
      <c r="K22" s="21">
        <v>9266</v>
      </c>
      <c r="L22" s="21">
        <v>6835</v>
      </c>
      <c r="M22" s="21">
        <v>6333</v>
      </c>
      <c r="O22" s="1" t="s">
        <v>29</v>
      </c>
      <c r="P22" s="21">
        <v>15661</v>
      </c>
      <c r="Q22" s="21">
        <v>17641</v>
      </c>
      <c r="R22" s="21">
        <v>18568</v>
      </c>
      <c r="S22" s="21">
        <v>21299</v>
      </c>
      <c r="T22" s="21">
        <v>22063</v>
      </c>
      <c r="U22" s="21"/>
      <c r="W22" s="1" t="s">
        <v>29</v>
      </c>
      <c r="X22" s="21">
        <v>20841</v>
      </c>
      <c r="Y22" s="21">
        <v>19319</v>
      </c>
      <c r="Z22" s="21">
        <v>18624</v>
      </c>
      <c r="AA22" s="21">
        <v>18829</v>
      </c>
      <c r="AB22" s="21">
        <v>19579</v>
      </c>
      <c r="AC22" s="21"/>
      <c r="AE22" s="1" t="s">
        <v>29</v>
      </c>
      <c r="AF22" s="21">
        <v>10579</v>
      </c>
      <c r="AG22" s="21">
        <v>12926</v>
      </c>
      <c r="AH22" s="21">
        <v>15312</v>
      </c>
      <c r="AI22" s="21">
        <v>14795</v>
      </c>
      <c r="AJ22" s="21">
        <v>15290</v>
      </c>
    </row>
    <row r="23" spans="1:53" s="18" customFormat="1" x14ac:dyDescent="0.3">
      <c r="H23" s="18" t="s">
        <v>120</v>
      </c>
      <c r="I23" s="79"/>
      <c r="J23" s="79"/>
      <c r="K23" s="79"/>
      <c r="L23" s="79"/>
      <c r="M23" s="79"/>
      <c r="O23" s="18" t="s">
        <v>117</v>
      </c>
      <c r="P23" s="79">
        <v>51308</v>
      </c>
      <c r="Q23" s="79">
        <v>50073</v>
      </c>
      <c r="R23" s="79">
        <v>51585</v>
      </c>
      <c r="S23" s="79">
        <v>54810</v>
      </c>
      <c r="T23" s="79">
        <v>55880</v>
      </c>
      <c r="U23" s="79"/>
      <c r="W23" s="18" t="s">
        <v>120</v>
      </c>
      <c r="X23" s="79">
        <v>36960</v>
      </c>
      <c r="Y23" s="79">
        <v>34709</v>
      </c>
      <c r="Z23" s="79">
        <v>33524</v>
      </c>
      <c r="AA23" s="79">
        <v>41687</v>
      </c>
      <c r="AB23" s="79">
        <v>42001</v>
      </c>
      <c r="AC23" s="79"/>
      <c r="AE23" s="18" t="s">
        <v>120</v>
      </c>
      <c r="AF23" s="79">
        <v>44469</v>
      </c>
      <c r="AG23" s="79">
        <v>42579</v>
      </c>
      <c r="AH23" s="79">
        <v>43755</v>
      </c>
      <c r="AI23" s="79">
        <v>46544</v>
      </c>
      <c r="AJ23" s="79">
        <v>49359</v>
      </c>
      <c r="AN23" s="63"/>
      <c r="AO23" s="63"/>
      <c r="AP23" s="63"/>
      <c r="AQ23" s="63"/>
      <c r="AR23" s="63"/>
      <c r="AS23" s="63"/>
      <c r="AV23" s="63"/>
      <c r="AW23" s="63"/>
      <c r="AX23" s="63"/>
      <c r="AY23" s="63"/>
      <c r="AZ23" s="63"/>
      <c r="BA23" s="63"/>
    </row>
    <row r="24" spans="1:53" x14ac:dyDescent="0.3">
      <c r="A24" s="18" t="s">
        <v>30</v>
      </c>
    </row>
    <row r="25" spans="1:53" x14ac:dyDescent="0.3">
      <c r="A25" s="18" t="s">
        <v>11</v>
      </c>
      <c r="B25" s="20" t="s">
        <v>36</v>
      </c>
      <c r="C25" s="20" t="s">
        <v>37</v>
      </c>
      <c r="D25" s="20" t="s">
        <v>38</v>
      </c>
      <c r="E25" s="20" t="s">
        <v>39</v>
      </c>
      <c r="F25" s="20" t="s">
        <v>40</v>
      </c>
      <c r="H25" s="18" t="s">
        <v>30</v>
      </c>
      <c r="O25" s="18" t="s">
        <v>30</v>
      </c>
      <c r="W25" s="18" t="s">
        <v>30</v>
      </c>
      <c r="AE25" s="18" t="s">
        <v>30</v>
      </c>
    </row>
    <row r="26" spans="1:53" x14ac:dyDescent="0.3">
      <c r="A26" s="1" t="s">
        <v>31</v>
      </c>
      <c r="B26" s="21">
        <v>4334</v>
      </c>
      <c r="C26" s="21">
        <v>7142</v>
      </c>
      <c r="D26" s="21">
        <v>7168</v>
      </c>
      <c r="E26" s="21">
        <v>7883</v>
      </c>
      <c r="F26" s="21">
        <v>7159</v>
      </c>
      <c r="H26" s="18" t="s">
        <v>11</v>
      </c>
      <c r="I26" s="20" t="s">
        <v>36</v>
      </c>
      <c r="J26" s="20" t="s">
        <v>37</v>
      </c>
      <c r="K26" s="20" t="s">
        <v>38</v>
      </c>
      <c r="L26" s="20" t="s">
        <v>39</v>
      </c>
      <c r="M26" s="20" t="s">
        <v>40</v>
      </c>
      <c r="O26" s="18" t="s">
        <v>11</v>
      </c>
      <c r="P26" s="20" t="s">
        <v>36</v>
      </c>
      <c r="Q26" s="20" t="s">
        <v>37</v>
      </c>
      <c r="R26" s="20" t="s">
        <v>38</v>
      </c>
      <c r="S26" s="20" t="s">
        <v>39</v>
      </c>
      <c r="T26" s="20" t="s">
        <v>40</v>
      </c>
      <c r="U26" s="20"/>
      <c r="W26" s="18" t="s">
        <v>11</v>
      </c>
      <c r="X26" s="20" t="s">
        <v>36</v>
      </c>
      <c r="Y26" s="20" t="s">
        <v>37</v>
      </c>
      <c r="Z26" s="20" t="s">
        <v>38</v>
      </c>
      <c r="AA26" s="20" t="s">
        <v>39</v>
      </c>
      <c r="AB26" s="20" t="s">
        <v>40</v>
      </c>
      <c r="AC26" s="20"/>
      <c r="AE26" s="18" t="s">
        <v>11</v>
      </c>
      <c r="AF26" s="20" t="s">
        <v>36</v>
      </c>
      <c r="AG26" s="20" t="s">
        <v>37</v>
      </c>
      <c r="AH26" s="20" t="s">
        <v>38</v>
      </c>
      <c r="AI26" s="20" t="s">
        <v>39</v>
      </c>
      <c r="AJ26" s="20" t="s">
        <v>40</v>
      </c>
    </row>
    <row r="27" spans="1:53" x14ac:dyDescent="0.3">
      <c r="A27" s="1" t="s">
        <v>32</v>
      </c>
      <c r="B27" s="21">
        <v>1795</v>
      </c>
      <c r="C27" s="21">
        <v>2134</v>
      </c>
      <c r="D27" s="21">
        <v>2288</v>
      </c>
      <c r="E27" s="21">
        <v>2415</v>
      </c>
      <c r="F27" s="21">
        <v>2625</v>
      </c>
      <c r="H27" s="1" t="s">
        <v>31</v>
      </c>
      <c r="I27" s="21">
        <v>8183</v>
      </c>
      <c r="J27" s="21">
        <v>9221</v>
      </c>
      <c r="K27" s="21">
        <v>7802</v>
      </c>
      <c r="L27" s="21">
        <v>7920</v>
      </c>
      <c r="M27" s="21">
        <v>6972</v>
      </c>
      <c r="O27" s="1" t="s">
        <v>31</v>
      </c>
      <c r="P27" s="21">
        <v>3858</v>
      </c>
      <c r="Q27" s="21">
        <v>4271</v>
      </c>
      <c r="R27" s="21">
        <v>4579</v>
      </c>
      <c r="S27" s="21">
        <v>4710</v>
      </c>
      <c r="T27" s="21">
        <v>4112</v>
      </c>
      <c r="U27" s="21"/>
      <c r="W27" s="1" t="s">
        <v>31</v>
      </c>
      <c r="X27" s="21">
        <v>2790</v>
      </c>
      <c r="Y27" s="21">
        <v>2687</v>
      </c>
      <c r="Z27" s="21">
        <v>2158</v>
      </c>
      <c r="AA27" s="21">
        <v>2096</v>
      </c>
      <c r="AB27" s="21">
        <v>2559</v>
      </c>
      <c r="AC27" s="21"/>
      <c r="AE27" s="1" t="s">
        <v>31</v>
      </c>
      <c r="AF27" s="21">
        <v>4305</v>
      </c>
      <c r="AG27" s="21">
        <v>3567</v>
      </c>
      <c r="AH27" s="21">
        <v>2901</v>
      </c>
      <c r="AI27" s="21">
        <v>3875</v>
      </c>
      <c r="AJ27" s="21">
        <v>4388</v>
      </c>
    </row>
    <row r="28" spans="1:53" x14ac:dyDescent="0.3">
      <c r="A28" s="1" t="s">
        <v>33</v>
      </c>
      <c r="B28" s="21">
        <v>4156</v>
      </c>
      <c r="C28" s="21">
        <v>4557</v>
      </c>
      <c r="D28" s="21">
        <v>4108</v>
      </c>
      <c r="E28" s="21">
        <v>4211</v>
      </c>
      <c r="F28" s="21">
        <v>4364</v>
      </c>
      <c r="H28" s="1" t="s">
        <v>32</v>
      </c>
      <c r="I28" s="21">
        <v>1766</v>
      </c>
      <c r="J28" s="21">
        <v>1522</v>
      </c>
      <c r="K28" s="21">
        <v>1670</v>
      </c>
      <c r="L28" s="21">
        <v>1691</v>
      </c>
      <c r="M28" s="21">
        <v>1685</v>
      </c>
      <c r="O28" s="1" t="s">
        <v>32</v>
      </c>
      <c r="P28" s="21">
        <v>967</v>
      </c>
      <c r="Q28" s="21">
        <v>887</v>
      </c>
      <c r="R28" s="21">
        <v>1114</v>
      </c>
      <c r="S28" s="21">
        <v>904</v>
      </c>
      <c r="T28" s="21">
        <v>916</v>
      </c>
      <c r="U28" s="21"/>
      <c r="W28" s="1" t="s">
        <v>32</v>
      </c>
      <c r="X28" s="21">
        <v>368</v>
      </c>
      <c r="Y28" s="21">
        <v>342</v>
      </c>
      <c r="Z28" s="21">
        <v>252</v>
      </c>
      <c r="AA28" s="21">
        <v>449</v>
      </c>
      <c r="AB28" s="21">
        <v>408</v>
      </c>
      <c r="AC28" s="21"/>
      <c r="AE28" s="1" t="s">
        <v>32</v>
      </c>
      <c r="AF28" s="21">
        <v>1420</v>
      </c>
      <c r="AG28" s="21">
        <v>1415</v>
      </c>
      <c r="AH28" s="21">
        <v>1435</v>
      </c>
      <c r="AI28" s="21">
        <v>1775</v>
      </c>
      <c r="AJ28" s="21">
        <v>1767</v>
      </c>
    </row>
    <row r="29" spans="1:53" x14ac:dyDescent="0.3">
      <c r="A29" s="1" t="s">
        <v>34</v>
      </c>
      <c r="B29" s="21">
        <v>16082</v>
      </c>
      <c r="C29" s="21">
        <v>4254</v>
      </c>
      <c r="D29" s="21">
        <v>3</v>
      </c>
      <c r="E29" s="21">
        <v>578</v>
      </c>
      <c r="F29" s="21">
        <v>2500</v>
      </c>
      <c r="H29" s="1" t="s">
        <v>33</v>
      </c>
      <c r="I29" s="21">
        <v>1290</v>
      </c>
      <c r="J29" s="21">
        <v>1364</v>
      </c>
      <c r="K29" s="21">
        <v>1404</v>
      </c>
      <c r="L29" s="21">
        <v>1430</v>
      </c>
      <c r="M29" s="21">
        <v>1559</v>
      </c>
      <c r="O29" s="1" t="s">
        <v>33</v>
      </c>
      <c r="P29" s="21">
        <f>523+355</f>
        <v>878</v>
      </c>
      <c r="Q29" s="21">
        <f>568+322</f>
        <v>890</v>
      </c>
      <c r="R29" s="21">
        <f>586+298</f>
        <v>884</v>
      </c>
      <c r="S29" s="21">
        <f>608+255</f>
        <v>863</v>
      </c>
      <c r="T29" s="21">
        <f>644+242</f>
        <v>886</v>
      </c>
      <c r="U29" s="21"/>
      <c r="W29" s="1" t="s">
        <v>33</v>
      </c>
      <c r="X29" s="21">
        <v>1032</v>
      </c>
      <c r="Y29" s="21">
        <v>967</v>
      </c>
      <c r="Z29" s="21">
        <v>938</v>
      </c>
      <c r="AA29" s="21">
        <v>1166</v>
      </c>
      <c r="AB29" s="21">
        <v>1289</v>
      </c>
      <c r="AC29" s="21"/>
      <c r="AE29" s="1" t="s">
        <v>33</v>
      </c>
      <c r="AF29" s="21">
        <v>1267</v>
      </c>
      <c r="AG29" s="21">
        <v>1239</v>
      </c>
      <c r="AH29" s="21">
        <v>1342</v>
      </c>
      <c r="AI29" s="21">
        <v>1338</v>
      </c>
      <c r="AJ29" s="21">
        <v>1370</v>
      </c>
    </row>
    <row r="30" spans="1:53" x14ac:dyDescent="0.3">
      <c r="A30" s="1" t="s">
        <v>35</v>
      </c>
      <c r="B30" s="21">
        <v>2732</v>
      </c>
      <c r="C30" s="21">
        <v>2957</v>
      </c>
      <c r="D30" s="21">
        <v>3128</v>
      </c>
      <c r="E30" s="21">
        <v>3239</v>
      </c>
      <c r="F30" s="21">
        <v>3217</v>
      </c>
      <c r="H30" s="1" t="s">
        <v>34</v>
      </c>
      <c r="I30" s="21">
        <v>1650</v>
      </c>
      <c r="J30" s="21">
        <v>500</v>
      </c>
      <c r="K30" s="21">
        <v>2250</v>
      </c>
      <c r="L30" s="21">
        <v>115</v>
      </c>
      <c r="M30" s="21">
        <v>168</v>
      </c>
      <c r="O30" s="1" t="s">
        <v>34</v>
      </c>
      <c r="P30" s="21">
        <f>2000+500+420</f>
        <v>2920</v>
      </c>
      <c r="Q30" s="21">
        <f>2500+1997+500</f>
        <v>4997</v>
      </c>
      <c r="R30" s="21">
        <f>1000</f>
        <v>1000</v>
      </c>
      <c r="S30" s="21">
        <v>1250</v>
      </c>
      <c r="T30" s="21">
        <v>500</v>
      </c>
      <c r="U30" s="21"/>
      <c r="W30" s="1" t="s">
        <v>34</v>
      </c>
      <c r="X30" s="21">
        <v>931</v>
      </c>
      <c r="Y30" s="21">
        <f>13</f>
        <v>13</v>
      </c>
      <c r="Z30" s="21">
        <v>14</v>
      </c>
      <c r="AA30" s="21">
        <f>3170+205</f>
        <v>3375</v>
      </c>
      <c r="AB30" s="21">
        <f>2620+1205</f>
        <v>3825</v>
      </c>
      <c r="AC30" s="21"/>
      <c r="AE30" s="1" t="s">
        <v>34</v>
      </c>
      <c r="AF30" s="21">
        <f>1027+78</f>
        <v>1105</v>
      </c>
      <c r="AG30" s="21">
        <v>2236</v>
      </c>
      <c r="AH30" s="21">
        <v>0</v>
      </c>
      <c r="AI30" s="21">
        <v>1050</v>
      </c>
      <c r="AJ30" s="21">
        <v>0</v>
      </c>
    </row>
    <row r="31" spans="1:53" x14ac:dyDescent="0.3">
      <c r="H31" s="1" t="s">
        <v>35</v>
      </c>
      <c r="I31" s="21">
        <v>2764</v>
      </c>
      <c r="J31" s="21">
        <v>2940</v>
      </c>
      <c r="K31" s="21">
        <v>3016</v>
      </c>
      <c r="L31" s="21">
        <v>3056</v>
      </c>
      <c r="M31" s="21">
        <v>3059</v>
      </c>
      <c r="O31" s="1" t="s">
        <v>35</v>
      </c>
      <c r="P31" s="21">
        <v>1240</v>
      </c>
      <c r="Q31" s="21">
        <v>1315</v>
      </c>
      <c r="R31" s="21">
        <v>1369</v>
      </c>
      <c r="S31" s="21">
        <v>1428</v>
      </c>
      <c r="T31" s="21">
        <v>1529</v>
      </c>
      <c r="U31" s="21"/>
      <c r="W31" s="1" t="s">
        <v>35</v>
      </c>
      <c r="X31" s="21">
        <v>725</v>
      </c>
      <c r="Y31" s="21">
        <v>817</v>
      </c>
      <c r="Z31" s="21">
        <v>864</v>
      </c>
      <c r="AA31" s="21">
        <v>868</v>
      </c>
      <c r="AB31" s="21">
        <v>886</v>
      </c>
      <c r="AC31" s="21"/>
      <c r="AE31" s="1" t="s">
        <v>35</v>
      </c>
      <c r="AF31" s="21">
        <v>953</v>
      </c>
      <c r="AG31" s="21">
        <v>983</v>
      </c>
      <c r="AH31" s="21">
        <v>1052</v>
      </c>
      <c r="AI31" s="21">
        <v>1116</v>
      </c>
      <c r="AJ31" s="21">
        <v>1186</v>
      </c>
    </row>
    <row r="34" spans="15:37" x14ac:dyDescent="0.3">
      <c r="O34" s="1" t="s">
        <v>11</v>
      </c>
      <c r="P34" s="3" t="s">
        <v>36</v>
      </c>
      <c r="Q34" s="3" t="s">
        <v>37</v>
      </c>
      <c r="R34" s="3" t="s">
        <v>38</v>
      </c>
      <c r="S34" s="3" t="s">
        <v>39</v>
      </c>
      <c r="T34" s="3" t="s">
        <v>40</v>
      </c>
      <c r="W34" s="1" t="s">
        <v>11</v>
      </c>
      <c r="X34" s="3" t="s">
        <v>36</v>
      </c>
      <c r="Y34" s="3" t="s">
        <v>37</v>
      </c>
      <c r="Z34" s="3" t="s">
        <v>38</v>
      </c>
      <c r="AA34" s="3" t="s">
        <v>39</v>
      </c>
      <c r="AB34" s="3" t="s">
        <v>40</v>
      </c>
      <c r="AE34" s="1" t="s">
        <v>11</v>
      </c>
      <c r="AF34" s="3" t="s">
        <v>36</v>
      </c>
      <c r="AG34" s="3" t="s">
        <v>37</v>
      </c>
      <c r="AH34" s="3" t="s">
        <v>38</v>
      </c>
      <c r="AI34" s="3" t="s">
        <v>39</v>
      </c>
      <c r="AJ34" s="3" t="s">
        <v>40</v>
      </c>
    </row>
    <row r="35" spans="15:37" x14ac:dyDescent="0.3">
      <c r="O35" s="1" t="s">
        <v>69</v>
      </c>
      <c r="P35" s="64">
        <f>P3</f>
        <v>37925</v>
      </c>
      <c r="Q35" s="64">
        <f t="shared" ref="Q35:T35" si="2">Q3</f>
        <v>38469</v>
      </c>
      <c r="R35" s="64">
        <f t="shared" si="2"/>
        <v>39407</v>
      </c>
      <c r="S35" s="64">
        <f t="shared" si="2"/>
        <v>42272</v>
      </c>
      <c r="T35" s="64">
        <f t="shared" si="2"/>
        <v>47716</v>
      </c>
      <c r="W35" s="1" t="s">
        <v>69</v>
      </c>
      <c r="X35" s="64">
        <f>X3</f>
        <v>18194</v>
      </c>
      <c r="Y35" s="64">
        <f t="shared" ref="Y35:AB35" si="3">Y3</f>
        <v>17814</v>
      </c>
      <c r="Z35" s="64">
        <f t="shared" si="3"/>
        <v>17062</v>
      </c>
      <c r="AA35" s="64">
        <f t="shared" si="3"/>
        <v>19419</v>
      </c>
      <c r="AB35" s="64">
        <f t="shared" si="3"/>
        <v>21325</v>
      </c>
      <c r="AE35" s="1" t="s">
        <v>69</v>
      </c>
      <c r="AF35" s="64">
        <f>AF3</f>
        <v>36799</v>
      </c>
      <c r="AG35" s="64">
        <f t="shared" ref="AG35:AJ35" si="4">AG3</f>
        <v>35667</v>
      </c>
      <c r="AH35" s="64">
        <f t="shared" si="4"/>
        <v>36602</v>
      </c>
      <c r="AI35" s="64">
        <f t="shared" si="4"/>
        <v>39290</v>
      </c>
      <c r="AJ35" s="64">
        <f t="shared" si="4"/>
        <v>41033</v>
      </c>
    </row>
    <row r="36" spans="15:37" x14ac:dyDescent="0.3">
      <c r="O36" s="1" t="s">
        <v>16</v>
      </c>
      <c r="P36" s="64">
        <f>P7</f>
        <v>4133</v>
      </c>
      <c r="Q36" s="64">
        <f t="shared" ref="Q36:T36" si="5">Q7</f>
        <v>4163</v>
      </c>
      <c r="R36" s="64">
        <f t="shared" si="5"/>
        <v>4211</v>
      </c>
      <c r="S36" s="64">
        <f t="shared" si="5"/>
        <v>4245</v>
      </c>
      <c r="T36" s="64">
        <f t="shared" si="5"/>
        <v>4796</v>
      </c>
      <c r="W36" s="1" t="s">
        <v>16</v>
      </c>
      <c r="X36" s="64">
        <f>X7</f>
        <v>1592</v>
      </c>
      <c r="Y36" s="64">
        <f t="shared" ref="Y36:AB36" si="6">Y7</f>
        <v>2548</v>
      </c>
      <c r="Z36" s="64">
        <f t="shared" si="6"/>
        <v>1552</v>
      </c>
      <c r="AA36" s="64">
        <f t="shared" si="6"/>
        <v>1764</v>
      </c>
      <c r="AB36" s="64">
        <f t="shared" si="6"/>
        <v>2272</v>
      </c>
      <c r="AE36" s="1" t="s">
        <v>16</v>
      </c>
      <c r="AF36" s="64">
        <f>AF7</f>
        <v>3901</v>
      </c>
      <c r="AG36" s="64">
        <f t="shared" ref="AG36:AJ36" si="7">AG7</f>
        <v>9494</v>
      </c>
      <c r="AH36" s="64">
        <f t="shared" si="7"/>
        <v>6342</v>
      </c>
      <c r="AI36" s="64">
        <f t="shared" si="7"/>
        <v>2891</v>
      </c>
      <c r="AJ36" s="64">
        <f t="shared" si="7"/>
        <v>5637</v>
      </c>
    </row>
    <row r="37" spans="15:37" x14ac:dyDescent="0.3">
      <c r="O37" s="1" t="s">
        <v>114</v>
      </c>
      <c r="P37" s="64">
        <f>P10</f>
        <v>3085</v>
      </c>
      <c r="Q37" s="64">
        <f t="shared" ref="Q37:T37" si="8">Q10</f>
        <v>3123</v>
      </c>
      <c r="R37" s="64">
        <f t="shared" si="8"/>
        <v>3201</v>
      </c>
      <c r="S37" s="64">
        <f t="shared" si="8"/>
        <v>3233</v>
      </c>
      <c r="T37" s="64">
        <f t="shared" si="8"/>
        <v>3714</v>
      </c>
      <c r="W37" s="1" t="s">
        <v>114</v>
      </c>
      <c r="X37" s="64">
        <f>X10</f>
        <v>1088</v>
      </c>
      <c r="Y37" s="64">
        <f t="shared" ref="Y37:AB37" si="9">Y10</f>
        <v>1843</v>
      </c>
      <c r="Z37" s="64">
        <f t="shared" si="9"/>
        <v>1061</v>
      </c>
      <c r="AA37" s="64">
        <f t="shared" si="9"/>
        <v>1198</v>
      </c>
      <c r="AB37" s="64">
        <f t="shared" si="9"/>
        <v>1512</v>
      </c>
      <c r="AE37" s="1" t="s">
        <v>114</v>
      </c>
      <c r="AF37" s="64">
        <f>AF10</f>
        <v>2769</v>
      </c>
      <c r="AG37" s="64">
        <f t="shared" ref="AG37:AJ37" si="10">AG10</f>
        <v>7005</v>
      </c>
      <c r="AH37" s="64">
        <f t="shared" si="10"/>
        <v>4896</v>
      </c>
      <c r="AI37" s="64">
        <f t="shared" si="10"/>
        <v>2056</v>
      </c>
      <c r="AJ37" s="64">
        <f t="shared" si="10"/>
        <v>4174</v>
      </c>
    </row>
    <row r="39" spans="15:37" x14ac:dyDescent="0.3">
      <c r="O39" s="1" t="s">
        <v>11</v>
      </c>
      <c r="P39" s="3" t="s">
        <v>63</v>
      </c>
      <c r="Q39" s="3" t="s">
        <v>64</v>
      </c>
      <c r="R39" s="3" t="s">
        <v>65</v>
      </c>
      <c r="S39" s="3" t="s">
        <v>66</v>
      </c>
      <c r="T39" s="3" t="s">
        <v>67</v>
      </c>
      <c r="U39" s="3" t="s">
        <v>68</v>
      </c>
      <c r="W39" s="1" t="s">
        <v>11</v>
      </c>
      <c r="X39" s="3" t="s">
        <v>63</v>
      </c>
      <c r="Y39" s="3" t="s">
        <v>64</v>
      </c>
      <c r="Z39" s="3" t="s">
        <v>65</v>
      </c>
      <c r="AA39" s="3" t="s">
        <v>66</v>
      </c>
      <c r="AB39" s="3" t="s">
        <v>67</v>
      </c>
      <c r="AC39" s="3" t="s">
        <v>68</v>
      </c>
      <c r="AE39" s="1" t="s">
        <v>11</v>
      </c>
      <c r="AF39" s="3" t="s">
        <v>63</v>
      </c>
      <c r="AG39" s="3" t="s">
        <v>64</v>
      </c>
      <c r="AH39" s="3" t="s">
        <v>65</v>
      </c>
      <c r="AI39" s="3" t="s">
        <v>66</v>
      </c>
      <c r="AJ39" s="3" t="s">
        <v>67</v>
      </c>
      <c r="AK39" s="3" t="s">
        <v>68</v>
      </c>
    </row>
    <row r="40" spans="15:37" x14ac:dyDescent="0.3">
      <c r="O40" s="1" t="str">
        <f>O35</f>
        <v>Revenue</v>
      </c>
      <c r="P40" s="64">
        <f>DCF!R3</f>
        <v>49958.767771747458</v>
      </c>
      <c r="Q40" s="64">
        <f>DCF!S3</f>
        <v>52306.951070320072</v>
      </c>
      <c r="R40" s="64">
        <f>DCF!T3</f>
        <v>54765.504681244813</v>
      </c>
      <c r="S40" s="64">
        <f>DCF!U3</f>
        <v>57339.616276990062</v>
      </c>
      <c r="T40" s="64">
        <f>DCF!V3</f>
        <v>60034.717363216892</v>
      </c>
      <c r="U40" s="64">
        <f>DCF!W3</f>
        <v>62856.494739530717</v>
      </c>
      <c r="W40" s="1" t="str">
        <f>W35</f>
        <v>Revenue</v>
      </c>
      <c r="X40" s="64">
        <f>DCF!Z3</f>
        <v>22013.100164707743</v>
      </c>
      <c r="Y40" s="64">
        <f>DCF!AA3</f>
        <v>22723.403463608724</v>
      </c>
      <c r="Z40" s="64">
        <f>DCF!AB3</f>
        <v>23456.626331886786</v>
      </c>
      <c r="AA40" s="64">
        <f>DCF!AC3</f>
        <v>24213.508322154514</v>
      </c>
      <c r="AB40" s="64">
        <f>DCF!AD3</f>
        <v>24994.812850390237</v>
      </c>
      <c r="AC40" s="64">
        <f>DCF!AE3</f>
        <v>25801.327965944409</v>
      </c>
      <c r="AE40" s="1" t="str">
        <f>AE35</f>
        <v>Revenue</v>
      </c>
      <c r="AF40" s="64">
        <f>DCF!AH3</f>
        <v>41936.552068234225</v>
      </c>
      <c r="AG40" s="64">
        <f>DCF!AI3</f>
        <v>42860.000472100997</v>
      </c>
      <c r="AH40" s="64">
        <f>DCF!AJ3</f>
        <v>43803.783331533326</v>
      </c>
      <c r="AI40" s="64">
        <f>DCF!AK3</f>
        <v>44768.348413922882</v>
      </c>
      <c r="AJ40" s="64">
        <f>DCF!AL3</f>
        <v>45754.153346558327</v>
      </c>
      <c r="AK40" s="64">
        <f>DCF!AM3</f>
        <v>46761.665833741536</v>
      </c>
    </row>
    <row r="41" spans="15:37" x14ac:dyDescent="0.3">
      <c r="O41" s="1" t="str">
        <f t="shared" ref="O41:O42" si="11">O36</f>
        <v>Operating income</v>
      </c>
      <c r="P41" s="64">
        <f>DCF!R4</f>
        <v>5231.1422279403378</v>
      </c>
      <c r="Q41" s="64">
        <f>DCF!S4</f>
        <v>5477.0186048003388</v>
      </c>
      <c r="R41" s="64">
        <f>DCF!T4</f>
        <v>5734.4517679344535</v>
      </c>
      <c r="S41" s="64">
        <f>DCF!U4</f>
        <v>6003.9849143374131</v>
      </c>
      <c r="T41" s="64">
        <f>DCF!V4</f>
        <v>6286.1867725806414</v>
      </c>
      <c r="U41" s="64">
        <f>DCF!W4</f>
        <v>6581.6528028583061</v>
      </c>
      <c r="W41" s="1" t="str">
        <f t="shared" ref="W41:W42" si="12">W36</f>
        <v>Operating income</v>
      </c>
      <c r="X41" s="64">
        <f>DCF!Z4</f>
        <v>2282.6383951465336</v>
      </c>
      <c r="Y41" s="64">
        <f>DCF!AA4</f>
        <v>2356.2929722001586</v>
      </c>
      <c r="Z41" s="64">
        <f>DCF!AB4</f>
        <v>2432.324183561032</v>
      </c>
      <c r="AA41" s="64">
        <f>DCF!AC4</f>
        <v>2510.8087168004681</v>
      </c>
      <c r="AB41" s="64">
        <f>DCF!AD4</f>
        <v>2591.8257339906222</v>
      </c>
      <c r="AC41" s="64">
        <f>DCF!AE4</f>
        <v>2675.456951549952</v>
      </c>
      <c r="AE41" s="1" t="str">
        <f t="shared" ref="AE41:AE42" si="13">AE36</f>
        <v>Operating income</v>
      </c>
      <c r="AF41" s="64">
        <f>DCF!AH4</f>
        <v>6258.6746160516623</v>
      </c>
      <c r="AG41" s="64">
        <f>DCF!AI4</f>
        <v>6396.4914560033731</v>
      </c>
      <c r="AH41" s="64">
        <f>DCF!AJ4</f>
        <v>6537.3430409353641</v>
      </c>
      <c r="AI41" s="64">
        <f>DCF!AK4</f>
        <v>6681.2961963320877</v>
      </c>
      <c r="AJ41" s="64">
        <f>DCF!AL4</f>
        <v>6828.4192191839693</v>
      </c>
      <c r="AK41" s="64">
        <f>DCF!AM4</f>
        <v>6978.7819103901693</v>
      </c>
    </row>
    <row r="42" spans="15:37" x14ac:dyDescent="0.3">
      <c r="O42" s="1" t="str">
        <f t="shared" si="11"/>
        <v>Net income</v>
      </c>
      <c r="P42" s="64">
        <f>DCF!R5</f>
        <v>4027.97951551406</v>
      </c>
      <c r="Q42" s="64">
        <f>DCF!S5</f>
        <v>4217.304325696261</v>
      </c>
      <c r="R42" s="64">
        <f>DCF!T5</f>
        <v>4415.5278613095297</v>
      </c>
      <c r="S42" s="64">
        <f>DCF!U5</f>
        <v>4623.0683840398078</v>
      </c>
      <c r="T42" s="64">
        <f>DCF!V5</f>
        <v>4840.3638148870941</v>
      </c>
      <c r="U42" s="64">
        <f>DCF!W5</f>
        <v>5067.8726582008958</v>
      </c>
      <c r="W42" s="1" t="str">
        <f t="shared" si="12"/>
        <v>Net income</v>
      </c>
      <c r="X42" s="64">
        <f>DCF!Z5</f>
        <v>1757.631564262831</v>
      </c>
      <c r="Y42" s="64">
        <f>DCF!AA5</f>
        <v>1814.3455885941221</v>
      </c>
      <c r="Z42" s="64">
        <f>DCF!AB5</f>
        <v>1872.8896213419946</v>
      </c>
      <c r="AA42" s="64">
        <f>DCF!AC5</f>
        <v>1933.3227119363605</v>
      </c>
      <c r="AB42" s="64">
        <f>DCF!AD5</f>
        <v>1995.7058151727792</v>
      </c>
      <c r="AC42" s="64">
        <f>DCF!AE5</f>
        <v>2060.1018526934631</v>
      </c>
      <c r="AE42" s="1" t="str">
        <f t="shared" si="13"/>
        <v>Net income</v>
      </c>
      <c r="AF42" s="64">
        <f>DCF!AH5</f>
        <v>4819.1794543597798</v>
      </c>
      <c r="AG42" s="64">
        <f>DCF!AI5</f>
        <v>4925.2984211225976</v>
      </c>
      <c r="AH42" s="64">
        <f>DCF!AJ5</f>
        <v>5033.7541415202304</v>
      </c>
      <c r="AI42" s="64">
        <f>DCF!AK5</f>
        <v>5144.5980711757074</v>
      </c>
      <c r="AJ42" s="64">
        <f>DCF!AL5</f>
        <v>5257.8827987716568</v>
      </c>
      <c r="AK42" s="64">
        <f>DCF!AM5</f>
        <v>5373.6620710004308</v>
      </c>
    </row>
  </sheetData>
  <mergeCells count="1">
    <mergeCell ref="S1:T1"/>
  </mergeCells>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9EFA-9689-4DC4-9FEC-2376E9B0831E}">
  <dimension ref="A1:V27"/>
  <sheetViews>
    <sheetView workbookViewId="0">
      <selection activeCell="J21" sqref="J21"/>
    </sheetView>
  </sheetViews>
  <sheetFormatPr defaultRowHeight="14.4" x14ac:dyDescent="0.3"/>
  <cols>
    <col min="1" max="1" width="20.6640625" style="1" bestFit="1" customWidth="1"/>
    <col min="2" max="3" width="10.88671875" style="1" bestFit="1" customWidth="1"/>
    <col min="4" max="4" width="10.88671875" style="3" bestFit="1" customWidth="1"/>
    <col min="5" max="5" width="9.88671875" style="3" bestFit="1" customWidth="1"/>
    <col min="6" max="6" width="10.88671875" style="3" bestFit="1" customWidth="1"/>
    <col min="7" max="7" width="8.88671875" style="1"/>
    <col min="8" max="8" width="14" style="1" bestFit="1" customWidth="1"/>
    <col min="9" max="12" width="9.88671875" style="1" bestFit="1" customWidth="1"/>
    <col min="13" max="13" width="10.5546875" style="1" bestFit="1" customWidth="1"/>
    <col min="14" max="14" width="9.88671875" style="1" bestFit="1" customWidth="1"/>
    <col min="15" max="15" width="8.88671875" style="1"/>
    <col min="16" max="16" width="14" style="1" bestFit="1" customWidth="1"/>
    <col min="17" max="20" width="9.88671875" style="1" bestFit="1" customWidth="1"/>
    <col min="21" max="21" width="10.5546875" style="1" bestFit="1" customWidth="1"/>
    <col min="22" max="22" width="9.88671875" style="1" bestFit="1" customWidth="1"/>
    <col min="23" max="16384" width="8.88671875" style="1"/>
  </cols>
  <sheetData>
    <row r="1" spans="1:22" x14ac:dyDescent="0.3">
      <c r="A1" s="1" t="s">
        <v>43</v>
      </c>
    </row>
    <row r="2" spans="1:22" ht="15" thickBot="1" x14ac:dyDescent="0.35">
      <c r="A2" s="81" t="s">
        <v>44</v>
      </c>
      <c r="B2" s="44" t="s">
        <v>41</v>
      </c>
      <c r="C2" s="44" t="s">
        <v>42</v>
      </c>
      <c r="D2" s="44" t="s">
        <v>122</v>
      </c>
      <c r="E2" s="44" t="s">
        <v>119</v>
      </c>
      <c r="F2" s="44" t="s">
        <v>121</v>
      </c>
    </row>
    <row r="3" spans="1:22" ht="15" thickTop="1" x14ac:dyDescent="0.3">
      <c r="A3" s="82" t="s">
        <v>45</v>
      </c>
      <c r="B3" s="45">
        <f>(Table1[[#This Row],[2024]]/Table1[[#This Row],[2020]])^(1/5)-1</f>
        <v>7.3673572296934386E-2</v>
      </c>
      <c r="C3" s="45">
        <f>(Table18[[#This Row],[2024]]/Table18[[#This Row],[2020]])^(1/5)-1</f>
        <v>1.6696585738294134E-2</v>
      </c>
      <c r="D3" s="88">
        <f>(Table119[[#This Row],[2024]]/Table119[[#This Row],[2020]])^(1/5)-1</f>
        <v>4.7002426266817388E-2</v>
      </c>
      <c r="E3" s="88">
        <f>(Table1822[[#This Row],[2024]]/Table1822[[#This Row],[2020]])^(1/5)-1</f>
        <v>3.2267299634595181E-2</v>
      </c>
      <c r="F3" s="88">
        <f>(Table182225[[#This Row],[2024]]/Table182225[[#This Row],[2020]])^(1/5)-1</f>
        <v>2.2020131802067189E-2</v>
      </c>
    </row>
    <row r="4" spans="1:22" x14ac:dyDescent="0.3">
      <c r="A4" s="83" t="s">
        <v>46</v>
      </c>
      <c r="B4" s="46">
        <f>AVERAGE(Financials!B7:F7)/AVERAGE(Financials!B3:F3)</f>
        <v>6.0357055080291502E-2</v>
      </c>
      <c r="C4" s="46">
        <f>AVERAGE(Financials!I7:M7)/AVERAGE(Financials!I3:M3)</f>
        <v>0.12353133159268929</v>
      </c>
      <c r="D4" s="89">
        <f>AVERAGE(Financials!P7:T7)/AVERAGE(Financials!P3:T3)</f>
        <v>0.1047091924252511</v>
      </c>
      <c r="E4" s="89">
        <f>AVERAGE(Financials!X7:AB7)/AVERAGE(Financials!X3:AB3)</f>
        <v>0.10369454452427143</v>
      </c>
      <c r="F4" s="89">
        <f>AVERAGE(Financials!AF7:AJ7)/AVERAGE(Financials!AF3:AJ3)</f>
        <v>0.14924151622833187</v>
      </c>
    </row>
    <row r="5" spans="1:22" x14ac:dyDescent="0.3">
      <c r="A5" s="84" t="s">
        <v>47</v>
      </c>
      <c r="B5" s="47">
        <f>AVERAGE(Financials!B28:F28)/AVERAGE(Financials!B3:F3)</f>
        <v>6.3356696781529553E-2</v>
      </c>
      <c r="C5" s="47">
        <f>AVERAGE(Financials!I29:M29)/AVERAGE(Financials!I3:M3)</f>
        <v>2.0908497507714219E-2</v>
      </c>
      <c r="D5" s="90">
        <f>AVERAGE(Financials!P29:T29)/AVERAGE(Financials!P3:T3)</f>
        <v>2.138598272988352E-2</v>
      </c>
      <c r="E5" s="90">
        <f>AVERAGE(Financials!X29:AB29)/AVERAGE(Financials!X3:AB3)</f>
        <v>5.7475430106380718E-2</v>
      </c>
      <c r="F5" s="90">
        <f>AVERAGE(Financials!AF29:AJ29)/AVERAGE(Financials!AF3:AJ3)</f>
        <v>3.4616217243691627E-2</v>
      </c>
    </row>
    <row r="6" spans="1:22" x14ac:dyDescent="0.3">
      <c r="A6" s="83" t="s">
        <v>32</v>
      </c>
      <c r="B6" s="46">
        <f>AVERAGE(Financials!B27:F27)/AVERAGE(Financials!B3:F3)</f>
        <v>3.3333629448012631E-2</v>
      </c>
      <c r="C6" s="46">
        <f>AVERAGE(Financials!I28:M28)/AVERAGE(Financials!I3:M3)</f>
        <v>2.472703536672205E-2</v>
      </c>
      <c r="D6" s="89">
        <f>AVERAGE(Financials!P28:T28)/AVERAGE(Financials!P3:T3)</f>
        <v>2.3266549718400885E-2</v>
      </c>
      <c r="E6" s="89">
        <f>AVERAGE(Financials!X28:AB28)/AVERAGE(Financials!X3:AB3)</f>
        <v>1.9389430149018273E-2</v>
      </c>
      <c r="F6" s="89">
        <f>AVERAGE(Financials!AF28:AJ28)/AVERAGE(Financials!AF3:AJ3)</f>
        <v>4.1248000168962629E-2</v>
      </c>
    </row>
    <row r="7" spans="1:22" x14ac:dyDescent="0.3">
      <c r="A7" s="84" t="s">
        <v>48</v>
      </c>
      <c r="B7" s="47">
        <f>AVERAGE(L9:M9)/AVERAGE(Financials!E3:F3)</f>
        <v>8.6196528084031589E-3</v>
      </c>
      <c r="C7" s="47">
        <f>AVERAGE(L16:M16)/AVERAGE(Financials!L3:M3)</f>
        <v>4.3379456620543377E-2</v>
      </c>
      <c r="D7" s="90">
        <f>AVERAGE(Q9:U9)/AVERAGE(Financials!P3:T3)</f>
        <v>0.1509069969726273</v>
      </c>
      <c r="E7" s="90">
        <f>AVERAGE(Q16:U16)/AVERAGE(Financials!X3:AB3)</f>
        <v>6.2346771270812458E-2</v>
      </c>
      <c r="F7" s="90">
        <f>AVERAGE(I24:M24)/AVERAGE(Financials!AF3:AJ3)</f>
        <v>6.0567820012566595E-2</v>
      </c>
      <c r="H7" s="22"/>
      <c r="I7" s="22"/>
      <c r="J7" s="22"/>
      <c r="K7" s="22"/>
      <c r="L7" s="22"/>
      <c r="M7" s="24" t="s">
        <v>41</v>
      </c>
      <c r="N7" s="22"/>
      <c r="P7" s="22"/>
      <c r="Q7" s="22"/>
      <c r="R7" s="22"/>
      <c r="S7" s="22"/>
      <c r="T7" s="22"/>
      <c r="U7" s="24" t="str">
        <f>D2</f>
        <v>GD</v>
      </c>
      <c r="V7" s="22"/>
    </row>
    <row r="8" spans="1:22" x14ac:dyDescent="0.3">
      <c r="A8" s="83" t="s">
        <v>4</v>
      </c>
      <c r="B8" s="85">
        <f ca="1">'Company Profile'!B5</f>
        <v>0.43890000000000001</v>
      </c>
      <c r="C8" s="85">
        <f ca="1">'Company Profile'!C5</f>
        <v>0.24479999999999999</v>
      </c>
      <c r="D8" s="85">
        <f ca="1">'Company Profile'!D5</f>
        <v>0.40679999999999999</v>
      </c>
      <c r="E8" s="85">
        <f ca="1">'Company Profile'!E5</f>
        <v>0.65180000000000005</v>
      </c>
      <c r="F8" s="85">
        <f ca="1">'Company Profile'!F5</f>
        <v>5.6500000000000002E-2</v>
      </c>
      <c r="H8" s="25" t="s">
        <v>11</v>
      </c>
      <c r="I8" s="26">
        <v>2020</v>
      </c>
      <c r="J8" s="26">
        <v>2021</v>
      </c>
      <c r="K8" s="26">
        <v>2022</v>
      </c>
      <c r="L8" s="26">
        <v>2023</v>
      </c>
      <c r="M8" s="26">
        <v>2024</v>
      </c>
      <c r="N8" s="22"/>
      <c r="P8" s="25" t="s">
        <v>11</v>
      </c>
      <c r="Q8" s="26">
        <v>2020</v>
      </c>
      <c r="R8" s="26">
        <v>2021</v>
      </c>
      <c r="S8" s="26">
        <v>2022</v>
      </c>
      <c r="T8" s="26">
        <v>2023</v>
      </c>
      <c r="U8" s="26">
        <v>2024</v>
      </c>
      <c r="V8" s="22"/>
    </row>
    <row r="9" spans="1:22" x14ac:dyDescent="0.3">
      <c r="A9" s="84" t="s">
        <v>49</v>
      </c>
      <c r="B9" s="47">
        <v>4.1000000000000002E-2</v>
      </c>
      <c r="C9" s="47">
        <v>4.1000000000000002E-2</v>
      </c>
      <c r="D9" s="47">
        <v>4.1000000000000002E-2</v>
      </c>
      <c r="E9" s="47">
        <v>4.1000000000000002E-2</v>
      </c>
      <c r="F9" s="47">
        <v>4.1000000000000002E-2</v>
      </c>
      <c r="H9" s="25" t="s">
        <v>62</v>
      </c>
      <c r="I9" s="27">
        <f>Financials!B14-Financials!B16</f>
        <v>7528</v>
      </c>
      <c r="J9" s="27">
        <f>Financials!C14-Financials!C16</f>
        <v>6601</v>
      </c>
      <c r="K9" s="27">
        <f>Financials!D14-Financials!D16</f>
        <v>3329</v>
      </c>
      <c r="L9" s="27">
        <f>Financials!E14-Financials!E16</f>
        <v>1656</v>
      </c>
      <c r="M9" s="27">
        <f>Financials!F14-Financials!F16</f>
        <v>-366</v>
      </c>
      <c r="N9" s="22"/>
      <c r="P9" s="25" t="s">
        <v>62</v>
      </c>
      <c r="Q9" s="27">
        <f>Financials!P14-Financials!P16</f>
        <v>5579</v>
      </c>
      <c r="R9" s="27">
        <f>Financials!Q14-Financials!Q16</f>
        <v>6009</v>
      </c>
      <c r="S9" s="27">
        <f>Financials!R14-Financials!R16</f>
        <v>5722</v>
      </c>
      <c r="T9" s="27">
        <f>Financials!S14-Financials!S16</f>
        <v>7183</v>
      </c>
      <c r="U9" s="27">
        <f>Financials!T14-Financials!T16</f>
        <v>6562</v>
      </c>
      <c r="V9" s="22"/>
    </row>
    <row r="10" spans="1:22" x14ac:dyDescent="0.3">
      <c r="A10" s="83" t="s">
        <v>50</v>
      </c>
      <c r="B10" s="46">
        <v>4.1099999999999998E-2</v>
      </c>
      <c r="C10" s="46">
        <v>4.1099999999999998E-2</v>
      </c>
      <c r="D10" s="46">
        <v>4.1099999999999998E-2</v>
      </c>
      <c r="E10" s="46">
        <v>4.1099999999999998E-2</v>
      </c>
      <c r="F10" s="46">
        <v>4.1099999999999998E-2</v>
      </c>
      <c r="H10" s="22"/>
      <c r="I10" s="22"/>
      <c r="J10" s="22"/>
      <c r="K10" s="22"/>
      <c r="L10" s="22"/>
      <c r="M10" s="22"/>
      <c r="N10" s="22"/>
      <c r="P10" s="22"/>
      <c r="Q10" s="22"/>
      <c r="R10" s="22"/>
      <c r="S10" s="22"/>
      <c r="T10" s="22"/>
      <c r="U10" s="22"/>
      <c r="V10" s="22"/>
    </row>
    <row r="11" spans="1:22" x14ac:dyDescent="0.3">
      <c r="A11" s="48" t="s">
        <v>51</v>
      </c>
      <c r="B11" s="49">
        <f ca="1">B10+(B8*B9)</f>
        <v>5.9094899999999999E-2</v>
      </c>
      <c r="C11" s="49">
        <f ca="1">C10+(C8*C9)</f>
        <v>5.1136799999999996E-2</v>
      </c>
      <c r="D11" s="49">
        <f t="shared" ref="D11:F11" ca="1" si="0">D10+(D8*D9)</f>
        <v>5.7778799999999998E-2</v>
      </c>
      <c r="E11" s="49">
        <f t="shared" ca="1" si="0"/>
        <v>6.7823800000000004E-2</v>
      </c>
      <c r="F11" s="49">
        <f t="shared" ca="1" si="0"/>
        <v>4.3416499999999997E-2</v>
      </c>
      <c r="H11" s="25" t="s">
        <v>11</v>
      </c>
      <c r="I11" s="26">
        <v>2025</v>
      </c>
      <c r="J11" s="26">
        <v>2026</v>
      </c>
      <c r="K11" s="26">
        <v>2027</v>
      </c>
      <c r="L11" s="26">
        <v>2028</v>
      </c>
      <c r="M11" s="26">
        <v>2029</v>
      </c>
      <c r="N11" s="26">
        <v>2030</v>
      </c>
      <c r="P11" s="25" t="s">
        <v>11</v>
      </c>
      <c r="Q11" s="26">
        <v>2025</v>
      </c>
      <c r="R11" s="26">
        <v>2026</v>
      </c>
      <c r="S11" s="26">
        <v>2027</v>
      </c>
      <c r="T11" s="26">
        <v>2028</v>
      </c>
      <c r="U11" s="26">
        <v>2029</v>
      </c>
      <c r="V11" s="26">
        <v>2030</v>
      </c>
    </row>
    <row r="12" spans="1:22" x14ac:dyDescent="0.3">
      <c r="A12" s="83" t="s">
        <v>52</v>
      </c>
      <c r="B12" s="46">
        <f>AVERAGE(Financials!B8:F8)/AVERAGE(Financials!B21:F21)</f>
        <v>4.0657756086739508E-2</v>
      </c>
      <c r="C12" s="46">
        <f>AVERAGE(Financials!I8:M8)/AVERAGE(Financials!I21:M21)</f>
        <v>4.8430388610106193E-2</v>
      </c>
      <c r="D12" s="89">
        <f>AVERAGE(Financials!P8:T8)/AVERAGE(Financials!P21:T21)</f>
        <v>3.6444578585980533E-2</v>
      </c>
      <c r="E12" s="89">
        <f>AVERAGE(Financials!X8:AB8)/AVERAGE(Financials!X21:AB21)</f>
        <v>4.3807265279724047E-2</v>
      </c>
      <c r="F12" s="89">
        <f>AVERAGE(Financials!AF8:AJ8)/AVERAGE(Financials!AF21:AJ21)</f>
        <v>4.1903715036912703E-2</v>
      </c>
      <c r="H12" s="25" t="s">
        <v>48</v>
      </c>
      <c r="I12" s="28">
        <f>DCF!B3*'Assumptions &amp; WACC'!$B$7</f>
        <v>747.20543756659686</v>
      </c>
      <c r="J12" s="28">
        <f>DCF!C3*'Assumptions &amp; WACC'!$B$7</f>
        <v>802.25473139182202</v>
      </c>
      <c r="K12" s="28">
        <f>DCF!D3*'Assumptions &amp; WACC'!$B$7</f>
        <v>861.3597033455751</v>
      </c>
      <c r="L12" s="28">
        <f>DCF!E3*'Assumptions &amp; WACC'!$B$7</f>
        <v>924.81914972367133</v>
      </c>
      <c r="M12" s="28">
        <f>DCF!F3*'Assumptions &amp; WACC'!$B$7</f>
        <v>992.95388021242763</v>
      </c>
      <c r="N12" s="28">
        <f>DCF!G3*'Assumptions &amp; WACC'!$B$7</f>
        <v>1066.1083396937795</v>
      </c>
      <c r="P12" s="25" t="s">
        <v>48</v>
      </c>
      <c r="Q12" s="28">
        <f>DCF!R3*'Assumptions &amp; WACC'!$D$7</f>
        <v>7539.1276168872837</v>
      </c>
      <c r="R12" s="28">
        <f>DCF!S3*'Assumptions &amp; WACC'!$D$7</f>
        <v>7893.4849068161557</v>
      </c>
      <c r="S12" s="28">
        <f>DCF!T3*'Assumptions &amp; WACC'!$D$7</f>
        <v>8264.4978491370166</v>
      </c>
      <c r="T12" s="28">
        <f>DCF!U3*'Assumptions &amp; WACC'!$D$7</f>
        <v>8652.9492999233498</v>
      </c>
      <c r="U12" s="28">
        <f>DCF!V3*'Assumptions &amp; WACC'!$D$7</f>
        <v>9059.6589113835071</v>
      </c>
      <c r="V12" s="28">
        <f>DCF!W3*'Assumptions &amp; WACC'!$D$7</f>
        <v>9485.4848613683262</v>
      </c>
    </row>
    <row r="13" spans="1:22" x14ac:dyDescent="0.3">
      <c r="A13" s="84" t="s">
        <v>53</v>
      </c>
      <c r="B13" s="47">
        <v>0.23</v>
      </c>
      <c r="C13" s="47">
        <v>0.23</v>
      </c>
      <c r="D13" s="47">
        <v>0.23</v>
      </c>
      <c r="E13" s="47">
        <v>0.23</v>
      </c>
      <c r="F13" s="47">
        <v>0.23</v>
      </c>
      <c r="H13" s="22"/>
      <c r="I13" s="22"/>
      <c r="J13" s="22"/>
      <c r="K13" s="22"/>
      <c r="L13" s="22"/>
      <c r="M13" s="22"/>
      <c r="N13" s="22"/>
      <c r="P13" s="22"/>
      <c r="Q13" s="22"/>
      <c r="R13" s="22"/>
      <c r="S13" s="22"/>
      <c r="T13" s="22"/>
      <c r="U13" s="22"/>
      <c r="V13" s="22"/>
    </row>
    <row r="14" spans="1:22" x14ac:dyDescent="0.3">
      <c r="A14" s="50" t="s">
        <v>54</v>
      </c>
      <c r="B14" s="51">
        <f>B12*(1-B13)</f>
        <v>3.1306472186789419E-2</v>
      </c>
      <c r="C14" s="51">
        <f>C12*(1-C13)</f>
        <v>3.7291399229781766E-2</v>
      </c>
      <c r="D14" s="51">
        <f t="shared" ref="D14:F14" si="1">D12*(1-D13)</f>
        <v>2.8062325511205011E-2</v>
      </c>
      <c r="E14" s="51">
        <f t="shared" si="1"/>
        <v>3.3731594265387514E-2</v>
      </c>
      <c r="F14" s="51">
        <f t="shared" si="1"/>
        <v>3.2265860578422782E-2</v>
      </c>
      <c r="H14" s="22"/>
      <c r="I14" s="22"/>
      <c r="J14" s="22"/>
      <c r="K14" s="22"/>
      <c r="L14" s="22"/>
      <c r="M14" s="24" t="s">
        <v>42</v>
      </c>
      <c r="N14" s="22"/>
      <c r="P14" s="22"/>
      <c r="Q14" s="22"/>
      <c r="R14" s="22"/>
      <c r="S14" s="22"/>
      <c r="T14" s="22"/>
      <c r="U14" s="24" t="str">
        <f>E2</f>
        <v>L3H</v>
      </c>
      <c r="V14" s="22"/>
    </row>
    <row r="15" spans="1:22" x14ac:dyDescent="0.3">
      <c r="A15" s="84" t="s">
        <v>55</v>
      </c>
      <c r="B15" s="86">
        <f>Financials!F21</f>
        <v>41261</v>
      </c>
      <c r="C15" s="87">
        <f>Financials!M21</f>
        <v>20270</v>
      </c>
      <c r="D15" s="91">
        <f>Financials!T21</f>
        <v>8762</v>
      </c>
      <c r="E15" s="91">
        <f>Financials!AB21</f>
        <v>12236</v>
      </c>
      <c r="F15" s="91">
        <f>Financials!AJ21</f>
        <v>14692</v>
      </c>
      <c r="H15" s="25" t="s">
        <v>11</v>
      </c>
      <c r="I15" s="26">
        <v>2020</v>
      </c>
      <c r="J15" s="26">
        <v>2021</v>
      </c>
      <c r="K15" s="26">
        <v>2022</v>
      </c>
      <c r="L15" s="26">
        <v>2023</v>
      </c>
      <c r="M15" s="26">
        <v>2024</v>
      </c>
      <c r="N15" s="22"/>
      <c r="P15" s="25" t="s">
        <v>11</v>
      </c>
      <c r="Q15" s="26">
        <v>2020</v>
      </c>
      <c r="R15" s="26">
        <v>2021</v>
      </c>
      <c r="S15" s="26">
        <v>2022</v>
      </c>
      <c r="T15" s="26">
        <v>2023</v>
      </c>
      <c r="U15" s="26">
        <v>2024</v>
      </c>
      <c r="V15" s="22"/>
    </row>
    <row r="16" spans="1:22" x14ac:dyDescent="0.3">
      <c r="A16" s="83" t="s">
        <v>5</v>
      </c>
      <c r="B16" s="85">
        <f ca="1">'Company Profile'!B7</f>
        <v>234259.7</v>
      </c>
      <c r="C16" s="85">
        <f ca="1">'Company Profile'!C7</f>
        <v>108905.06059199999</v>
      </c>
      <c r="D16" s="85">
        <f ca="1">'Company Profile'!D7</f>
        <v>92377.159192000006</v>
      </c>
      <c r="E16" s="85">
        <f ca="1">'Company Profile'!E7</f>
        <v>53392.36</v>
      </c>
      <c r="F16" s="85">
        <f ca="1">'Company Profile'!F7</f>
        <v>80796.703011999998</v>
      </c>
      <c r="H16" s="25" t="s">
        <v>62</v>
      </c>
      <c r="I16" s="27">
        <f>Financials!I14-Table29[[#This Row],[2020]]</f>
        <v>5445</v>
      </c>
      <c r="J16" s="27">
        <f>Financials!J14-Table29[[#This Row],[2021]]</f>
        <v>5818</v>
      </c>
      <c r="K16" s="27">
        <f>Financials!K14-Table29[[#This Row],[2022]]</f>
        <v>5104</v>
      </c>
      <c r="L16" s="27">
        <f>Financials!L14-Table29[[#This Row],[2023]]</f>
        <v>3584</v>
      </c>
      <c r="M16" s="27">
        <f>Financials!M14-Table29[[#This Row],[2024]]</f>
        <v>2429</v>
      </c>
      <c r="N16" s="22"/>
      <c r="P16" s="25" t="s">
        <v>62</v>
      </c>
      <c r="Q16" s="27">
        <f>Financials!X14-Table2923[[#This Row],[2020]]</f>
        <v>2427</v>
      </c>
      <c r="R16" s="27">
        <f>Financials!Y14-Table2923[[#This Row],[2021]]</f>
        <v>1808</v>
      </c>
      <c r="S16" s="27">
        <f>Financials!Z14-Table2923[[#This Row],[2022]]</f>
        <v>978</v>
      </c>
      <c r="T16" s="27">
        <f>Financials!AA14-Table2923[[#This Row],[2023]]</f>
        <v>51</v>
      </c>
      <c r="U16" s="27">
        <f>Financials!AB14-Table2923[[#This Row],[2024]]</f>
        <v>585</v>
      </c>
      <c r="V16" s="22"/>
    </row>
    <row r="17" spans="1:22" x14ac:dyDescent="0.3">
      <c r="A17" s="84" t="s">
        <v>56</v>
      </c>
      <c r="B17" s="86">
        <f ca="1">B15+B16</f>
        <v>275520.7</v>
      </c>
      <c r="C17" s="86">
        <f ca="1">C15+C16</f>
        <v>129175.06059199999</v>
      </c>
      <c r="D17" s="86">
        <f t="shared" ref="D17:F17" ca="1" si="2">D15+D16</f>
        <v>101139.15919200001</v>
      </c>
      <c r="E17" s="86">
        <f t="shared" ca="1" si="2"/>
        <v>65628.36</v>
      </c>
      <c r="F17" s="86">
        <f t="shared" ca="1" si="2"/>
        <v>95488.703011999998</v>
      </c>
      <c r="H17" s="22"/>
      <c r="I17" s="22"/>
      <c r="J17" s="22"/>
      <c r="K17" s="22"/>
      <c r="L17" s="22"/>
      <c r="M17" s="22"/>
      <c r="N17" s="22"/>
      <c r="P17" s="22"/>
      <c r="Q17" s="22"/>
      <c r="R17" s="22"/>
      <c r="S17" s="22"/>
      <c r="T17" s="22"/>
      <c r="U17" s="22"/>
      <c r="V17" s="22"/>
    </row>
    <row r="18" spans="1:22" x14ac:dyDescent="0.3">
      <c r="A18" s="83" t="s">
        <v>57</v>
      </c>
      <c r="B18" s="46">
        <f ca="1">B15/B17</f>
        <v>0.14975644298232402</v>
      </c>
      <c r="C18" s="46">
        <f ca="1">C15/C17</f>
        <v>0.15691883485174343</v>
      </c>
      <c r="D18" s="46">
        <f t="shared" ref="D18:F18" ca="1" si="3">D15/D17</f>
        <v>8.6633110953260373E-2</v>
      </c>
      <c r="E18" s="46">
        <f t="shared" ca="1" si="3"/>
        <v>0.18644378741141787</v>
      </c>
      <c r="F18" s="46">
        <f t="shared" ca="1" si="3"/>
        <v>0.1538611326426087</v>
      </c>
      <c r="H18" s="25" t="s">
        <v>11</v>
      </c>
      <c r="I18" s="26">
        <v>2025</v>
      </c>
      <c r="J18" s="26">
        <v>2026</v>
      </c>
      <c r="K18" s="26">
        <v>2027</v>
      </c>
      <c r="L18" s="26">
        <v>2028</v>
      </c>
      <c r="M18" s="26">
        <v>2029</v>
      </c>
      <c r="N18" s="26">
        <v>2030</v>
      </c>
      <c r="P18" s="25" t="s">
        <v>11</v>
      </c>
      <c r="Q18" s="26">
        <v>2025</v>
      </c>
      <c r="R18" s="26">
        <v>2026</v>
      </c>
      <c r="S18" s="26">
        <v>2027</v>
      </c>
      <c r="T18" s="26">
        <v>2028</v>
      </c>
      <c r="U18" s="26">
        <v>2029</v>
      </c>
      <c r="V18" s="26">
        <v>2030</v>
      </c>
    </row>
    <row r="19" spans="1:22" x14ac:dyDescent="0.3">
      <c r="A19" s="84" t="s">
        <v>58</v>
      </c>
      <c r="B19" s="47">
        <f ca="1">B16/B17</f>
        <v>0.85024355701767595</v>
      </c>
      <c r="C19" s="47">
        <f ca="1">C16/C17</f>
        <v>0.84308116514825659</v>
      </c>
      <c r="D19" s="47">
        <f t="shared" ref="D19:F19" ca="1" si="4">D16/D17</f>
        <v>0.91336688904673968</v>
      </c>
      <c r="E19" s="47">
        <f t="shared" ca="1" si="4"/>
        <v>0.81355621258858213</v>
      </c>
      <c r="F19" s="47">
        <f t="shared" ca="1" si="4"/>
        <v>0.8461388673573913</v>
      </c>
      <c r="H19" s="25" t="s">
        <v>48</v>
      </c>
      <c r="I19" s="28">
        <f>DCF!J3*'Assumptions &amp; WACC'!$C$7</f>
        <v>3133.2623871013147</v>
      </c>
      <c r="J19" s="28">
        <f>DCF!K3*'Assumptions &amp; WACC'!$C$7</f>
        <v>3185.5771711881239</v>
      </c>
      <c r="K19" s="28">
        <f>DCF!L3*'Assumptions &amp; WACC'!$C$7</f>
        <v>3238.7654335528186</v>
      </c>
      <c r="L19" s="28">
        <f>DCF!M3*'Assumptions &amp; WACC'!$C$7</f>
        <v>3292.841758300357</v>
      </c>
      <c r="M19" s="28">
        <f>DCF!N3*'Assumptions &amp; WACC'!$C$7</f>
        <v>3347.8209730404542</v>
      </c>
      <c r="N19" s="28">
        <f>DCF!O3*'Assumptions &amp; WACC'!$C$7</f>
        <v>3403.7181529532832</v>
      </c>
      <c r="P19" s="25" t="s">
        <v>48</v>
      </c>
      <c r="Q19" s="28">
        <f>DCF!Z3*'Assumptions &amp; WACC'!$E$7</f>
        <v>1372.4457209305176</v>
      </c>
      <c r="R19" s="28">
        <f>DCF!AA3*'Assumptions &amp; WACC'!$E$7</f>
        <v>1416.7308382400006</v>
      </c>
      <c r="S19" s="28">
        <f>DCF!AB3*'Assumptions &amp; WACC'!$E$7</f>
        <v>1462.4449166990621</v>
      </c>
      <c r="T19" s="28">
        <f>DCF!AC3*'Assumptions &amp; WACC'!$E$7</f>
        <v>1509.6340650252814</v>
      </c>
      <c r="U19" s="28">
        <f>DCF!AD3*'Assumptions &amp; WACC'!$E$7</f>
        <v>1558.345879740044</v>
      </c>
      <c r="V19" s="28">
        <f>DCF!AE3*'Assumptions &amp; WACC'!$E$7</f>
        <v>1608.6294931759528</v>
      </c>
    </row>
    <row r="20" spans="1:22" x14ac:dyDescent="0.3">
      <c r="A20" s="50" t="s">
        <v>59</v>
      </c>
      <c r="B20" s="51">
        <f ca="1">(B11*B19)+(B14*B18)</f>
        <v>5.49334038946225E-2</v>
      </c>
      <c r="C20" s="51">
        <f ca="1">(C11*C19)+(C14*C18)</f>
        <v>4.8964195843081919E-2</v>
      </c>
      <c r="D20" s="51">
        <f t="shared" ref="D20:F20" ca="1" si="5">(D11*D19)+(D14*D18)</f>
        <v>5.5204369368472492E-2</v>
      </c>
      <c r="E20" s="51">
        <f t="shared" ca="1" si="5"/>
        <v>6.1467520041629586E-2</v>
      </c>
      <c r="F20" s="51">
        <f t="shared" ca="1" si="5"/>
        <v>4.1700849988906802E-2</v>
      </c>
    </row>
    <row r="21" spans="1:22" x14ac:dyDescent="0.3">
      <c r="A21" s="84" t="s">
        <v>60</v>
      </c>
      <c r="B21" s="47">
        <v>0.03</v>
      </c>
      <c r="C21" s="47">
        <v>0.03</v>
      </c>
      <c r="D21" s="47">
        <v>0.03</v>
      </c>
      <c r="E21" s="47">
        <v>0.03</v>
      </c>
      <c r="F21" s="47">
        <v>0.03</v>
      </c>
    </row>
    <row r="22" spans="1:22" x14ac:dyDescent="0.3">
      <c r="A22" s="83" t="s">
        <v>61</v>
      </c>
      <c r="B22" s="85">
        <f ca="1">'Company Profile'!B9</f>
        <v>1340.7719999999999</v>
      </c>
      <c r="C22" s="85">
        <f ca="1">'Company Profile'!C9</f>
        <v>231.39779999999999</v>
      </c>
      <c r="D22" s="85">
        <f ca="1">'Company Profile'!D9</f>
        <v>270.12049999999999</v>
      </c>
      <c r="E22" s="85">
        <f ca="1">'Company Profile'!E9</f>
        <v>187.05289999999999</v>
      </c>
      <c r="F22" s="85">
        <f ca="1">'Company Profile'!F9</f>
        <v>142.7201</v>
      </c>
      <c r="H22" s="22"/>
      <c r="I22" s="22"/>
      <c r="J22" s="22"/>
      <c r="K22" s="22"/>
      <c r="L22" s="22"/>
      <c r="M22" s="24" t="str">
        <f>F2</f>
        <v>NG</v>
      </c>
      <c r="N22" s="22"/>
    </row>
    <row r="23" spans="1:22" x14ac:dyDescent="0.3">
      <c r="A23" s="92" t="s">
        <v>123</v>
      </c>
      <c r="B23" s="93">
        <f ca="1">1/(1+B20)^6</f>
        <v>0.72552057740689568</v>
      </c>
      <c r="C23" s="93">
        <f t="shared" ref="C23:F23" ca="1" si="6">1/(1+C20)^6</f>
        <v>0.75064744655918991</v>
      </c>
      <c r="D23" s="93">
        <f t="shared" ca="1" si="6"/>
        <v>0.72440345809064388</v>
      </c>
      <c r="E23" s="93">
        <f t="shared" ca="1" si="6"/>
        <v>0.69913290344817658</v>
      </c>
      <c r="F23" s="93">
        <f t="shared" ca="1" si="6"/>
        <v>0.78260368556851734</v>
      </c>
      <c r="H23" s="25" t="s">
        <v>11</v>
      </c>
      <c r="I23" s="26">
        <v>2020</v>
      </c>
      <c r="J23" s="26">
        <v>2021</v>
      </c>
      <c r="K23" s="26">
        <v>2022</v>
      </c>
      <c r="L23" s="26">
        <v>2023</v>
      </c>
      <c r="M23" s="26">
        <v>2024</v>
      </c>
      <c r="N23" s="22"/>
    </row>
    <row r="24" spans="1:22" x14ac:dyDescent="0.3">
      <c r="A24" s="94" t="s">
        <v>22</v>
      </c>
      <c r="B24" s="95">
        <f>Financials!F15</f>
        <v>5578</v>
      </c>
      <c r="C24" s="95">
        <f>Financials!M15</f>
        <v>2483</v>
      </c>
      <c r="D24" s="96">
        <f>Financials!T15</f>
        <v>1697</v>
      </c>
      <c r="E24" s="96">
        <f>Financials!AB15</f>
        <v>615</v>
      </c>
      <c r="F24" s="96">
        <f>Financials!AJ15</f>
        <v>4353</v>
      </c>
      <c r="H24" s="25" t="s">
        <v>62</v>
      </c>
      <c r="I24" s="27">
        <f>Financials!AF14-Financials!AF16</f>
        <v>5764</v>
      </c>
      <c r="J24" s="27">
        <f>Financials!AG14-Financials!AG16</f>
        <v>2896</v>
      </c>
      <c r="K24" s="27">
        <f>Financials!AH14-Financials!AH16</f>
        <v>901</v>
      </c>
      <c r="L24" s="27">
        <f>Financials!AI14-Financials!AI16</f>
        <v>1764</v>
      </c>
      <c r="M24" s="27">
        <f>Financials!AJ14-Financials!AJ16</f>
        <v>146</v>
      </c>
      <c r="N24" s="22"/>
    </row>
    <row r="25" spans="1:22" x14ac:dyDescent="0.3">
      <c r="H25" s="22"/>
      <c r="I25" s="22"/>
      <c r="J25" s="22"/>
      <c r="K25" s="22"/>
      <c r="L25" s="22"/>
      <c r="M25" s="22"/>
      <c r="N25" s="22"/>
    </row>
    <row r="26" spans="1:22" x14ac:dyDescent="0.3">
      <c r="H26" s="25" t="s">
        <v>11</v>
      </c>
      <c r="I26" s="26">
        <v>2025</v>
      </c>
      <c r="J26" s="26">
        <v>2026</v>
      </c>
      <c r="K26" s="26">
        <v>2027</v>
      </c>
      <c r="L26" s="26">
        <v>2028</v>
      </c>
      <c r="M26" s="26">
        <v>2029</v>
      </c>
      <c r="N26" s="26">
        <v>2030</v>
      </c>
    </row>
    <row r="27" spans="1:22" x14ac:dyDescent="0.3">
      <c r="H27" s="25" t="s">
        <v>48</v>
      </c>
      <c r="I27" s="28">
        <f>DCF!AH3*'Assumptions &amp; WACC'!$F$7</f>
        <v>2540.0055376164378</v>
      </c>
      <c r="J27" s="28">
        <f>DCF!AI3*'Assumptions &amp; WACC'!$F$7</f>
        <v>2595.9367943327325</v>
      </c>
      <c r="K27" s="28">
        <f>DCF!AJ3*'Assumptions &amp; WACC'!$F$7</f>
        <v>2653.0996646937751</v>
      </c>
      <c r="L27" s="28">
        <f>DCF!AK3*'Assumptions &amp; WACC'!$F$7</f>
        <v>2711.5212689943523</v>
      </c>
      <c r="M27" s="28">
        <f>DCF!AL3*'Assumptions &amp; WACC'!$F$7</f>
        <v>2771.2293247217162</v>
      </c>
      <c r="N27" s="28">
        <f>DCF!AM3*'Assumptions &amp; WACC'!$F$7</f>
        <v>2832.2521597058421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486B7-36E8-4015-B455-05E3BFC26415}">
  <dimension ref="A1:AM22"/>
  <sheetViews>
    <sheetView tabSelected="1" topLeftCell="AD1" workbookViewId="0">
      <selection activeCell="AK13" sqref="AK13"/>
    </sheetView>
  </sheetViews>
  <sheetFormatPr defaultRowHeight="14.4" x14ac:dyDescent="0.3"/>
  <cols>
    <col min="1" max="1" width="22.77734375" style="97" bestFit="1" customWidth="1"/>
    <col min="2" max="2" width="12.33203125" style="1" bestFit="1" customWidth="1"/>
    <col min="3" max="7" width="10.88671875" style="1" bestFit="1" customWidth="1"/>
    <col min="8" max="8" width="8.88671875" style="1"/>
    <col min="9" max="9" width="22.77734375" style="97" bestFit="1" customWidth="1"/>
    <col min="10" max="10" width="10.88671875" style="1" bestFit="1" customWidth="1"/>
    <col min="11" max="15" width="9.88671875" style="1" bestFit="1" customWidth="1"/>
    <col min="16" max="16" width="8.88671875" style="1"/>
    <col min="17" max="17" width="22.77734375" style="97" bestFit="1" customWidth="1"/>
    <col min="18" max="18" width="12.33203125" style="1" bestFit="1" customWidth="1"/>
    <col min="19" max="23" width="10.88671875" style="1" bestFit="1" customWidth="1"/>
    <col min="24" max="24" width="8.88671875" style="1"/>
    <col min="25" max="25" width="22.77734375" style="97" bestFit="1" customWidth="1"/>
    <col min="26" max="26" width="10.88671875" style="1" bestFit="1" customWidth="1"/>
    <col min="27" max="31" width="9.88671875" style="1" bestFit="1" customWidth="1"/>
    <col min="32" max="32" width="8.88671875" style="1"/>
    <col min="33" max="33" width="22.77734375" style="97" bestFit="1" customWidth="1"/>
    <col min="34" max="34" width="12.33203125" style="1" bestFit="1" customWidth="1"/>
    <col min="35" max="39" width="10.88671875" style="1" bestFit="1" customWidth="1"/>
    <col min="40" max="16384" width="8.88671875" style="1"/>
  </cols>
  <sheetData>
    <row r="1" spans="1:39" s="18" customFormat="1" x14ac:dyDescent="0.3">
      <c r="A1" s="98" t="s">
        <v>86</v>
      </c>
      <c r="G1" s="18" t="str">
        <f>Financials!F1</f>
        <v>RTX</v>
      </c>
      <c r="I1" s="98"/>
      <c r="O1" s="18" t="str">
        <f>Financials!M1</f>
        <v>LMC</v>
      </c>
      <c r="Q1" s="98" t="s">
        <v>86</v>
      </c>
      <c r="V1" s="129" t="str">
        <f>Financials!S1</f>
        <v>General Dynamics</v>
      </c>
      <c r="W1" s="129"/>
      <c r="Y1" s="98"/>
      <c r="AE1" s="18" t="str">
        <f>Financials!AB1</f>
        <v>L3H</v>
      </c>
      <c r="AG1" s="98" t="s">
        <v>86</v>
      </c>
      <c r="AM1" s="18" t="str">
        <f>Financials!AJ1</f>
        <v>NG</v>
      </c>
    </row>
    <row r="2" spans="1:39" x14ac:dyDescent="0.3">
      <c r="A2" s="97" t="s">
        <v>11</v>
      </c>
      <c r="B2" s="29" t="s">
        <v>63</v>
      </c>
      <c r="C2" s="29" t="s">
        <v>64</v>
      </c>
      <c r="D2" s="29" t="s">
        <v>65</v>
      </c>
      <c r="E2" s="29" t="s">
        <v>66</v>
      </c>
      <c r="F2" s="29" t="s">
        <v>67</v>
      </c>
      <c r="G2" s="29" t="s">
        <v>68</v>
      </c>
      <c r="I2" s="97" t="s">
        <v>11</v>
      </c>
      <c r="J2" s="36" t="s">
        <v>63</v>
      </c>
      <c r="K2" s="36" t="s">
        <v>64</v>
      </c>
      <c r="L2" s="36" t="s">
        <v>65</v>
      </c>
      <c r="M2" s="36" t="s">
        <v>66</v>
      </c>
      <c r="N2" s="36" t="s">
        <v>67</v>
      </c>
      <c r="O2" s="36" t="s">
        <v>68</v>
      </c>
      <c r="Q2" s="97" t="s">
        <v>11</v>
      </c>
      <c r="R2" s="29" t="s">
        <v>63</v>
      </c>
      <c r="S2" s="29" t="s">
        <v>64</v>
      </c>
      <c r="T2" s="29" t="s">
        <v>65</v>
      </c>
      <c r="U2" s="29" t="s">
        <v>66</v>
      </c>
      <c r="V2" s="29" t="s">
        <v>67</v>
      </c>
      <c r="W2" s="29" t="s">
        <v>68</v>
      </c>
      <c r="Y2" s="97" t="s">
        <v>11</v>
      </c>
      <c r="Z2" s="36" t="s">
        <v>63</v>
      </c>
      <c r="AA2" s="36" t="s">
        <v>64</v>
      </c>
      <c r="AB2" s="36" t="s">
        <v>65</v>
      </c>
      <c r="AC2" s="36" t="s">
        <v>66</v>
      </c>
      <c r="AD2" s="36" t="s">
        <v>67</v>
      </c>
      <c r="AE2" s="36" t="s">
        <v>68</v>
      </c>
      <c r="AG2" s="97" t="s">
        <v>11</v>
      </c>
      <c r="AH2" s="29" t="s">
        <v>63</v>
      </c>
      <c r="AI2" s="29" t="s">
        <v>64</v>
      </c>
      <c r="AJ2" s="29" t="s">
        <v>65</v>
      </c>
      <c r="AK2" s="29" t="s">
        <v>66</v>
      </c>
      <c r="AL2" s="29" t="s">
        <v>67</v>
      </c>
      <c r="AM2" s="29" t="s">
        <v>68</v>
      </c>
    </row>
    <row r="3" spans="1:39" x14ac:dyDescent="0.3">
      <c r="A3" s="97" t="s">
        <v>69</v>
      </c>
      <c r="B3" s="23">
        <f>Table1[[#This Row],[2024]]*(1+'Assumptions &amp; WACC'!$B3)</f>
        <v>86686.256880109882</v>
      </c>
      <c r="C3" s="23">
        <f>Table9[[#This Row],[2025]]*(1+'Assumptions &amp; WACC'!$B$3)</f>
        <v>93072.743093517289</v>
      </c>
      <c r="D3" s="23">
        <f>Table9[[#This Row],[2026]]*(1+'Assumptions &amp; WACC'!$B$3)</f>
        <v>99929.744560691543</v>
      </c>
      <c r="E3" s="23">
        <f>Table9[[#This Row],[2027]]*(1+'Assumptions &amp; WACC'!$B$3)</f>
        <v>107291.92582119783</v>
      </c>
      <c r="F3" s="23">
        <f>Table9[[#This Row],[2028]]*(1+'Assumptions &amp; WACC'!$B$3)</f>
        <v>115196.50527506317</v>
      </c>
      <c r="G3" s="23">
        <f>Table9[[#This Row],[2029]]*(1+'Assumptions &amp; WACC'!$B$3)</f>
        <v>123683.44333479973</v>
      </c>
      <c r="I3" s="99" t="s">
        <v>69</v>
      </c>
      <c r="J3" s="37">
        <f>Table18[[#This Row],[2024]]*(1+'Assumptions &amp; WACC'!$C$3)</f>
        <v>72229.175540605633</v>
      </c>
      <c r="K3" s="37">
        <f>Table915[[#This Row],[2025]]*(1+'Assumptions &amp; WACC'!$C$3)</f>
        <v>73435.156162825646</v>
      </c>
      <c r="L3" s="37">
        <f>Table915[[#This Row],[2026]]*(1+'Assumptions &amp; WACC'!$C$3)</f>
        <v>74661.27254390328</v>
      </c>
      <c r="M3" s="37">
        <f>Table915[[#This Row],[2027]]*(1+'Assumptions &amp; WACC'!$C$3)</f>
        <v>75907.860882262714</v>
      </c>
      <c r="N3" s="37">
        <f>Table915[[#This Row],[2028]]*(1+'Assumptions &amp; WACC'!$C$3)</f>
        <v>77175.262989693918</v>
      </c>
      <c r="O3" s="37">
        <f>Table915[[#This Row],[2029]]*(1+'Assumptions &amp; WACC'!$C$3)</f>
        <v>78463.82638507674</v>
      </c>
      <c r="Q3" s="97" t="s">
        <v>69</v>
      </c>
      <c r="R3" s="23">
        <f>Table119[[#This Row],[2024]]*(1+'Assumptions &amp; WACC'!D3)</f>
        <v>49958.767771747458</v>
      </c>
      <c r="S3" s="23">
        <f>Table934[[#This Row],[2025]]*(1+'Assumptions &amp; WACC'!$D$3)</f>
        <v>52306.951070320072</v>
      </c>
      <c r="T3" s="23">
        <f>Table934[[#This Row],[2026]]*(1+'Assumptions &amp; WACC'!$D$3)</f>
        <v>54765.504681244813</v>
      </c>
      <c r="U3" s="23">
        <f>Table934[[#This Row],[2027]]*(1+'Assumptions &amp; WACC'!$D$3)</f>
        <v>57339.616276990062</v>
      </c>
      <c r="V3" s="23">
        <f>Table934[[#This Row],[2028]]*(1+'Assumptions &amp; WACC'!$D$3)</f>
        <v>60034.717363216892</v>
      </c>
      <c r="W3" s="23">
        <f>Table934[[#This Row],[2029]]*(1+'Assumptions &amp; WACC'!$D$3)</f>
        <v>62856.494739530717</v>
      </c>
      <c r="Y3" s="99" t="s">
        <v>69</v>
      </c>
      <c r="Z3" s="37">
        <f>Table1822[[#This Row],[2024]]*(1+'Assumptions &amp; WACC'!E3)</f>
        <v>22013.100164707743</v>
      </c>
      <c r="AA3" s="37">
        <f>Table91536[[#This Row],[2025]]*(1+'Assumptions &amp; WACC'!$E$3)</f>
        <v>22723.403463608724</v>
      </c>
      <c r="AB3" s="37">
        <f>Table91536[[#This Row],[2026]]*(1+'Assumptions &amp; WACC'!$E$3)</f>
        <v>23456.626331886786</v>
      </c>
      <c r="AC3" s="37">
        <f>Table91536[[#This Row],[2027]]*(1+'Assumptions &amp; WACC'!$E$3)</f>
        <v>24213.508322154514</v>
      </c>
      <c r="AD3" s="37">
        <f>Table91536[[#This Row],[2028]]*(1+'Assumptions &amp; WACC'!$E$3)</f>
        <v>24994.812850390237</v>
      </c>
      <c r="AE3" s="37">
        <f>Table91536[[#This Row],[2029]]*(1+'Assumptions &amp; WACC'!$E$3)</f>
        <v>25801.327965944409</v>
      </c>
      <c r="AG3" s="97" t="s">
        <v>69</v>
      </c>
      <c r="AH3" s="23">
        <f>Table182225[[#This Row],[2024]]*(1+'Assumptions &amp; WACC'!F3)</f>
        <v>41936.552068234225</v>
      </c>
      <c r="AI3" s="23">
        <f>Table93444[[#This Row],[2025]]*(1+'Assumptions &amp; WACC'!$F$3)</f>
        <v>42860.000472100997</v>
      </c>
      <c r="AJ3" s="23">
        <f>Table93444[[#This Row],[2026]]*(1+'Assumptions &amp; WACC'!$F$3)</f>
        <v>43803.783331533326</v>
      </c>
      <c r="AK3" s="23">
        <f>Table93444[[#This Row],[2027]]*(1+'Assumptions &amp; WACC'!$F$3)</f>
        <v>44768.348413922882</v>
      </c>
      <c r="AL3" s="23">
        <f>Table93444[[#This Row],[2028]]*(1+'Assumptions &amp; WACC'!$F$3)</f>
        <v>45754.153346558327</v>
      </c>
      <c r="AM3" s="23">
        <f>Table93444[[#This Row],[2029]]*(1+'Assumptions &amp; WACC'!$F$3)</f>
        <v>46761.665833741536</v>
      </c>
    </row>
    <row r="4" spans="1:39" x14ac:dyDescent="0.3">
      <c r="A4" s="97" t="s">
        <v>70</v>
      </c>
      <c r="B4" s="23">
        <f>B3*'Assumptions &amp; WACC'!$B$4</f>
        <v>5232.1271812170908</v>
      </c>
      <c r="C4" s="23">
        <f>C3*'Assumptions &amp; WACC'!$B$4</f>
        <v>5617.5966813692439</v>
      </c>
      <c r="D4" s="23">
        <f>D3*'Assumptions &amp; WACC'!$B$4</f>
        <v>6031.4650966091194</v>
      </c>
      <c r="E4" s="23">
        <f>E3*'Assumptions &amp; WACC'!$B$4</f>
        <v>6475.8246764605874</v>
      </c>
      <c r="F4" s="23">
        <f>F3*'Assumptions &amp; WACC'!$B$4</f>
        <v>6952.9218139440782</v>
      </c>
      <c r="G4" s="23">
        <f>G3*'Assumptions &amp; WACC'!$B$4</f>
        <v>7465.16840187862</v>
      </c>
      <c r="I4" s="99" t="s">
        <v>70</v>
      </c>
      <c r="J4" s="37">
        <f>J3*'Assumptions &amp; WACC'!$C$4</f>
        <v>8922.5662343731183</v>
      </c>
      <c r="K4" s="37">
        <f>K3*'Assumptions &amp; WACC'!$C$4</f>
        <v>9071.5426265109363</v>
      </c>
      <c r="L4" s="37">
        <f>L3*'Assumptions &amp; WACC'!$C$4</f>
        <v>9223.0064157530651</v>
      </c>
      <c r="M4" s="37">
        <f>M3*'Assumptions &amp; WACC'!$C$4</f>
        <v>9376.9991331385245</v>
      </c>
      <c r="N4" s="37">
        <f>N3*'Assumptions &amp; WACC'!$C$4</f>
        <v>9533.5630031328819</v>
      </c>
      <c r="O4" s="37">
        <f>O3*'Assumptions &amp; WACC'!$C$4</f>
        <v>9692.7409552061181</v>
      </c>
      <c r="Q4" s="97" t="s">
        <v>70</v>
      </c>
      <c r="R4" s="23">
        <f>R3*'Assumptions &amp; WACC'!$D$4</f>
        <v>5231.1422279403378</v>
      </c>
      <c r="S4" s="23">
        <f>S3*'Assumptions &amp; WACC'!$D$4</f>
        <v>5477.0186048003388</v>
      </c>
      <c r="T4" s="23">
        <f>T3*'Assumptions &amp; WACC'!$D$4</f>
        <v>5734.4517679344535</v>
      </c>
      <c r="U4" s="23">
        <f>U3*'Assumptions &amp; WACC'!$D$4</f>
        <v>6003.9849143374131</v>
      </c>
      <c r="V4" s="23">
        <f>V3*'Assumptions &amp; WACC'!$D$4</f>
        <v>6286.1867725806414</v>
      </c>
      <c r="W4" s="23">
        <f>W3*'Assumptions &amp; WACC'!$D$4</f>
        <v>6581.6528028583061</v>
      </c>
      <c r="Y4" s="99" t="s">
        <v>70</v>
      </c>
      <c r="Z4" s="37">
        <f>Z3*'Assumptions &amp; WACC'!$E$4</f>
        <v>2282.6383951465336</v>
      </c>
      <c r="AA4" s="37">
        <f>AA3*'Assumptions &amp; WACC'!$E$4</f>
        <v>2356.2929722001586</v>
      </c>
      <c r="AB4" s="37">
        <f>AB3*'Assumptions &amp; WACC'!$E$4</f>
        <v>2432.324183561032</v>
      </c>
      <c r="AC4" s="37">
        <f>AC3*'Assumptions &amp; WACC'!$E$4</f>
        <v>2510.8087168004681</v>
      </c>
      <c r="AD4" s="37">
        <f>AD3*'Assumptions &amp; WACC'!$E$4</f>
        <v>2591.8257339906222</v>
      </c>
      <c r="AE4" s="37">
        <f>AE3*'Assumptions &amp; WACC'!$E$4</f>
        <v>2675.456951549952</v>
      </c>
      <c r="AG4" s="97" t="s">
        <v>70</v>
      </c>
      <c r="AH4" s="23">
        <f>AH3*'Assumptions &amp; WACC'!$F$4</f>
        <v>6258.6746160516623</v>
      </c>
      <c r="AI4" s="23">
        <f>AI3*'Assumptions &amp; WACC'!$F$4</f>
        <v>6396.4914560033731</v>
      </c>
      <c r="AJ4" s="23">
        <f>AJ3*'Assumptions &amp; WACC'!$F$4</f>
        <v>6537.3430409353641</v>
      </c>
      <c r="AK4" s="23">
        <f>AK3*'Assumptions &amp; WACC'!$F$4</f>
        <v>6681.2961963320877</v>
      </c>
      <c r="AL4" s="23">
        <f>AL3*'Assumptions &amp; WACC'!$F$4</f>
        <v>6828.4192191839693</v>
      </c>
      <c r="AM4" s="23">
        <f>AM3*'Assumptions &amp; WACC'!$F$4</f>
        <v>6978.7819103901693</v>
      </c>
    </row>
    <row r="5" spans="1:39" s="18" customFormat="1" x14ac:dyDescent="0.3">
      <c r="A5" s="98" t="s">
        <v>71</v>
      </c>
      <c r="B5" s="31">
        <f>B4*(1-'Assumptions &amp; WACC'!$B$13)</f>
        <v>4028.7379295371602</v>
      </c>
      <c r="C5" s="31">
        <f>C4*(1-'Assumptions &amp; WACC'!$B$13)</f>
        <v>4325.549444654318</v>
      </c>
      <c r="D5" s="31">
        <f>D4*(1-'Assumptions &amp; WACC'!$B$13)</f>
        <v>4644.228124389022</v>
      </c>
      <c r="E5" s="31">
        <f>E4*(1-'Assumptions &amp; WACC'!$B$13)</f>
        <v>4986.3850008746522</v>
      </c>
      <c r="F5" s="31">
        <f>F4*(1-'Assumptions &amp; WACC'!$B$13)</f>
        <v>5353.74979673694</v>
      </c>
      <c r="G5" s="31">
        <f>G4*(1-'Assumptions &amp; WACC'!$B$13)</f>
        <v>5748.1796694465374</v>
      </c>
      <c r="I5" s="100" t="s">
        <v>71</v>
      </c>
      <c r="J5" s="40">
        <f>J4*(1-'Assumptions &amp; WACC'!$C$13)</f>
        <v>6870.3760004673013</v>
      </c>
      <c r="K5" s="40">
        <f>K4*(1-'Assumptions &amp; WACC'!$C$13)</f>
        <v>6985.0878224134212</v>
      </c>
      <c r="L5" s="40">
        <f>L4*(1-'Assumptions &amp; WACC'!$C$13)</f>
        <v>7101.7149401298602</v>
      </c>
      <c r="M5" s="40">
        <f>M4*(1-'Assumptions &amp; WACC'!$C$13)</f>
        <v>7220.2893325166642</v>
      </c>
      <c r="N5" s="40">
        <f>N4*(1-'Assumptions &amp; WACC'!$C$13)</f>
        <v>7340.8435124123189</v>
      </c>
      <c r="O5" s="40">
        <f>O4*(1-'Assumptions &amp; WACC'!$C$13)</f>
        <v>7463.4105355087113</v>
      </c>
      <c r="Q5" s="98" t="s">
        <v>71</v>
      </c>
      <c r="R5" s="31">
        <f>R4*(1-'Assumptions &amp; WACC'!$B$13)</f>
        <v>4027.97951551406</v>
      </c>
      <c r="S5" s="31">
        <f>S4*(1-'Assumptions &amp; WACC'!$B$13)</f>
        <v>4217.304325696261</v>
      </c>
      <c r="T5" s="31">
        <f>T4*(1-'Assumptions &amp; WACC'!$B$13)</f>
        <v>4415.5278613095297</v>
      </c>
      <c r="U5" s="31">
        <f>U4*(1-'Assumptions &amp; WACC'!$B$13)</f>
        <v>4623.0683840398078</v>
      </c>
      <c r="V5" s="31">
        <f>V4*(1-'Assumptions &amp; WACC'!$B$13)</f>
        <v>4840.3638148870941</v>
      </c>
      <c r="W5" s="31">
        <f>W4*(1-'Assumptions &amp; WACC'!$B$13)</f>
        <v>5067.8726582008958</v>
      </c>
      <c r="Y5" s="100" t="s">
        <v>71</v>
      </c>
      <c r="Z5" s="40">
        <f>Z4*(1-'Assumptions &amp; WACC'!$C$13)</f>
        <v>1757.631564262831</v>
      </c>
      <c r="AA5" s="40">
        <f>AA4*(1-'Assumptions &amp; WACC'!$C$13)</f>
        <v>1814.3455885941221</v>
      </c>
      <c r="AB5" s="40">
        <f>AB4*(1-'Assumptions &amp; WACC'!$C$13)</f>
        <v>1872.8896213419946</v>
      </c>
      <c r="AC5" s="40">
        <f>AC4*(1-'Assumptions &amp; WACC'!$C$13)</f>
        <v>1933.3227119363605</v>
      </c>
      <c r="AD5" s="40">
        <f>AD4*(1-'Assumptions &amp; WACC'!$C$13)</f>
        <v>1995.7058151727792</v>
      </c>
      <c r="AE5" s="40">
        <f>AE4*(1-'Assumptions &amp; WACC'!$C$13)</f>
        <v>2060.1018526934631</v>
      </c>
      <c r="AG5" s="98" t="s">
        <v>71</v>
      </c>
      <c r="AH5" s="31">
        <f>AH4*(1-'Assumptions &amp; WACC'!$B$13)</f>
        <v>4819.1794543597798</v>
      </c>
      <c r="AI5" s="31">
        <f>AI4*(1-'Assumptions &amp; WACC'!$B$13)</f>
        <v>4925.2984211225976</v>
      </c>
      <c r="AJ5" s="31">
        <f>AJ4*(1-'Assumptions &amp; WACC'!$B$13)</f>
        <v>5033.7541415202304</v>
      </c>
      <c r="AK5" s="31">
        <f>AK4*(1-'Assumptions &amp; WACC'!$B$13)</f>
        <v>5144.5980711757074</v>
      </c>
      <c r="AL5" s="31">
        <f>AL4*(1-'Assumptions &amp; WACC'!$B$13)</f>
        <v>5257.8827987716568</v>
      </c>
      <c r="AM5" s="31">
        <f>AM4*(1-'Assumptions &amp; WACC'!$B$13)</f>
        <v>5373.6620710004308</v>
      </c>
    </row>
    <row r="6" spans="1:39" x14ac:dyDescent="0.3">
      <c r="A6" s="97" t="s">
        <v>72</v>
      </c>
      <c r="B6" s="23">
        <f>B3*'Assumptions &amp; WACC'!$B$5</f>
        <v>5492.1548922789016</v>
      </c>
      <c r="C6" s="23">
        <f>C3*'Assumptions &amp; WACC'!$B$5</f>
        <v>5896.781562801174</v>
      </c>
      <c r="D6" s="23">
        <f>D3*'Assumptions &amp; WACC'!$B$5</f>
        <v>6331.2185255874365</v>
      </c>
      <c r="E6" s="23">
        <f>E3*'Assumptions &amp; WACC'!$B$5</f>
        <v>6797.662011359992</v>
      </c>
      <c r="F6" s="23">
        <f>F3*'Assumptions &amp; WACC'!$B$5</f>
        <v>7298.470055004047</v>
      </c>
      <c r="G6" s="23">
        <f>G3*'Assumptions &amp; WACC'!$B$5</f>
        <v>7836.1744162583991</v>
      </c>
      <c r="I6" s="99" t="s">
        <v>72</v>
      </c>
      <c r="J6" s="37">
        <f>J3*'Assumptions &amp; WACC'!$C$5</f>
        <v>1510.2035367750057</v>
      </c>
      <c r="K6" s="37">
        <f>K3*'Assumptions &amp; WACC'!$C$5</f>
        <v>1535.4187796090446</v>
      </c>
      <c r="L6" s="37">
        <f>L3*'Assumptions &amp; WACC'!$C$5</f>
        <v>1561.0550309069738</v>
      </c>
      <c r="M6" s="37">
        <f>M3*'Assumptions &amp; WACC'!$C$5</f>
        <v>1587.1193200727078</v>
      </c>
      <c r="N6" s="37">
        <f>N3*'Assumptions &amp; WACC'!$C$5</f>
        <v>1613.6187938772048</v>
      </c>
      <c r="O6" s="37">
        <f>O3*'Assumptions &amp; WACC'!$C$5</f>
        <v>1640.5607184180983</v>
      </c>
      <c r="Q6" s="97" t="s">
        <v>72</v>
      </c>
      <c r="R6" s="23">
        <f>R3*'Assumptions &amp; WACC'!$D$5</f>
        <v>1068.4173447728524</v>
      </c>
      <c r="S6" s="23">
        <f>S3*'Assumptions &amp; WACC'!$D$5</f>
        <v>1118.6355522427273</v>
      </c>
      <c r="T6" s="23">
        <f>T3*'Assumptions &amp; WACC'!$D$5</f>
        <v>1171.2141373064567</v>
      </c>
      <c r="U6" s="23">
        <f>U3*'Assumptions &amp; WACC'!$D$5</f>
        <v>1226.2640434378575</v>
      </c>
      <c r="V6" s="23">
        <f>V3*'Assumptions &amp; WACC'!$D$5</f>
        <v>1283.9014287231946</v>
      </c>
      <c r="W6" s="23">
        <f>W3*'Assumptions &amp; WACC'!$D$5</f>
        <v>1344.2479109606181</v>
      </c>
      <c r="Y6" s="99" t="s">
        <v>72</v>
      </c>
      <c r="Z6" s="37">
        <f>Z3*'Assumptions &amp; WACC'!$E$5</f>
        <v>1265.2123999414177</v>
      </c>
      <c r="AA6" s="37">
        <f>AA3*'Assumptions &amp; WACC'!$E$5</f>
        <v>1306.0373875517328</v>
      </c>
      <c r="AB6" s="37">
        <f>AB3*'Assumptions &amp; WACC'!$E$5</f>
        <v>1348.1796872698485</v>
      </c>
      <c r="AC6" s="37">
        <f>AC3*'Assumptions &amp; WACC'!$E$5</f>
        <v>1391.6818052002595</v>
      </c>
      <c r="AD6" s="37">
        <f>AD3*'Assumptions &amp; WACC'!$E$5</f>
        <v>1436.5876190046706</v>
      </c>
      <c r="AE6" s="37">
        <f>AE3*'Assumptions &amp; WACC'!$E$5</f>
        <v>1482.9424221584441</v>
      </c>
      <c r="AG6" s="97" t="s">
        <v>72</v>
      </c>
      <c r="AH6" s="23">
        <f>AH3*'Assumptions &amp; WACC'!$F$5</f>
        <v>1451.6847968453812</v>
      </c>
      <c r="AI6" s="23">
        <f>AI3*'Assumptions &amp; WACC'!$F$5</f>
        <v>1483.6510874069738</v>
      </c>
      <c r="AJ6" s="23">
        <f>AJ3*'Assumptions &amp; WACC'!$F$5</f>
        <v>1516.3212798999557</v>
      </c>
      <c r="AK6" s="23">
        <f>AK3*'Assumptions &amp; WACC'!$F$5</f>
        <v>1549.710874337632</v>
      </c>
      <c r="AL6" s="23">
        <f>AL3*'Assumptions &amp; WACC'!$F$5</f>
        <v>1583.8357120456433</v>
      </c>
      <c r="AM6" s="23">
        <f>AM3*'Assumptions &amp; WACC'!$F$5</f>
        <v>1618.7119831777093</v>
      </c>
    </row>
    <row r="7" spans="1:39" x14ac:dyDescent="0.3">
      <c r="A7" s="97" t="s">
        <v>32</v>
      </c>
      <c r="B7" s="23">
        <f>B3*'Assumptions &amp; WACC'!$B$6</f>
        <v>2889.5675650768185</v>
      </c>
      <c r="C7" s="23">
        <f>C3*'Assumptions &amp; WACC'!$B$6</f>
        <v>3102.4523299893822</v>
      </c>
      <c r="D7" s="23">
        <f>D3*'Assumptions &amp; WACC'!$B$6</f>
        <v>3331.0210760206478</v>
      </c>
      <c r="E7" s="23">
        <f>E3*'Assumptions &amp; WACC'!$B$6</f>
        <v>3576.4292980874666</v>
      </c>
      <c r="F7" s="23">
        <f>F3*'Assumptions &amp; WACC'!$B$6</f>
        <v>3839.917620544988</v>
      </c>
      <c r="G7" s="23">
        <f>G3*'Assumptions &amp; WACC'!$B$6</f>
        <v>4122.8180689764813</v>
      </c>
      <c r="I7" s="99" t="s">
        <v>32</v>
      </c>
      <c r="J7" s="37">
        <f>J3*'Assumptions &amp; WACC'!$C$6</f>
        <v>1786.0133781017307</v>
      </c>
      <c r="K7" s="37">
        <f>K3*'Assumptions &amp; WACC'!$C$6</f>
        <v>1815.8337035989464</v>
      </c>
      <c r="L7" s="37">
        <f>L3*'Assumptions &amp; WACC'!$C$6</f>
        <v>1846.1519267175704</v>
      </c>
      <c r="M7" s="37">
        <f>M3*'Assumptions &amp; WACC'!$C$6</f>
        <v>1876.9763606479273</v>
      </c>
      <c r="N7" s="37">
        <f>N3*'Assumptions &amp; WACC'!$C$6</f>
        <v>1908.3154573822369</v>
      </c>
      <c r="O7" s="37">
        <f>O3*'Assumptions &amp; WACC'!$C$6</f>
        <v>1940.1778100321312</v>
      </c>
      <c r="Q7" s="97" t="s">
        <v>32</v>
      </c>
      <c r="R7" s="23">
        <f>R3*'Assumptions &amp; WACC'!$D$6</f>
        <v>1162.3681542314059</v>
      </c>
      <c r="S7" s="23">
        <f>S3*'Assumptions &amp; WACC'!$D$6</f>
        <v>1217.0022776955643</v>
      </c>
      <c r="T7" s="23">
        <f>T3*'Assumptions &amp; WACC'!$D$6</f>
        <v>1274.2043375194989</v>
      </c>
      <c r="U7" s="23">
        <f>U3*'Assumptions &amp; WACC'!$D$6</f>
        <v>1334.095032942618</v>
      </c>
      <c r="V7" s="23">
        <f>V3*'Assumptions &amp; WACC'!$D$6</f>
        <v>1396.8007363614306</v>
      </c>
      <c r="W7" s="23">
        <f>W3*'Assumptions &amp; WACC'!$D$6</f>
        <v>1462.4537599816952</v>
      </c>
      <c r="Y7" s="99" t="s">
        <v>32</v>
      </c>
      <c r="Z7" s="37">
        <f>Z3*'Assumptions &amp; WACC'!$E$6</f>
        <v>426.82146800694341</v>
      </c>
      <c r="AA7" s="37">
        <f>AA3*'Assumptions &amp; WACC'!$E$6</f>
        <v>440.59384420560121</v>
      </c>
      <c r="AB7" s="37">
        <f>AB3*'Assumptions &amp; WACC'!$E$6</f>
        <v>454.81061779374153</v>
      </c>
      <c r="AC7" s="37">
        <f>AC3*'Assumptions &amp; WACC'!$E$6</f>
        <v>469.48612827508759</v>
      </c>
      <c r="AD7" s="37">
        <f>AD3*'Assumptions &amp; WACC'!$E$6</f>
        <v>484.6351778504258</v>
      </c>
      <c r="AE7" s="37">
        <f>AE3*'Assumptions &amp; WACC'!$E$6</f>
        <v>500.27304634759082</v>
      </c>
      <c r="AG7" s="97" t="s">
        <v>32</v>
      </c>
      <c r="AH7" s="23">
        <f>AH3*'Assumptions &amp; WACC'!$F$6</f>
        <v>1729.7989067962353</v>
      </c>
      <c r="AI7" s="23">
        <f>AI3*'Assumptions &amp; WACC'!$F$6</f>
        <v>1767.8893067149602</v>
      </c>
      <c r="AJ7" s="23">
        <f>AJ3*'Assumptions &amp; WACC'!$F$6</f>
        <v>1806.8184622602889</v>
      </c>
      <c r="AK7" s="23">
        <f>AK3*'Assumptions &amp; WACC'!$F$6</f>
        <v>1846.6048429416689</v>
      </c>
      <c r="AL7" s="23">
        <f>AL3*'Assumptions &amp; WACC'!$F$6</f>
        <v>1887.2673249695799</v>
      </c>
      <c r="AM7" s="23">
        <f>AM3*'Assumptions &amp; WACC'!$F$6</f>
        <v>1928.8252002111449</v>
      </c>
    </row>
    <row r="8" spans="1:39" x14ac:dyDescent="0.3">
      <c r="A8" s="30" t="s">
        <v>73</v>
      </c>
      <c r="B8" s="23">
        <f>'Assumptions &amp; WACC'!I12-'Assumptions &amp; WACC'!M9</f>
        <v>1113.2054375665969</v>
      </c>
      <c r="C8" s="23">
        <f>'Assumptions &amp; WACC'!J12-'Assumptions &amp; WACC'!I12</f>
        <v>55.049293825225163</v>
      </c>
      <c r="D8" s="23">
        <f>'Assumptions &amp; WACC'!K12-'Assumptions &amp; WACC'!J12</f>
        <v>59.104971953753079</v>
      </c>
      <c r="E8" s="23">
        <f>'Assumptions &amp; WACC'!L12-'Assumptions &amp; WACC'!K12</f>
        <v>63.459446378096231</v>
      </c>
      <c r="F8" s="23">
        <f>'Assumptions &amp; WACC'!M12-'Assumptions &amp; WACC'!L12</f>
        <v>68.134730488756304</v>
      </c>
      <c r="G8" s="23">
        <f>'Assumptions &amp; WACC'!N12-'Assumptions &amp; WACC'!M12</f>
        <v>73.154459481351864</v>
      </c>
      <c r="I8" s="38" t="s">
        <v>73</v>
      </c>
      <c r="J8" s="37">
        <f>'Assumptions &amp; WACC'!I19-'Assumptions &amp; WACC'!M16</f>
        <v>704.26238710131474</v>
      </c>
      <c r="K8" s="37">
        <f>'Assumptions &amp; WACC'!J19-'Assumptions &amp; WACC'!I19</f>
        <v>52.314784086809141</v>
      </c>
      <c r="L8" s="37">
        <f>'Assumptions &amp; WACC'!K19-'Assumptions &amp; WACC'!J19</f>
        <v>53.188262364694765</v>
      </c>
      <c r="M8" s="37">
        <f>'Assumptions &amp; WACC'!L19-'Assumptions &amp; WACC'!K19</f>
        <v>54.076324747538365</v>
      </c>
      <c r="N8" s="37">
        <f>'Assumptions &amp; WACC'!M19-'Assumptions &amp; WACC'!L19</f>
        <v>54.979214740097177</v>
      </c>
      <c r="O8" s="37">
        <f>'Assumptions &amp; WACC'!N19-'Assumptions &amp; WACC'!M19</f>
        <v>55.89717991282896</v>
      </c>
      <c r="Q8" s="30" t="s">
        <v>73</v>
      </c>
      <c r="R8" s="23">
        <f>'Assumptions &amp; WACC'!Q12-'Assumptions &amp; WACC'!U9</f>
        <v>977.12761688728369</v>
      </c>
      <c r="S8" s="23">
        <f>'Assumptions &amp; WACC'!R12-'Assumptions &amp; WACC'!Q12</f>
        <v>354.35728992887198</v>
      </c>
      <c r="T8" s="23">
        <f>'Assumptions &amp; WACC'!S12-'Assumptions &amp; WACC'!R12</f>
        <v>371.01294232086093</v>
      </c>
      <c r="U8" s="23">
        <f>'Assumptions &amp; WACC'!T12-'Assumptions &amp; WACC'!S12</f>
        <v>388.45145078633323</v>
      </c>
      <c r="V8" s="23">
        <f>'Assumptions &amp; WACC'!U12-'Assumptions &amp; WACC'!T12</f>
        <v>406.70961146015725</v>
      </c>
      <c r="W8" s="23">
        <f>'Assumptions &amp; WACC'!V12-'Assumptions &amp; WACC'!U12</f>
        <v>425.82594998481909</v>
      </c>
      <c r="Y8" s="38" t="s">
        <v>73</v>
      </c>
      <c r="Z8" s="37">
        <f>'Assumptions &amp; WACC'!Q19-'Assumptions &amp; WACC'!U16</f>
        <v>787.44572093051761</v>
      </c>
      <c r="AA8" s="37">
        <f>'Assumptions &amp; WACC'!R19-'Assumptions &amp; WACC'!Q19</f>
        <v>44.285117309482985</v>
      </c>
      <c r="AB8" s="37">
        <f>'Assumptions &amp; WACC'!S19-'Assumptions &amp; WACC'!R19</f>
        <v>45.714078459061511</v>
      </c>
      <c r="AC8" s="37">
        <f>'Assumptions &amp; WACC'!T19-'Assumptions &amp; WACC'!S19</f>
        <v>47.189148326219311</v>
      </c>
      <c r="AD8" s="37">
        <f>'Assumptions &amp; WACC'!U19-'Assumptions &amp; WACC'!T19</f>
        <v>48.711814714762568</v>
      </c>
      <c r="AE8" s="37">
        <f>'Assumptions &amp; WACC'!V19-'Assumptions &amp; WACC'!U19</f>
        <v>50.283613435908819</v>
      </c>
      <c r="AG8" s="30" t="s">
        <v>73</v>
      </c>
      <c r="AH8" s="23">
        <f>'Assumptions &amp; WACC'!I27-'Assumptions &amp; WACC'!M24</f>
        <v>2394.0055376164378</v>
      </c>
      <c r="AI8" s="23">
        <f>'Assumptions &amp; WACC'!J27-'Assumptions &amp; WACC'!I27</f>
        <v>55.931256716294683</v>
      </c>
      <c r="AJ8" s="23">
        <f>'Assumptions &amp; WACC'!K27-'Assumptions &amp; WACC'!J27</f>
        <v>57.162870361042678</v>
      </c>
      <c r="AK8" s="23">
        <f>'Assumptions &amp; WACC'!L27-'Assumptions &amp; WACC'!K27</f>
        <v>58.421604300577201</v>
      </c>
      <c r="AL8" s="23">
        <f>'Assumptions &amp; WACC'!M27-'Assumptions &amp; WACC'!L27</f>
        <v>59.708055727363899</v>
      </c>
      <c r="AM8" s="23">
        <f>'Assumptions &amp; WACC'!N27-'Assumptions &amp; WACC'!M27</f>
        <v>61.022834984125893</v>
      </c>
    </row>
    <row r="9" spans="1:39" x14ac:dyDescent="0.3">
      <c r="A9" s="98" t="s">
        <v>74</v>
      </c>
      <c r="B9" s="31">
        <f>B5+B6-B7-B8</f>
        <v>5518.1198191726462</v>
      </c>
      <c r="C9" s="31">
        <f t="shared" ref="C9:G9" si="0">C5+C6-C7-C8</f>
        <v>7064.8293836408839</v>
      </c>
      <c r="D9" s="31">
        <f t="shared" si="0"/>
        <v>7585.3206020020571</v>
      </c>
      <c r="E9" s="31">
        <f t="shared" si="0"/>
        <v>8144.1582677690822</v>
      </c>
      <c r="F9" s="31">
        <f t="shared" si="0"/>
        <v>8744.1675007072427</v>
      </c>
      <c r="G9" s="31">
        <f t="shared" si="0"/>
        <v>9388.3815572471049</v>
      </c>
      <c r="I9" s="100" t="s">
        <v>74</v>
      </c>
      <c r="J9" s="40">
        <f>J5+J6-J7-J8</f>
        <v>5890.3037720392622</v>
      </c>
      <c r="K9" s="40">
        <f t="shared" ref="K9:O9" si="1">K5+K6-K7-K8</f>
        <v>6652.3581143367101</v>
      </c>
      <c r="L9" s="40">
        <f t="shared" si="1"/>
        <v>6763.42978195457</v>
      </c>
      <c r="M9" s="40">
        <f t="shared" si="1"/>
        <v>6876.3559671939074</v>
      </c>
      <c r="N9" s="40">
        <f t="shared" si="1"/>
        <v>6991.16763416719</v>
      </c>
      <c r="O9" s="40">
        <f t="shared" si="1"/>
        <v>7107.8962639818492</v>
      </c>
      <c r="Q9" s="98" t="s">
        <v>74</v>
      </c>
      <c r="R9" s="31">
        <f>R5+R6-R7-R8</f>
        <v>2956.9010891682228</v>
      </c>
      <c r="S9" s="31">
        <f t="shared" ref="S9:W9" si="2">S5+S6-S7-S8</f>
        <v>3764.5803103145518</v>
      </c>
      <c r="T9" s="31">
        <f t="shared" si="2"/>
        <v>3941.5247187756268</v>
      </c>
      <c r="U9" s="31">
        <f t="shared" si="2"/>
        <v>4126.7859437487141</v>
      </c>
      <c r="V9" s="31">
        <f t="shared" si="2"/>
        <v>4320.7548957887011</v>
      </c>
      <c r="W9" s="31">
        <f t="shared" si="2"/>
        <v>4523.8408591950001</v>
      </c>
      <c r="Y9" s="100" t="s">
        <v>74</v>
      </c>
      <c r="Z9" s="40">
        <f>Z5+Z6-Z7-Z8</f>
        <v>1808.5767752667878</v>
      </c>
      <c r="AA9" s="40">
        <f t="shared" ref="AA9:AE9" si="3">AA5+AA6-AA7-AA8</f>
        <v>2635.5040146307701</v>
      </c>
      <c r="AB9" s="40">
        <f t="shared" si="3"/>
        <v>2720.54461235904</v>
      </c>
      <c r="AC9" s="40">
        <f t="shared" si="3"/>
        <v>2808.3292405353131</v>
      </c>
      <c r="AD9" s="40">
        <f t="shared" si="3"/>
        <v>2898.9464416122614</v>
      </c>
      <c r="AE9" s="40">
        <f t="shared" si="3"/>
        <v>2992.4876150684076</v>
      </c>
      <c r="AG9" s="98" t="s">
        <v>74</v>
      </c>
      <c r="AH9" s="31">
        <f>AH5+AH6-AH7-AH8</f>
        <v>2147.059806792488</v>
      </c>
      <c r="AI9" s="31">
        <f t="shared" ref="AI9:AM9" si="4">AI5+AI6-AI7-AI8</f>
        <v>4585.1289450983168</v>
      </c>
      <c r="AJ9" s="31">
        <f t="shared" si="4"/>
        <v>4686.0940887988545</v>
      </c>
      <c r="AK9" s="31">
        <f t="shared" si="4"/>
        <v>4789.2824982710936</v>
      </c>
      <c r="AL9" s="31">
        <f t="shared" si="4"/>
        <v>4894.743130120356</v>
      </c>
      <c r="AM9" s="31">
        <f t="shared" si="4"/>
        <v>5002.5260189828696</v>
      </c>
    </row>
    <row r="10" spans="1:39" x14ac:dyDescent="0.3">
      <c r="A10" s="98"/>
      <c r="B10" s="32"/>
      <c r="C10" s="32"/>
      <c r="D10" s="32"/>
      <c r="E10" s="32"/>
      <c r="F10" s="32"/>
      <c r="G10" s="32"/>
      <c r="I10" s="98"/>
      <c r="J10" s="32"/>
      <c r="K10" s="32"/>
      <c r="L10" s="32"/>
      <c r="M10" s="32"/>
      <c r="N10" s="32"/>
      <c r="O10" s="32"/>
      <c r="Q10" s="98"/>
      <c r="R10" s="32"/>
      <c r="S10" s="32"/>
      <c r="T10" s="32"/>
      <c r="U10" s="32"/>
      <c r="V10" s="32"/>
      <c r="W10" s="32"/>
      <c r="Y10" s="98"/>
      <c r="Z10" s="32"/>
      <c r="AA10" s="32"/>
      <c r="AB10" s="32"/>
      <c r="AC10" s="32"/>
      <c r="AD10" s="32"/>
      <c r="AE10" s="32"/>
      <c r="AG10" s="98"/>
      <c r="AH10" s="32"/>
      <c r="AI10" s="32"/>
      <c r="AJ10" s="32"/>
      <c r="AK10" s="32"/>
      <c r="AL10" s="32"/>
      <c r="AM10" s="32"/>
    </row>
    <row r="12" spans="1:39" x14ac:dyDescent="0.3">
      <c r="A12" s="97" t="s">
        <v>75</v>
      </c>
      <c r="B12" s="19" t="s">
        <v>76</v>
      </c>
      <c r="I12" s="97" t="s">
        <v>75</v>
      </c>
      <c r="J12" s="19" t="s">
        <v>76</v>
      </c>
      <c r="Q12" s="97" t="s">
        <v>75</v>
      </c>
      <c r="R12" s="19" t="s">
        <v>76</v>
      </c>
      <c r="Y12" s="97" t="s">
        <v>75</v>
      </c>
      <c r="Z12" s="19" t="s">
        <v>76</v>
      </c>
      <c r="AG12" s="97" t="s">
        <v>75</v>
      </c>
      <c r="AH12" s="19" t="s">
        <v>76</v>
      </c>
    </row>
    <row r="13" spans="1:39" x14ac:dyDescent="0.3">
      <c r="A13" s="97" t="s">
        <v>77</v>
      </c>
      <c r="B13" s="33">
        <f ca="1">G9*(1+'Assumptions &amp; WACC'!B21)/('Assumptions &amp; WACC'!B20-'Assumptions &amp; WACC'!B21)</f>
        <v>387834.45071653841</v>
      </c>
      <c r="I13" s="99" t="s">
        <v>77</v>
      </c>
      <c r="J13" s="41">
        <f ca="1">O9*(1+'Assumptions &amp; WACC'!C21)/('Assumptions &amp; WACC'!C20-'Assumptions &amp; WACC'!C21)</f>
        <v>386050.28193547321</v>
      </c>
      <c r="Q13" s="97" t="s">
        <v>77</v>
      </c>
      <c r="R13" s="33">
        <f ca="1">W9*(1+'Assumptions &amp; WACC'!D21)/('Assumptions &amp; WACC'!D20-'Assumptions &amp; WACC'!D21)</f>
        <v>184870.96490497282</v>
      </c>
      <c r="Y13" s="99" t="s">
        <v>77</v>
      </c>
      <c r="Z13" s="41">
        <f ca="1">AE9*(1+'Assumptions &amp; WACC'!E21)/('Assumptions &amp; WACC'!E20-'Assumptions &amp; WACC'!E21)</f>
        <v>97950.592847571621</v>
      </c>
      <c r="AG13" s="97" t="s">
        <v>77</v>
      </c>
      <c r="AH13" s="33">
        <f ca="1">AM9*(1+'Assumptions &amp; WACC'!F21)/('Assumptions &amp; WACC'!F20-'Assumptions &amp; WACC'!F21)</f>
        <v>440361.32455653831</v>
      </c>
    </row>
    <row r="14" spans="1:39" x14ac:dyDescent="0.3">
      <c r="A14" s="97" t="s">
        <v>78</v>
      </c>
      <c r="B14" s="33">
        <f ca="1">B13/(1+'Assumptions &amp; WACC'!B20)^6</f>
        <v>281381.87462214916</v>
      </c>
      <c r="I14" s="99" t="s">
        <v>78</v>
      </c>
      <c r="J14" s="41">
        <f ca="1">J13/(1+'Assumptions &amp; WACC'!C20)^6</f>
        <v>289787.6583783183</v>
      </c>
      <c r="Q14" s="97" t="s">
        <v>78</v>
      </c>
      <c r="R14" s="33">
        <f ca="1">R13*'Assumptions &amp; WACC'!D23</f>
        <v>133921.16627771637</v>
      </c>
      <c r="Y14" s="99" t="s">
        <v>78</v>
      </c>
      <c r="Z14" s="41">
        <f ca="1">Z13*'Assumptions &amp; WACC'!E23</f>
        <v>68480.482371992941</v>
      </c>
      <c r="AG14" s="97" t="s">
        <v>78</v>
      </c>
      <c r="AH14" s="33">
        <f ca="1">AH13*'Assumptions &amp; WACC'!F23</f>
        <v>344628.39557978092</v>
      </c>
    </row>
    <row r="15" spans="1:39" x14ac:dyDescent="0.3">
      <c r="A15" s="97" t="s">
        <v>79</v>
      </c>
      <c r="B15" s="34">
        <f ca="1">NPV('Assumptions &amp; WACC'!B20,DCF!B9:G9)</f>
        <v>38119.776227637987</v>
      </c>
      <c r="I15" s="99" t="s">
        <v>79</v>
      </c>
      <c r="J15" s="42">
        <f ca="1">NPV('Assumptions &amp; WACC'!C20,DCF!J9:O9)</f>
        <v>34040.948068496007</v>
      </c>
      <c r="Q15" s="97" t="s">
        <v>79</v>
      </c>
      <c r="R15" s="34">
        <f ca="1">NPV('Assumptions &amp; WACC'!D20,DCF!R9:W9)</f>
        <v>19446.374124026188</v>
      </c>
      <c r="Y15" s="99" t="s">
        <v>79</v>
      </c>
      <c r="Z15" s="42">
        <f ca="1">NPV('Assumptions &amp; WACC'!E20,DCF!Z9:AE9)</f>
        <v>12773.37258052938</v>
      </c>
      <c r="AG15" s="97" t="s">
        <v>79</v>
      </c>
      <c r="AH15" s="34">
        <f ca="1">NPV('Assumptions &amp; WACC'!F20,DCF!AH9:AM9)</f>
        <v>22404.642426849245</v>
      </c>
    </row>
    <row r="16" spans="1:39" x14ac:dyDescent="0.3">
      <c r="A16" s="97" t="s">
        <v>80</v>
      </c>
      <c r="B16" s="33">
        <f ca="1">B14+B15</f>
        <v>319501.65084978717</v>
      </c>
      <c r="I16" s="99" t="s">
        <v>80</v>
      </c>
      <c r="J16" s="41">
        <f ca="1">J14+J15</f>
        <v>323828.60644681432</v>
      </c>
      <c r="Q16" s="97" t="s">
        <v>80</v>
      </c>
      <c r="R16" s="33">
        <f ca="1">R14+R15</f>
        <v>153367.54040174256</v>
      </c>
      <c r="Y16" s="99" t="s">
        <v>80</v>
      </c>
      <c r="Z16" s="41">
        <f ca="1">Z14+Z15</f>
        <v>81253.854952522321</v>
      </c>
      <c r="AG16" s="97" t="s">
        <v>80</v>
      </c>
      <c r="AH16" s="33">
        <f ca="1">AH14+AH15</f>
        <v>367033.03800663014</v>
      </c>
    </row>
    <row r="17" spans="1:34" x14ac:dyDescent="0.3">
      <c r="A17" s="97" t="s">
        <v>81</v>
      </c>
      <c r="B17" s="33">
        <f>'Assumptions &amp; WACC'!B15-Financials!F15</f>
        <v>35683</v>
      </c>
      <c r="I17" s="99" t="s">
        <v>81</v>
      </c>
      <c r="J17" s="41">
        <f>'Assumptions &amp; WACC'!C15-Financials!M15</f>
        <v>17787</v>
      </c>
      <c r="Q17" s="97" t="s">
        <v>81</v>
      </c>
      <c r="R17" s="33">
        <f>'Assumptions &amp; WACC'!D15-'Assumptions &amp; WACC'!D24</f>
        <v>7065</v>
      </c>
      <c r="Y17" s="99" t="s">
        <v>81</v>
      </c>
      <c r="Z17" s="41">
        <f>'Assumptions &amp; WACC'!E15-'Assumptions &amp; WACC'!E24</f>
        <v>11621</v>
      </c>
      <c r="AG17" s="97" t="s">
        <v>81</v>
      </c>
      <c r="AH17" s="33">
        <f>'Assumptions &amp; WACC'!F15-'Assumptions &amp; WACC'!F24</f>
        <v>10339</v>
      </c>
    </row>
    <row r="18" spans="1:34" x14ac:dyDescent="0.3">
      <c r="A18" s="97" t="s">
        <v>82</v>
      </c>
      <c r="B18" s="33">
        <f ca="1">B16-B17</f>
        <v>283818.65084978717</v>
      </c>
      <c r="I18" s="99" t="s">
        <v>82</v>
      </c>
      <c r="J18" s="41">
        <f ca="1">J16-J17</f>
        <v>306041.60644681432</v>
      </c>
      <c r="Q18" s="97" t="s">
        <v>82</v>
      </c>
      <c r="R18" s="33">
        <f ca="1">R16-R17</f>
        <v>146302.54040174256</v>
      </c>
      <c r="Y18" s="99" t="s">
        <v>82</v>
      </c>
      <c r="Z18" s="41">
        <f ca="1">Z16-Z17</f>
        <v>69632.854952522321</v>
      </c>
      <c r="AG18" s="97" t="s">
        <v>82</v>
      </c>
      <c r="AH18" s="33">
        <f ca="1">AH16-AH17</f>
        <v>356694.03800663014</v>
      </c>
    </row>
    <row r="19" spans="1:34" x14ac:dyDescent="0.3">
      <c r="A19" s="97" t="s">
        <v>61</v>
      </c>
      <c r="B19" s="33">
        <f ca="1">'Assumptions &amp; WACC'!B22</f>
        <v>1340.7719999999999</v>
      </c>
      <c r="I19" s="99" t="s">
        <v>61</v>
      </c>
      <c r="J19" s="41">
        <f ca="1">'Assumptions &amp; WACC'!C22</f>
        <v>231.39779999999999</v>
      </c>
      <c r="Q19" s="97" t="s">
        <v>61</v>
      </c>
      <c r="R19" s="33">
        <f ca="1">'Assumptions &amp; WACC'!D22</f>
        <v>270.12049999999999</v>
      </c>
      <c r="Y19" s="99" t="s">
        <v>61</v>
      </c>
      <c r="Z19" s="41">
        <f ca="1">'Assumptions &amp; WACC'!E22</f>
        <v>187.05289999999999</v>
      </c>
      <c r="AG19" s="97" t="s">
        <v>61</v>
      </c>
      <c r="AH19" s="33">
        <f ca="1">'Assumptions &amp; WACC'!F22</f>
        <v>142.7201</v>
      </c>
    </row>
    <row r="20" spans="1:34" x14ac:dyDescent="0.3">
      <c r="A20" s="97" t="s">
        <v>83</v>
      </c>
      <c r="B20" s="4">
        <f ca="1">B18/B19</f>
        <v>211.68300863218144</v>
      </c>
      <c r="I20" s="99" t="s">
        <v>83</v>
      </c>
      <c r="J20" s="14">
        <f ca="1">J18/J19</f>
        <v>1322.5778570358677</v>
      </c>
      <c r="Q20" s="97" t="s">
        <v>83</v>
      </c>
      <c r="R20" s="4">
        <f ca="1">R18/R19</f>
        <v>541.61953795340435</v>
      </c>
      <c r="Y20" s="99" t="s">
        <v>83</v>
      </c>
      <c r="Z20" s="14">
        <f ca="1">Z18/Z19</f>
        <v>372.26289970656603</v>
      </c>
      <c r="AG20" s="97" t="s">
        <v>83</v>
      </c>
      <c r="AH20" s="4">
        <f ca="1">AH18/AH19</f>
        <v>2499.2558021374016</v>
      </c>
    </row>
    <row r="21" spans="1:34" x14ac:dyDescent="0.3">
      <c r="A21" s="97" t="s">
        <v>84</v>
      </c>
      <c r="B21" s="34">
        <f ca="1">'Company Profile'!B3</f>
        <v>173</v>
      </c>
      <c r="I21" s="99" t="s">
        <v>84</v>
      </c>
      <c r="J21" s="42">
        <f ca="1">'Company Profile'!C3</f>
        <v>470.64</v>
      </c>
      <c r="Q21" s="97" t="s">
        <v>84</v>
      </c>
      <c r="R21" s="34">
        <f ca="1">'Company Profile'!D3</f>
        <v>341.98500000000001</v>
      </c>
      <c r="Y21" s="99" t="s">
        <v>84</v>
      </c>
      <c r="Z21" s="42">
        <f ca="1">'Company Profile'!E3</f>
        <v>285.21010000000001</v>
      </c>
      <c r="AG21" s="97" t="s">
        <v>84</v>
      </c>
      <c r="AH21" s="34">
        <f ca="1">'Company Profile'!F3</f>
        <v>566.12</v>
      </c>
    </row>
    <row r="22" spans="1:34" x14ac:dyDescent="0.3">
      <c r="A22" s="97" t="s">
        <v>85</v>
      </c>
      <c r="B22" s="35">
        <f ca="1">(B20-B21)/B21</f>
        <v>0.22360120596636671</v>
      </c>
      <c r="I22" s="99" t="s">
        <v>85</v>
      </c>
      <c r="J22" s="43">
        <f ca="1">(J20-J21)/J21</f>
        <v>1.8101688276301797</v>
      </c>
      <c r="Q22" s="97" t="s">
        <v>85</v>
      </c>
      <c r="R22" s="35">
        <f ca="1">(R20-R21)/R21</f>
        <v>0.58375232233403318</v>
      </c>
      <c r="Y22" s="99" t="s">
        <v>85</v>
      </c>
      <c r="Z22" s="43">
        <f ca="1">(Z20-Z21)/Z21</f>
        <v>0.30522341146602455</v>
      </c>
      <c r="AG22" s="97" t="s">
        <v>85</v>
      </c>
      <c r="AH22" s="35">
        <f ca="1">(AH20-AH21)/AH21</f>
        <v>3.4147103125439866</v>
      </c>
    </row>
  </sheetData>
  <mergeCells count="1">
    <mergeCell ref="V1:W1"/>
  </mergeCells>
  <conditionalFormatting sqref="B22">
    <cfRule type="cellIs" dxfId="64" priority="11" operator="lessThan">
      <formula>0</formula>
    </cfRule>
    <cfRule type="cellIs" dxfId="63" priority="12" operator="greaterThan">
      <formula>0</formula>
    </cfRule>
  </conditionalFormatting>
  <conditionalFormatting sqref="J22">
    <cfRule type="cellIs" dxfId="62" priority="9" operator="lessThan">
      <formula>0</formula>
    </cfRule>
    <cfRule type="cellIs" dxfId="61" priority="10" operator="greaterThan">
      <formula>0</formula>
    </cfRule>
  </conditionalFormatting>
  <conditionalFormatting sqref="R22">
    <cfRule type="cellIs" dxfId="60" priority="7" operator="lessThan">
      <formula>0</formula>
    </cfRule>
    <cfRule type="cellIs" dxfId="59" priority="8" operator="greaterThan">
      <formula>0</formula>
    </cfRule>
  </conditionalFormatting>
  <conditionalFormatting sqref="Z22">
    <cfRule type="cellIs" dxfId="58" priority="5" operator="lessThan">
      <formula>0</formula>
    </cfRule>
    <cfRule type="cellIs" dxfId="57" priority="6" operator="greaterThan">
      <formula>0</formula>
    </cfRule>
  </conditionalFormatting>
  <conditionalFormatting sqref="AH22">
    <cfRule type="cellIs" dxfId="56" priority="1" operator="lessThan">
      <formula>0</formula>
    </cfRule>
    <cfRule type="cellIs" dxfId="55"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58F7A-8D69-4180-ACA4-94EF7C29681F}">
  <dimension ref="A1:O27"/>
  <sheetViews>
    <sheetView workbookViewId="0">
      <selection activeCell="K26" sqref="K26"/>
    </sheetView>
  </sheetViews>
  <sheetFormatPr defaultRowHeight="14.4" x14ac:dyDescent="0.3"/>
  <cols>
    <col min="1" max="1" width="53.77734375" style="1" bestFit="1" customWidth="1"/>
    <col min="2" max="2" width="10.21875" style="3" bestFit="1" customWidth="1"/>
    <col min="3" max="3" width="10.77734375" style="3" bestFit="1" customWidth="1"/>
    <col min="4" max="4" width="9.88671875" style="3" bestFit="1" customWidth="1"/>
    <col min="5" max="5" width="10.5546875" style="3" bestFit="1" customWidth="1"/>
    <col min="6" max="7" width="8.88671875" style="1"/>
    <col min="8" max="8" width="11" style="108" customWidth="1"/>
    <col min="9" max="9" width="12.77734375" style="107" customWidth="1"/>
    <col min="10" max="10" width="7.77734375" style="3" customWidth="1"/>
    <col min="11" max="11" width="8.88671875" style="3" bestFit="1" customWidth="1"/>
    <col min="12" max="12" width="10.5546875" style="3" bestFit="1" customWidth="1"/>
    <col min="13" max="13" width="8.88671875" style="3" bestFit="1" customWidth="1"/>
    <col min="14" max="14" width="7.44140625" style="3" bestFit="1" customWidth="1"/>
    <col min="15" max="15" width="8.88671875" style="3"/>
    <col min="16" max="16384" width="8.88671875" style="1"/>
  </cols>
  <sheetData>
    <row r="1" spans="1:14" x14ac:dyDescent="0.3">
      <c r="A1" s="18" t="s">
        <v>87</v>
      </c>
    </row>
    <row r="2" spans="1:14" x14ac:dyDescent="0.3">
      <c r="A2" s="52" t="s">
        <v>0</v>
      </c>
      <c r="B2" s="53" t="s">
        <v>88</v>
      </c>
      <c r="C2" s="53" t="s">
        <v>8</v>
      </c>
      <c r="D2" s="53" t="s">
        <v>89</v>
      </c>
      <c r="E2" s="54" t="s">
        <v>90</v>
      </c>
      <c r="H2" s="108" t="s">
        <v>0</v>
      </c>
      <c r="I2" s="112" t="s">
        <v>88</v>
      </c>
      <c r="J2" s="113" t="s">
        <v>8</v>
      </c>
      <c r="K2" s="113" t="s">
        <v>89</v>
      </c>
      <c r="L2" s="113" t="s">
        <v>93</v>
      </c>
      <c r="M2" s="113" t="s">
        <v>94</v>
      </c>
      <c r="N2" s="106"/>
    </row>
    <row r="3" spans="1:14" x14ac:dyDescent="0.3">
      <c r="A3" s="7" t="e" vm="2">
        <v>#VALUE!</v>
      </c>
      <c r="B3" s="14">
        <v>12.5</v>
      </c>
      <c r="C3" s="14" cm="1">
        <f t="array" aca="1" ref="C3" ca="1">_FV(A3,"P/E",TRUE)</f>
        <v>26.216999999999999</v>
      </c>
      <c r="D3" s="14">
        <v>1.64</v>
      </c>
      <c r="E3" s="14">
        <v>15.79</v>
      </c>
      <c r="H3" s="109" t="str">
        <f>A23</f>
        <v>RTX</v>
      </c>
      <c r="I3" s="102">
        <f ca="1">(B23*$B$20)/$M$3</f>
        <v>200.57561240837364</v>
      </c>
      <c r="J3" s="102">
        <f t="shared" ref="J3:L3" ca="1" si="0">(C23*$B$20)/$M$3</f>
        <v>65.931461501284318</v>
      </c>
      <c r="K3" s="102">
        <f t="shared" ca="1" si="0"/>
        <v>1467.6521474195461</v>
      </c>
      <c r="L3" s="102">
        <f t="shared" ca="1" si="0"/>
        <v>1125.6338270041438</v>
      </c>
      <c r="M3" s="110">
        <f ca="1">'Assumptions &amp; WACC'!B22</f>
        <v>1340.7719999999999</v>
      </c>
      <c r="N3" s="103"/>
    </row>
    <row r="4" spans="1:14" x14ac:dyDescent="0.3">
      <c r="A4" s="7" t="e" vm="6">
        <v>#VALUE!</v>
      </c>
      <c r="B4" s="14">
        <v>20.190000000000001</v>
      </c>
      <c r="C4" s="14" cm="1">
        <f t="array" aca="1" ref="C4" ca="1">_FV(A4,"P/E",TRUE)</f>
        <v>37.97</v>
      </c>
      <c r="D4" s="14">
        <v>9.66</v>
      </c>
      <c r="E4" s="14">
        <v>8.9600000000000009</v>
      </c>
      <c r="H4" s="109" t="str">
        <f>A24</f>
        <v>LMC</v>
      </c>
      <c r="I4" s="102">
        <f ca="1">(B24*$B$20)/$M$4</f>
        <v>902.86541185784813</v>
      </c>
      <c r="J4" s="102">
        <f t="shared" ref="J4:L4" ca="1" si="1">(C24*$B$20)/$M$4</f>
        <v>536.43181784787919</v>
      </c>
      <c r="K4" s="102">
        <f t="shared" ca="1" si="1"/>
        <v>7482.765685326307</v>
      </c>
      <c r="L4" s="102">
        <f t="shared" ca="1" si="1"/>
        <v>667.03764037514611</v>
      </c>
      <c r="M4" s="110">
        <f ca="1">'Assumptions &amp; WACC'!C22</f>
        <v>231.39779999999999</v>
      </c>
      <c r="N4" s="103"/>
    </row>
    <row r="5" spans="1:14" x14ac:dyDescent="0.3">
      <c r="A5" s="7" t="e" vm="7">
        <v>#VALUE!</v>
      </c>
      <c r="B5" s="14">
        <v>31.84</v>
      </c>
      <c r="C5" s="14" cm="1">
        <f t="array" aca="1" ref="C5" ca="1">_FV(A5,"P/E",TRUE)</f>
        <v>54.03</v>
      </c>
      <c r="D5" s="14">
        <v>10.11</v>
      </c>
      <c r="E5" s="14">
        <v>12.13</v>
      </c>
      <c r="H5" s="109" t="str">
        <f t="shared" ref="H5:H7" si="2">A25</f>
        <v>GD</v>
      </c>
      <c r="I5" s="102">
        <f ca="1">(B25*$B$20)/$M$5</f>
        <v>512.6769164132304</v>
      </c>
      <c r="J5" s="102">
        <f t="shared" ref="J5:L5" ca="1" si="3">(C25*$B$20)/$M$5</f>
        <v>335.1077204432836</v>
      </c>
      <c r="K5" s="102">
        <f t="shared" ca="1" si="3"/>
        <v>4305.3311762713302</v>
      </c>
      <c r="L5" s="102">
        <f t="shared" ca="1" si="3"/>
        <v>1990.7058794130764</v>
      </c>
      <c r="M5" s="110">
        <f ca="1">'Assumptions &amp; WACC'!D22</f>
        <v>270.12049999999999</v>
      </c>
      <c r="N5" s="103"/>
    </row>
    <row r="6" spans="1:14" x14ac:dyDescent="0.3">
      <c r="A6" s="7" t="e" vm="1">
        <v>#VALUE!</v>
      </c>
      <c r="B6" s="14">
        <v>15.66</v>
      </c>
      <c r="C6" s="14" cm="1">
        <f t="array" aca="1" ref="C6" ca="1">_FV(A6,"P/E",TRUE)</f>
        <v>35.7699</v>
      </c>
      <c r="D6" s="14">
        <v>1.97</v>
      </c>
      <c r="E6" s="14">
        <v>2.52</v>
      </c>
      <c r="H6" s="109" t="str">
        <f t="shared" si="2"/>
        <v>L3H</v>
      </c>
      <c r="I6" s="102">
        <f ca="1">(B26*$B$20)/$M$6</f>
        <v>463.98891703897664</v>
      </c>
      <c r="J6" s="102">
        <f t="shared" ref="J6:L6" ca="1" si="4">(C26*$B$20)/$M$6</f>
        <v>197.00961599633041</v>
      </c>
      <c r="K6" s="102">
        <f t="shared" ca="1" si="4"/>
        <v>2778.591310265705</v>
      </c>
      <c r="L6" s="102">
        <f t="shared" ca="1" si="4"/>
        <v>2551.0921108413713</v>
      </c>
      <c r="M6" s="110">
        <f ca="1">'Assumptions &amp; WACC'!E22</f>
        <v>187.05289999999999</v>
      </c>
      <c r="N6" s="103"/>
    </row>
    <row r="7" spans="1:14" x14ac:dyDescent="0.3">
      <c r="A7" s="7" t="e" vm="8">
        <v>#VALUE!</v>
      </c>
      <c r="B7" s="14">
        <v>111.56</v>
      </c>
      <c r="C7" s="14">
        <v>69.930000000000007</v>
      </c>
      <c r="D7" s="14">
        <v>1.48</v>
      </c>
      <c r="E7" s="14">
        <f ca="1">176.55/(Financials!M22/'Assumptions &amp; WACC'!C22)</f>
        <v>6.4508576646139275</v>
      </c>
      <c r="H7" s="109" t="str">
        <f t="shared" si="2"/>
        <v>NG</v>
      </c>
      <c r="I7" s="102">
        <f ca="1">(B27*$B$20)/$M$7</f>
        <v>1196.5946457436617</v>
      </c>
      <c r="J7" s="102">
        <f t="shared" ref="J7:L7" ca="1" si="5">(C27*$B$20)/$M$7</f>
        <v>712.79949355416636</v>
      </c>
      <c r="K7" s="102">
        <f t="shared" ca="1" si="5"/>
        <v>7007.2596116454497</v>
      </c>
      <c r="L7" s="102">
        <f t="shared" ca="1" si="5"/>
        <v>2611.0934969916634</v>
      </c>
      <c r="M7" s="102">
        <f ca="1">'Assumptions &amp; WACC'!F22</f>
        <v>142.7201</v>
      </c>
      <c r="N7" s="102"/>
    </row>
    <row r="8" spans="1:14" x14ac:dyDescent="0.3">
      <c r="A8" s="7" t="e" vm="3">
        <v>#VALUE!</v>
      </c>
      <c r="B8" s="14">
        <v>14.17</v>
      </c>
      <c r="C8" s="14">
        <v>16.5</v>
      </c>
      <c r="D8" s="14">
        <v>1.58</v>
      </c>
      <c r="E8" s="14">
        <v>3.1</v>
      </c>
      <c r="H8" s="109"/>
      <c r="I8" s="104"/>
      <c r="J8" s="102"/>
      <c r="K8" s="105"/>
      <c r="L8" s="105"/>
    </row>
    <row r="9" spans="1:14" x14ac:dyDescent="0.3">
      <c r="A9" s="7" t="e" vm="9">
        <v>#VALUE!</v>
      </c>
      <c r="B9" s="14">
        <v>17.73</v>
      </c>
      <c r="C9" s="14">
        <v>20.45</v>
      </c>
      <c r="D9" s="14">
        <v>3.92</v>
      </c>
      <c r="E9" s="14">
        <v>8.17</v>
      </c>
      <c r="H9" s="114" t="s">
        <v>0</v>
      </c>
      <c r="I9" s="115" t="s">
        <v>124</v>
      </c>
      <c r="J9" s="116" t="s">
        <v>95</v>
      </c>
      <c r="K9" s="117" t="s">
        <v>125</v>
      </c>
      <c r="L9" s="103"/>
    </row>
    <row r="10" spans="1:14" x14ac:dyDescent="0.3">
      <c r="A10" s="7" t="e" vm="10">
        <v>#VALUE!</v>
      </c>
      <c r="B10" s="14">
        <v>16</v>
      </c>
      <c r="C10" s="14">
        <v>29.15</v>
      </c>
      <c r="D10" s="14">
        <v>4.26</v>
      </c>
      <c r="E10" s="14">
        <v>9.58</v>
      </c>
      <c r="H10" s="118" t="str">
        <f>H3</f>
        <v>RTX</v>
      </c>
      <c r="I10" s="119">
        <f ca="1">AVERAGE(I3:L3)</f>
        <v>714.94826208333689</v>
      </c>
      <c r="J10" s="80">
        <f ca="1">'Company Profile'!B3</f>
        <v>173</v>
      </c>
      <c r="K10" s="120">
        <f ca="1">(I10-J10)/J10</f>
        <v>3.1326489137765137</v>
      </c>
    </row>
    <row r="11" spans="1:14" x14ac:dyDescent="0.3">
      <c r="A11" s="7" t="e" vm="5">
        <v>#VALUE!</v>
      </c>
      <c r="B11" s="14">
        <v>17.45</v>
      </c>
      <c r="C11" s="14">
        <v>16.84</v>
      </c>
      <c r="D11" s="14">
        <v>1.7</v>
      </c>
      <c r="E11" s="14">
        <v>4.6100000000000003</v>
      </c>
      <c r="H11" s="118" t="str">
        <f t="shared" ref="H11:H14" si="6">H4</f>
        <v>LMC</v>
      </c>
      <c r="I11" s="119">
        <f t="shared" ref="I11:I14" ca="1" si="7">AVERAGE(I4:L4)</f>
        <v>2397.2751388517954</v>
      </c>
      <c r="J11" s="121">
        <f ca="1">'Company Profile'!C3</f>
        <v>470.64</v>
      </c>
      <c r="K11" s="120">
        <f t="shared" ref="K11:K14" ca="1" si="8">(I11-J11)/J11</f>
        <v>4.0936493686295163</v>
      </c>
    </row>
    <row r="12" spans="1:14" x14ac:dyDescent="0.3">
      <c r="A12" s="7" t="e" vm="11">
        <v>#VALUE!</v>
      </c>
      <c r="B12" s="14">
        <v>16.46</v>
      </c>
      <c r="C12" s="14">
        <v>23.75</v>
      </c>
      <c r="D12" s="14">
        <v>2.2799999999999998</v>
      </c>
      <c r="E12" s="14">
        <v>5.54</v>
      </c>
      <c r="H12" s="118" t="str">
        <f t="shared" si="6"/>
        <v>GD</v>
      </c>
      <c r="I12" s="119">
        <f t="shared" ca="1" si="7"/>
        <v>1785.9554231352301</v>
      </c>
      <c r="J12" s="121">
        <f ca="1">'Company Profile'!D3</f>
        <v>341.98500000000001</v>
      </c>
      <c r="K12" s="120">
        <f t="shared" ca="1" si="8"/>
        <v>4.2223209296759512</v>
      </c>
    </row>
    <row r="13" spans="1:14" x14ac:dyDescent="0.3">
      <c r="A13" s="7" t="e" vm="12">
        <v>#VALUE!</v>
      </c>
      <c r="B13" s="14">
        <v>18.010000000000002</v>
      </c>
      <c r="C13" s="14">
        <v>19.760000000000002</v>
      </c>
      <c r="D13" s="14">
        <v>3.22</v>
      </c>
      <c r="E13" s="14">
        <v>7.96</v>
      </c>
      <c r="H13" s="118" t="str">
        <f t="shared" si="6"/>
        <v>L3H</v>
      </c>
      <c r="I13" s="119">
        <f t="shared" ca="1" si="7"/>
        <v>1497.6704885355957</v>
      </c>
      <c r="J13" s="121">
        <f ca="1">'Company Profile'!E3</f>
        <v>285.21010000000001</v>
      </c>
      <c r="K13" s="120">
        <f t="shared" ca="1" si="8"/>
        <v>4.2511130865828228</v>
      </c>
    </row>
    <row r="14" spans="1:14" x14ac:dyDescent="0.3">
      <c r="A14" s="7" t="e" vm="13">
        <v>#VALUE!</v>
      </c>
      <c r="B14" s="14">
        <v>21.37</v>
      </c>
      <c r="C14" s="14">
        <v>22.68</v>
      </c>
      <c r="D14" s="14">
        <v>2.65</v>
      </c>
      <c r="E14" s="14">
        <v>7.91</v>
      </c>
      <c r="H14" s="118" t="str">
        <f t="shared" si="6"/>
        <v>NG</v>
      </c>
      <c r="I14" s="119">
        <f t="shared" ca="1" si="7"/>
        <v>2881.9368119837354</v>
      </c>
      <c r="J14" s="121">
        <f ca="1">'Company Profile'!F3</f>
        <v>566.12</v>
      </c>
      <c r="K14" s="120">
        <f t="shared" ca="1" si="8"/>
        <v>4.0906818554082802</v>
      </c>
    </row>
    <row r="15" spans="1:14" x14ac:dyDescent="0.3">
      <c r="A15" s="7" t="e" vm="4">
        <v>#VALUE!</v>
      </c>
      <c r="B15" s="14">
        <v>16.41</v>
      </c>
      <c r="C15" s="14">
        <v>14.66</v>
      </c>
      <c r="D15" s="14">
        <v>1.9</v>
      </c>
      <c r="E15" s="14">
        <v>2.1</v>
      </c>
    </row>
    <row r="16" spans="1:14" x14ac:dyDescent="0.3">
      <c r="A16" s="7" t="e" vm="14">
        <v>#VALUE!</v>
      </c>
      <c r="B16" s="14">
        <v>21.97</v>
      </c>
      <c r="C16" s="14">
        <v>22.62</v>
      </c>
      <c r="D16" s="14">
        <v>2.15</v>
      </c>
      <c r="E16" s="14">
        <v>3.55</v>
      </c>
    </row>
    <row r="17" spans="1:5" x14ac:dyDescent="0.3">
      <c r="A17" s="7" t="e" vm="15">
        <v>#VALUE!</v>
      </c>
      <c r="B17" s="14">
        <v>28.09</v>
      </c>
      <c r="C17" s="14">
        <v>40.159999999999997</v>
      </c>
      <c r="D17" s="14">
        <v>4.58</v>
      </c>
      <c r="E17" s="14">
        <v>12.47</v>
      </c>
    </row>
    <row r="18" spans="1:5" x14ac:dyDescent="0.3">
      <c r="A18" s="7" t="e" vm="16">
        <v>#VALUE!</v>
      </c>
      <c r="B18" s="14">
        <v>10.55</v>
      </c>
      <c r="C18" s="14">
        <v>17.18</v>
      </c>
      <c r="D18" s="14">
        <v>3.44</v>
      </c>
      <c r="E18" s="14">
        <v>3.63</v>
      </c>
    </row>
    <row r="19" spans="1:5" x14ac:dyDescent="0.3">
      <c r="A19" s="55"/>
      <c r="B19" s="56"/>
      <c r="C19" s="56"/>
      <c r="D19" s="56"/>
      <c r="E19" s="57"/>
    </row>
    <row r="20" spans="1:5" x14ac:dyDescent="0.3">
      <c r="A20" s="39" t="s">
        <v>91</v>
      </c>
      <c r="B20" s="58">
        <f>AVERAGE(B3:B18)</f>
        <v>24.372499999999995</v>
      </c>
      <c r="C20" s="58">
        <f t="shared" ref="C20:E20" ca="1" si="9">AVERAGE(C3:C18)</f>
        <v>29.22918125</v>
      </c>
      <c r="D20" s="58">
        <f t="shared" si="9"/>
        <v>3.5337499999999995</v>
      </c>
      <c r="E20" s="58">
        <f t="shared" ca="1" si="9"/>
        <v>7.1544286040383698</v>
      </c>
    </row>
    <row r="22" spans="1:5" x14ac:dyDescent="0.3">
      <c r="A22" s="59" t="s">
        <v>0</v>
      </c>
      <c r="B22" s="60" t="s">
        <v>92</v>
      </c>
      <c r="C22" s="60" t="s">
        <v>19</v>
      </c>
      <c r="D22" s="60" t="s">
        <v>69</v>
      </c>
      <c r="E22" s="60" t="s">
        <v>93</v>
      </c>
    </row>
    <row r="23" spans="1:5" x14ac:dyDescent="0.3">
      <c r="A23" s="7" t="s">
        <v>41</v>
      </c>
      <c r="B23" s="61">
        <f>Financials!F7+Financials!F28</f>
        <v>11034</v>
      </c>
      <c r="C23" s="61">
        <f>Financials!F10</f>
        <v>3627</v>
      </c>
      <c r="D23" s="61">
        <f>Financials!F3</f>
        <v>80738</v>
      </c>
      <c r="E23" s="61">
        <f>Financials!F22</f>
        <v>61923</v>
      </c>
    </row>
    <row r="24" spans="1:5" x14ac:dyDescent="0.3">
      <c r="A24" s="7" t="s">
        <v>42</v>
      </c>
      <c r="B24" s="61">
        <f>Financials!M7+Financials!M29</f>
        <v>8572</v>
      </c>
      <c r="C24" s="61">
        <f>Financials!M10</f>
        <v>5093</v>
      </c>
      <c r="D24" s="61">
        <f>Financials!M3</f>
        <v>71043</v>
      </c>
      <c r="E24" s="61">
        <f>Financials!M22</f>
        <v>6333</v>
      </c>
    </row>
    <row r="25" spans="1:5" x14ac:dyDescent="0.3">
      <c r="A25" s="101" t="s">
        <v>122</v>
      </c>
      <c r="B25" s="111">
        <f>Financials!T7+Financials!T29</f>
        <v>5682</v>
      </c>
      <c r="C25" s="111">
        <f>Financials!T10</f>
        <v>3714</v>
      </c>
      <c r="D25" s="111">
        <f>Financials!T3</f>
        <v>47716</v>
      </c>
      <c r="E25" s="111">
        <f>Financials!T22</f>
        <v>22063</v>
      </c>
    </row>
    <row r="26" spans="1:5" x14ac:dyDescent="0.3">
      <c r="A26" s="101" t="s">
        <v>119</v>
      </c>
      <c r="B26" s="111">
        <f>Financials!AB7+Financials!AB29</f>
        <v>3561</v>
      </c>
      <c r="C26" s="111">
        <f>Financials!AB10</f>
        <v>1512</v>
      </c>
      <c r="D26" s="111">
        <f>Financials!AB3</f>
        <v>21325</v>
      </c>
      <c r="E26" s="111">
        <f>Financials!AB22</f>
        <v>19579</v>
      </c>
    </row>
    <row r="27" spans="1:5" x14ac:dyDescent="0.3">
      <c r="A27" s="101" t="s">
        <v>121</v>
      </c>
      <c r="B27" s="111">
        <f>Financials!AJ7+Financials!AJ29</f>
        <v>7007</v>
      </c>
      <c r="C27" s="111">
        <f>Financials!AJ10</f>
        <v>4174</v>
      </c>
      <c r="D27" s="111">
        <f>Financials!AJ3</f>
        <v>41033</v>
      </c>
      <c r="E27" s="111">
        <f>Financials!AJ22</f>
        <v>15290</v>
      </c>
    </row>
  </sheetData>
  <conditionalFormatting sqref="K10:K14">
    <cfRule type="cellIs" dxfId="54" priority="1" operator="greaterThan">
      <formula>0</formula>
    </cfRule>
    <cfRule type="cellIs" dxfId="53" priority="2" operator="lessThan">
      <formula>0</formula>
    </cfRule>
  </conditionalFormatting>
  <conditionalFormatting sqref="K8:L8">
    <cfRule type="cellIs" dxfId="52" priority="3" operator="lessThan">
      <formula>0</formula>
    </cfRule>
    <cfRule type="cellIs" dxfId="51" priority="4" operator="greaterThan">
      <formula>0</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6B48D-76B8-448C-AAB8-D15E15A6C6B1}">
  <dimension ref="A1:AM73"/>
  <sheetViews>
    <sheetView topLeftCell="E1" workbookViewId="0">
      <selection activeCell="G68" sqref="G68"/>
    </sheetView>
  </sheetViews>
  <sheetFormatPr defaultRowHeight="14.4" x14ac:dyDescent="0.3"/>
  <cols>
    <col min="1" max="1" width="7.6640625" style="1" bestFit="1" customWidth="1"/>
    <col min="2" max="2" width="16.88671875" style="3" bestFit="1" customWidth="1"/>
    <col min="3" max="3" width="9.109375" style="3" bestFit="1" customWidth="1"/>
    <col min="4" max="4" width="10.88671875" style="3" bestFit="1" customWidth="1"/>
    <col min="5" max="5" width="8.88671875" style="1"/>
    <col min="6" max="6" width="8.6640625" style="1" bestFit="1" customWidth="1"/>
    <col min="7" max="7" width="13.109375" style="1" bestFit="1" customWidth="1"/>
    <col min="8" max="8" width="11.44140625" style="3" bestFit="1" customWidth="1"/>
    <col min="9" max="9" width="14.88671875" style="3" bestFit="1" customWidth="1"/>
    <col min="10" max="10" width="13.109375" style="1" bestFit="1" customWidth="1"/>
    <col min="11" max="11" width="8.88671875" style="1" bestFit="1" customWidth="1"/>
    <col min="12" max="12" width="11.44140625" style="1" bestFit="1" customWidth="1"/>
    <col min="13" max="13" width="14.21875" style="1" bestFit="1" customWidth="1"/>
    <col min="14" max="14" width="9.5546875" style="1" bestFit="1" customWidth="1"/>
    <col min="15" max="15" width="13.109375" style="1" bestFit="1" customWidth="1"/>
    <col min="16" max="16" width="9.88671875" style="1" bestFit="1" customWidth="1"/>
    <col min="17" max="17" width="15.5546875" style="1" bestFit="1" customWidth="1"/>
    <col min="18" max="20" width="9.88671875" style="1" bestFit="1" customWidth="1"/>
    <col min="21" max="23" width="10.88671875" style="1" bestFit="1" customWidth="1"/>
    <col min="24" max="24" width="8.88671875" style="1"/>
    <col min="25" max="25" width="15.5546875" style="1" bestFit="1" customWidth="1"/>
    <col min="26" max="26" width="9.88671875" style="1" bestFit="1" customWidth="1"/>
    <col min="27" max="27" width="14.88671875" style="1" bestFit="1" customWidth="1"/>
    <col min="28" max="28" width="12.6640625" style="1" bestFit="1" customWidth="1"/>
    <col min="29" max="29" width="12.88671875" style="1" bestFit="1" customWidth="1"/>
    <col min="30" max="30" width="10.33203125" style="1" bestFit="1" customWidth="1"/>
    <col min="31" max="31" width="16" style="1" bestFit="1" customWidth="1"/>
    <col min="32" max="32" width="8.88671875" style="1"/>
    <col min="33" max="33" width="15.5546875" style="1" bestFit="1" customWidth="1"/>
    <col min="34" max="36" width="9.88671875" style="1" bestFit="1" customWidth="1"/>
    <col min="37" max="39" width="10.88671875" style="1" bestFit="1" customWidth="1"/>
    <col min="40" max="16384" width="8.88671875" style="1"/>
  </cols>
  <sheetData>
    <row r="1" spans="1:39" ht="28.8" x14ac:dyDescent="0.3">
      <c r="A1" s="67" t="s">
        <v>9</v>
      </c>
      <c r="B1" s="68" t="s">
        <v>11</v>
      </c>
      <c r="C1" s="18" t="s">
        <v>0</v>
      </c>
      <c r="D1" s="63" t="s">
        <v>76</v>
      </c>
      <c r="F1" s="2" t="s">
        <v>0</v>
      </c>
      <c r="G1" s="62" t="s">
        <v>102</v>
      </c>
      <c r="H1" s="62" t="s">
        <v>103</v>
      </c>
      <c r="I1" s="62" t="s">
        <v>104</v>
      </c>
      <c r="J1" s="62" t="s">
        <v>105</v>
      </c>
      <c r="K1" s="62" t="s">
        <v>32</v>
      </c>
      <c r="L1" s="62" t="s">
        <v>72</v>
      </c>
      <c r="M1" s="62" t="s">
        <v>106</v>
      </c>
      <c r="N1" s="62" t="s">
        <v>107</v>
      </c>
      <c r="O1" s="62" t="s">
        <v>108</v>
      </c>
      <c r="Q1" s="73" t="s">
        <v>11</v>
      </c>
      <c r="R1" s="74">
        <v>2020</v>
      </c>
      <c r="S1" s="74">
        <v>2021</v>
      </c>
      <c r="T1" s="74">
        <v>2022</v>
      </c>
      <c r="U1" s="74">
        <v>2023</v>
      </c>
      <c r="V1" s="75">
        <v>2024</v>
      </c>
      <c r="W1" s="3"/>
    </row>
    <row r="2" spans="1:39" x14ac:dyDescent="0.3">
      <c r="A2" s="1" t="s">
        <v>96</v>
      </c>
      <c r="B2" s="3" t="s">
        <v>97</v>
      </c>
      <c r="C2" s="3" t="str">
        <f>Relative!A23</f>
        <v>RTX</v>
      </c>
      <c r="D2" s="64">
        <f>AVERAGE(Financials!B27:F27)</f>
        <v>2251.4</v>
      </c>
      <c r="F2" s="1" t="str">
        <f>C2</f>
        <v>RTX</v>
      </c>
      <c r="G2" s="23">
        <f>Financials!F7-Financials!B7</f>
        <v>6261</v>
      </c>
      <c r="H2" s="4">
        <f>(162860-51499)-(162150-35848)</f>
        <v>-14941</v>
      </c>
      <c r="I2" s="35">
        <f>G2/H2</f>
        <v>-0.41904825647547017</v>
      </c>
      <c r="J2" s="23">
        <f>DCF!G4-DCF!B4</f>
        <v>2233.0412206615292</v>
      </c>
      <c r="K2" s="23">
        <f>D2</f>
        <v>2251.4</v>
      </c>
      <c r="L2" s="23">
        <f>AVERAGE(DCF!B6:G6)</f>
        <v>6608.7435772149911</v>
      </c>
      <c r="M2" s="21">
        <f>IF(K2-L2&lt;=0,K2,MAX(K2-L2,0.1*K2))</f>
        <v>2251.4</v>
      </c>
      <c r="N2" s="22">
        <f>J2/M2</f>
        <v>0.99184561635494761</v>
      </c>
      <c r="O2" s="69">
        <f>MIN(MAX(N2,0.05),0.15)</f>
        <v>0.15</v>
      </c>
      <c r="Q2" s="71" t="s">
        <v>69</v>
      </c>
      <c r="R2" s="72" cm="1">
        <f t="array" ref="R2:V2">Financials!B3:F3</f>
        <v>56587</v>
      </c>
      <c r="S2" s="72">
        <v>64388</v>
      </c>
      <c r="T2" s="72">
        <v>67074</v>
      </c>
      <c r="U2" s="72">
        <v>68920</v>
      </c>
      <c r="V2" s="72">
        <v>80738</v>
      </c>
      <c r="W2" s="3"/>
    </row>
    <row r="3" spans="1:39" x14ac:dyDescent="0.3">
      <c r="A3" s="1" t="s">
        <v>96</v>
      </c>
      <c r="B3" s="3" t="s">
        <v>97</v>
      </c>
      <c r="C3" s="3" t="str">
        <f>Relative!A24</f>
        <v>LMC</v>
      </c>
      <c r="D3" s="64">
        <f>AVERAGE(Financials!I28:M28)</f>
        <v>1666.8</v>
      </c>
      <c r="F3" s="1" t="str">
        <f>C3</f>
        <v>LMC</v>
      </c>
      <c r="G3" s="23">
        <f>Financials!M7-Financials!I7</f>
        <v>-1631</v>
      </c>
      <c r="H3" s="4">
        <f>(55617-19420)-(50710-13933)</f>
        <v>-580</v>
      </c>
      <c r="I3" s="35">
        <f>G3/H3</f>
        <v>2.8120689655172413</v>
      </c>
      <c r="J3" s="23">
        <f>DCF!O4-DCF!J4</f>
        <v>770.17472083299981</v>
      </c>
      <c r="K3" s="23">
        <f t="shared" ref="K3:K6" si="0">D3</f>
        <v>1666.8</v>
      </c>
      <c r="L3" s="23">
        <f>AVERAGE(DCF!J6:O6)</f>
        <v>1574.6626966098393</v>
      </c>
      <c r="M3" s="21">
        <f>IF(K3-L3&lt;=0,K3,MAX(K3-L3,0.1*K3))</f>
        <v>166.68</v>
      </c>
      <c r="N3" s="22">
        <f>J3/M3</f>
        <v>4.6206786707043426</v>
      </c>
      <c r="O3" s="69">
        <f>MIN(MAX(N3,0.05),0.15)</f>
        <v>0.15</v>
      </c>
      <c r="Q3" s="7" t="s">
        <v>16</v>
      </c>
      <c r="R3" s="14" cm="1">
        <f t="array" ref="R3:V3">Financials!B7:F7</f>
        <v>409</v>
      </c>
      <c r="S3" s="14">
        <v>4535</v>
      </c>
      <c r="T3" s="14">
        <v>5294</v>
      </c>
      <c r="U3" s="14">
        <v>3475</v>
      </c>
      <c r="V3" s="14">
        <v>6670</v>
      </c>
      <c r="W3" s="3"/>
    </row>
    <row r="4" spans="1:39" x14ac:dyDescent="0.3">
      <c r="A4" s="1" t="s">
        <v>96</v>
      </c>
      <c r="B4" s="3" t="s">
        <v>97</v>
      </c>
      <c r="C4" s="3" t="str">
        <f>Relative!A25</f>
        <v>GD</v>
      </c>
      <c r="D4" s="64">
        <f>AVERAGE(Financials!P28:T28)</f>
        <v>957.6</v>
      </c>
      <c r="F4" s="1" t="str">
        <f t="shared" ref="F4:F6" si="1">C4</f>
        <v>GD</v>
      </c>
      <c r="G4" s="23">
        <f>Financials!T7-Financials!P7</f>
        <v>663</v>
      </c>
      <c r="H4" s="64">
        <f>((Financials!T23-Financials!T16)-(Financials!P23-Financials!P16))</f>
        <v>2712</v>
      </c>
      <c r="I4" s="70">
        <f>G4/H4</f>
        <v>0.24446902654867256</v>
      </c>
      <c r="J4" s="23">
        <f>Table934[[#This Row],[2030]]-Table934[[#This Row],[2025]]</f>
        <v>1350.5105749179684</v>
      </c>
      <c r="K4" s="23">
        <f t="shared" si="0"/>
        <v>957.6</v>
      </c>
      <c r="L4" s="23">
        <f>AVERAGE(DCF!R6:W6)</f>
        <v>1202.1134029072844</v>
      </c>
      <c r="M4" s="21">
        <f t="shared" ref="M4:M6" si="2">IF(K4-L4&lt;=0,K4,MAX(K4-L4,0.1*K4))</f>
        <v>957.6</v>
      </c>
      <c r="N4" s="22">
        <f t="shared" ref="N4:N6" si="3">J4/M4</f>
        <v>1.4103076179176779</v>
      </c>
      <c r="O4" s="69">
        <f t="shared" ref="O4:O6" si="4">MIN(MAX(N4,0.05),0.15)</f>
        <v>0.15</v>
      </c>
      <c r="Q4" s="7" t="s">
        <v>19</v>
      </c>
      <c r="R4" s="80" cm="1">
        <f t="array" ref="R4:V4">Financials!B10:F10</f>
        <v>-1532</v>
      </c>
      <c r="S4" s="80">
        <v>2427</v>
      </c>
      <c r="T4" s="80">
        <v>3228</v>
      </c>
      <c r="U4" s="80">
        <v>1514</v>
      </c>
      <c r="V4" s="80">
        <v>3627</v>
      </c>
      <c r="W4" s="63"/>
      <c r="X4" s="18"/>
      <c r="Y4" s="18"/>
      <c r="Z4" s="63"/>
      <c r="AA4" s="63"/>
      <c r="AB4" s="63"/>
      <c r="AC4" s="63"/>
      <c r="AD4" s="63"/>
      <c r="AE4" s="63"/>
    </row>
    <row r="5" spans="1:39" x14ac:dyDescent="0.3">
      <c r="A5" s="1" t="s">
        <v>96</v>
      </c>
      <c r="B5" s="3" t="s">
        <v>97</v>
      </c>
      <c r="C5" s="3" t="str">
        <f>Relative!A26</f>
        <v>L3H</v>
      </c>
      <c r="D5" s="64">
        <f>AVERAGE(Financials!X28:AB28)</f>
        <v>363.8</v>
      </c>
      <c r="F5" s="1" t="str">
        <f t="shared" si="1"/>
        <v>L3H</v>
      </c>
      <c r="G5" s="23">
        <f>Financials!AB7-Financials!X7</f>
        <v>680</v>
      </c>
      <c r="H5" s="64">
        <f>((Financials!AB23-Financials!AB16)-(Financials!X23-Financials!X16))</f>
        <v>1648</v>
      </c>
      <c r="I5" s="70">
        <f t="shared" ref="I5:I6" si="5">G5/H5</f>
        <v>0.41262135922330095</v>
      </c>
      <c r="J5" s="23">
        <f>DCF!AE4-DCF!Z4</f>
        <v>392.81855640341837</v>
      </c>
      <c r="K5" s="23">
        <f t="shared" si="0"/>
        <v>363.8</v>
      </c>
      <c r="L5" s="23">
        <f>AVERAGE(DCF!Z6:AE6)</f>
        <v>1371.7735535210625</v>
      </c>
      <c r="M5" s="21">
        <f t="shared" si="2"/>
        <v>363.8</v>
      </c>
      <c r="N5" s="22">
        <f t="shared" si="3"/>
        <v>1.0797651357982911</v>
      </c>
      <c r="O5" s="69">
        <f t="shared" si="4"/>
        <v>0.15</v>
      </c>
      <c r="Q5" s="7" t="s">
        <v>32</v>
      </c>
      <c r="R5" s="14" cm="1">
        <f t="array" ref="R5:V5">Financials!B27:F27</f>
        <v>1795</v>
      </c>
      <c r="S5" s="14">
        <v>2134</v>
      </c>
      <c r="T5" s="14">
        <v>2288</v>
      </c>
      <c r="U5" s="14">
        <v>2415</v>
      </c>
      <c r="V5" s="14">
        <v>2625</v>
      </c>
      <c r="W5" s="3"/>
      <c r="Y5" s="73" t="s">
        <v>11</v>
      </c>
      <c r="Z5" s="74">
        <v>2020</v>
      </c>
      <c r="AA5" s="74">
        <v>2021</v>
      </c>
      <c r="AB5" s="74">
        <v>2022</v>
      </c>
      <c r="AC5" s="74">
        <v>2023</v>
      </c>
      <c r="AD5" s="75">
        <v>2024</v>
      </c>
      <c r="AE5" s="3"/>
      <c r="AG5" s="73" t="s">
        <v>11</v>
      </c>
      <c r="AH5" s="74">
        <v>2025</v>
      </c>
      <c r="AI5" s="74">
        <v>2026</v>
      </c>
      <c r="AJ5" s="74">
        <v>2027</v>
      </c>
      <c r="AK5" s="74">
        <v>2028</v>
      </c>
      <c r="AL5" s="74">
        <v>2029</v>
      </c>
      <c r="AM5" s="75">
        <v>2030</v>
      </c>
    </row>
    <row r="6" spans="1:39" x14ac:dyDescent="0.3">
      <c r="A6" s="1" t="s">
        <v>96</v>
      </c>
      <c r="B6" s="3" t="s">
        <v>97</v>
      </c>
      <c r="C6" s="3" t="str">
        <f>Relative!A27</f>
        <v>NG</v>
      </c>
      <c r="D6" s="64">
        <f>AVERAGE(Financials!AF28:AJ28)</f>
        <v>1562.4</v>
      </c>
      <c r="F6" s="1" t="str">
        <f t="shared" si="1"/>
        <v>NG</v>
      </c>
      <c r="G6" s="23">
        <f>Financials!AJ7-Financials!AF7</f>
        <v>1736</v>
      </c>
      <c r="H6" s="64">
        <f>((Financials!AJ23-Financials!AJ16)-(Financials!AF23-Financials!AF16))</f>
        <v>342</v>
      </c>
      <c r="I6" s="70">
        <f t="shared" si="5"/>
        <v>5.0760233918128659</v>
      </c>
      <c r="J6" s="23">
        <f>DCF!AM4-DCF!AH4</f>
        <v>720.10729433850702</v>
      </c>
      <c r="K6" s="23">
        <f t="shared" si="0"/>
        <v>1562.4</v>
      </c>
      <c r="L6" s="21">
        <f>AVERAGE(Table93444[[#This Row],[2025]:[2030]])</f>
        <v>1533.9859556188824</v>
      </c>
      <c r="M6" s="21">
        <f t="shared" si="2"/>
        <v>156.24</v>
      </c>
      <c r="N6" s="22">
        <f t="shared" si="3"/>
        <v>4.6089816585925947</v>
      </c>
      <c r="O6" s="69">
        <f t="shared" si="4"/>
        <v>0.15</v>
      </c>
      <c r="Q6" s="18"/>
      <c r="R6" s="63"/>
      <c r="S6" s="63"/>
      <c r="T6" s="63"/>
      <c r="U6" s="63"/>
      <c r="V6" s="63"/>
      <c r="W6" s="63"/>
      <c r="X6" s="18"/>
      <c r="Y6" s="71" t="s">
        <v>69</v>
      </c>
      <c r="Z6" s="72" cm="1">
        <f t="array" ref="Z6:AD6">Financials!P3:T3</f>
        <v>37925</v>
      </c>
      <c r="AA6" s="72">
        <v>38469</v>
      </c>
      <c r="AB6" s="72">
        <v>39407</v>
      </c>
      <c r="AC6" s="72">
        <v>42272</v>
      </c>
      <c r="AD6" s="72">
        <v>47716</v>
      </c>
      <c r="AE6" s="63"/>
      <c r="AG6" s="71" t="s">
        <v>69</v>
      </c>
      <c r="AH6" s="72" cm="1">
        <f t="array" ref="AH6:AM6">DCF!R3:W3</f>
        <v>49958.767771747458</v>
      </c>
      <c r="AI6" s="72">
        <v>52306.951070320072</v>
      </c>
      <c r="AJ6" s="72">
        <v>54765.504681244813</v>
      </c>
      <c r="AK6" s="72">
        <v>57339.616276990062</v>
      </c>
      <c r="AL6" s="72">
        <v>60034.717363216892</v>
      </c>
      <c r="AM6" s="72">
        <v>62856.494739530717</v>
      </c>
    </row>
    <row r="7" spans="1:39" x14ac:dyDescent="0.3">
      <c r="B7" s="63" t="s">
        <v>97</v>
      </c>
      <c r="C7" s="63" t="s">
        <v>126</v>
      </c>
      <c r="D7" s="65">
        <f>AVERAGE(D2:D6)</f>
        <v>1360.4</v>
      </c>
      <c r="F7" s="18" t="s">
        <v>91</v>
      </c>
      <c r="G7" s="18"/>
      <c r="H7" s="63"/>
      <c r="I7" s="66">
        <f>AVERAGE(I2:I6)</f>
        <v>1.6252268973253223</v>
      </c>
      <c r="J7" s="66"/>
      <c r="K7" s="66"/>
      <c r="L7" s="66"/>
      <c r="M7" s="66"/>
      <c r="N7" s="66">
        <f t="shared" ref="N7:O7" si="6">AVERAGE(N2:N6)</f>
        <v>2.5423157398735712</v>
      </c>
      <c r="O7" s="66">
        <f t="shared" si="6"/>
        <v>0.15</v>
      </c>
      <c r="P7" s="18"/>
      <c r="Q7" s="73" t="s">
        <v>11</v>
      </c>
      <c r="R7" s="74">
        <v>2020</v>
      </c>
      <c r="S7" s="74">
        <v>2021</v>
      </c>
      <c r="T7" s="74">
        <v>2022</v>
      </c>
      <c r="U7" s="74">
        <v>2023</v>
      </c>
      <c r="V7" s="75">
        <v>2024</v>
      </c>
      <c r="W7" s="3"/>
      <c r="Y7" s="7" t="s">
        <v>16</v>
      </c>
      <c r="Z7" s="14" cm="1">
        <f t="array" ref="Z7:AD7">Table119[[#This Row],[2020]:[2024]]</f>
        <v>4133</v>
      </c>
      <c r="AA7" s="14">
        <v>4163</v>
      </c>
      <c r="AB7" s="14">
        <v>4211</v>
      </c>
      <c r="AC7" s="14">
        <v>4245</v>
      </c>
      <c r="AD7" s="14">
        <v>4796</v>
      </c>
      <c r="AE7" s="3"/>
      <c r="AG7" s="7" t="s">
        <v>16</v>
      </c>
      <c r="AH7" s="14" cm="1">
        <f t="array" ref="AH7:AM7">DCF!R4:W4</f>
        <v>5231.1422279403378</v>
      </c>
      <c r="AI7" s="14">
        <v>5477.0186048003388</v>
      </c>
      <c r="AJ7" s="14">
        <v>5734.4517679344535</v>
      </c>
      <c r="AK7" s="14">
        <v>6003.9849143374131</v>
      </c>
      <c r="AL7" s="14">
        <v>6286.1867725806414</v>
      </c>
      <c r="AM7" s="14">
        <v>6581.6528028583061</v>
      </c>
    </row>
    <row r="8" spans="1:39" x14ac:dyDescent="0.3">
      <c r="A8" s="1" t="s">
        <v>98</v>
      </c>
      <c r="B8" s="3" t="s">
        <v>97</v>
      </c>
      <c r="C8" s="3" t="str">
        <f t="shared" ref="C8:C14" si="7">C2</f>
        <v>RTX</v>
      </c>
      <c r="D8" s="126">
        <f>AVERAGE(DCF!B7:G7)</f>
        <v>3477.0343264492972</v>
      </c>
      <c r="Q8" s="71" t="s">
        <v>69</v>
      </c>
      <c r="R8" s="72" cm="1">
        <f t="array" ref="R8:V8">Financials!I3:M3</f>
        <v>65398</v>
      </c>
      <c r="S8" s="72">
        <v>67044</v>
      </c>
      <c r="T8" s="72">
        <v>65984</v>
      </c>
      <c r="U8" s="72">
        <v>67571</v>
      </c>
      <c r="V8" s="72">
        <v>71043</v>
      </c>
      <c r="W8" s="3"/>
      <c r="Y8" s="7" t="s">
        <v>19</v>
      </c>
      <c r="Z8" s="80" cm="1">
        <f t="array" ref="Z8:AD8">Financials!P10:T10</f>
        <v>3085</v>
      </c>
      <c r="AA8" s="80">
        <v>3123</v>
      </c>
      <c r="AB8" s="80">
        <v>3201</v>
      </c>
      <c r="AC8" s="80">
        <v>3233</v>
      </c>
      <c r="AD8" s="80">
        <v>3714</v>
      </c>
      <c r="AE8" s="3"/>
      <c r="AG8" s="7" t="s">
        <v>114</v>
      </c>
      <c r="AH8" s="14" cm="1">
        <f t="array" ref="AH8:AM8">DCF!R5:W5</f>
        <v>4027.97951551406</v>
      </c>
      <c r="AI8" s="14">
        <v>4217.304325696261</v>
      </c>
      <c r="AJ8" s="14">
        <v>4415.5278613095297</v>
      </c>
      <c r="AK8" s="14">
        <v>4623.0683840398078</v>
      </c>
      <c r="AL8" s="14">
        <v>4840.3638148870941</v>
      </c>
      <c r="AM8" s="14">
        <v>5067.8726582008958</v>
      </c>
    </row>
    <row r="9" spans="1:39" x14ac:dyDescent="0.3">
      <c r="A9" s="1" t="s">
        <v>98</v>
      </c>
      <c r="B9" s="3" t="s">
        <v>97</v>
      </c>
      <c r="C9" s="3" t="str">
        <f t="shared" si="7"/>
        <v>LMC</v>
      </c>
      <c r="D9" s="126">
        <f>AVERAGE(DCF!J7:O7)</f>
        <v>1862.2447727467572</v>
      </c>
      <c r="Q9" s="7" t="s">
        <v>16</v>
      </c>
      <c r="R9" s="80" cm="1">
        <f t="array" ref="R9:V9">Financials!I7:M7</f>
        <v>8644</v>
      </c>
      <c r="S9" s="80">
        <v>9123</v>
      </c>
      <c r="T9" s="80">
        <v>8348</v>
      </c>
      <c r="U9" s="80">
        <v>8507</v>
      </c>
      <c r="V9" s="80">
        <v>7013</v>
      </c>
      <c r="W9" s="63"/>
      <c r="X9" s="18"/>
      <c r="Y9" s="7" t="s">
        <v>32</v>
      </c>
      <c r="Z9" s="14" cm="1">
        <f t="array" ref="Z9:AD9">Financials!P28:T28</f>
        <v>967</v>
      </c>
      <c r="AA9" s="14">
        <v>887</v>
      </c>
      <c r="AB9" s="14">
        <v>1114</v>
      </c>
      <c r="AC9" s="14">
        <v>904</v>
      </c>
      <c r="AD9" s="14">
        <v>916</v>
      </c>
      <c r="AE9" s="63"/>
      <c r="AG9" s="7" t="s">
        <v>32</v>
      </c>
      <c r="AH9" s="14" cm="1">
        <f t="array" ref="AH9:AM9">DCF!R7:W7</f>
        <v>1162.3681542314059</v>
      </c>
      <c r="AI9" s="14">
        <v>1217.0022776955643</v>
      </c>
      <c r="AJ9" s="14">
        <v>1274.2043375194989</v>
      </c>
      <c r="AK9" s="14">
        <v>1334.095032942618</v>
      </c>
      <c r="AL9" s="14">
        <v>1396.8007363614306</v>
      </c>
      <c r="AM9" s="14">
        <v>1462.4537599816952</v>
      </c>
    </row>
    <row r="10" spans="1:39" x14ac:dyDescent="0.3">
      <c r="A10" s="1" t="s">
        <v>98</v>
      </c>
      <c r="B10" s="3" t="s">
        <v>97</v>
      </c>
      <c r="C10" s="3" t="str">
        <f t="shared" si="7"/>
        <v>GD</v>
      </c>
      <c r="D10" s="64">
        <f>AVERAGE(DCF!R7:W7)</f>
        <v>1307.8207164553687</v>
      </c>
      <c r="Q10" s="7" t="s">
        <v>19</v>
      </c>
      <c r="R10" s="14" cm="1">
        <f t="array" ref="R10:V10">Financials!I10:M10</f>
        <v>6706</v>
      </c>
      <c r="S10" s="14">
        <v>7319</v>
      </c>
      <c r="T10" s="14">
        <v>6777</v>
      </c>
      <c r="U10" s="14">
        <v>6413</v>
      </c>
      <c r="V10" s="14">
        <v>5093</v>
      </c>
      <c r="W10" s="3"/>
      <c r="Y10" s="18"/>
      <c r="Z10" s="63"/>
      <c r="AA10" s="63"/>
      <c r="AB10" s="63"/>
      <c r="AC10" s="63"/>
      <c r="AD10" s="63"/>
      <c r="AE10" s="3"/>
      <c r="AG10" s="7" t="s">
        <v>74</v>
      </c>
      <c r="AH10" s="14" cm="1">
        <f t="array" ref="AH10:AM10">DCF!R9:W9</f>
        <v>2956.9010891682228</v>
      </c>
      <c r="AI10" s="14">
        <v>3764.5803103145518</v>
      </c>
      <c r="AJ10" s="14">
        <v>3941.5247187756268</v>
      </c>
      <c r="AK10" s="14">
        <v>4126.7859437487141</v>
      </c>
      <c r="AL10" s="14">
        <v>4320.7548957887011</v>
      </c>
      <c r="AM10" s="14">
        <v>4523.8408591950001</v>
      </c>
    </row>
    <row r="11" spans="1:39" x14ac:dyDescent="0.3">
      <c r="A11" s="1" t="s">
        <v>98</v>
      </c>
      <c r="B11" s="3" t="s">
        <v>97</v>
      </c>
      <c r="C11" s="3" t="str">
        <f t="shared" si="7"/>
        <v>L3H</v>
      </c>
      <c r="D11" s="126">
        <f>AVERAGE(DCF!Z7:AE7)</f>
        <v>462.7700470798984</v>
      </c>
      <c r="Q11" s="7" t="s">
        <v>32</v>
      </c>
      <c r="R11" s="14" cm="1">
        <f t="array" ref="R11:V11">Financials!I28:M28</f>
        <v>1766</v>
      </c>
      <c r="S11" s="14">
        <v>1522</v>
      </c>
      <c r="T11" s="14">
        <v>1670</v>
      </c>
      <c r="U11" s="14">
        <v>1691</v>
      </c>
      <c r="V11" s="14">
        <v>1685</v>
      </c>
      <c r="W11" s="3"/>
      <c r="Y11" s="73" t="s">
        <v>11</v>
      </c>
      <c r="Z11" s="74">
        <v>2020</v>
      </c>
      <c r="AA11" s="74">
        <v>2021</v>
      </c>
      <c r="AB11" s="74">
        <v>2022</v>
      </c>
      <c r="AC11" s="74">
        <v>2023</v>
      </c>
      <c r="AD11" s="75">
        <v>2024</v>
      </c>
      <c r="AE11" s="3"/>
    </row>
    <row r="12" spans="1:39" x14ac:dyDescent="0.3">
      <c r="A12" s="1" t="s">
        <v>98</v>
      </c>
      <c r="B12" s="3" t="s">
        <v>97</v>
      </c>
      <c r="C12" s="3" t="str">
        <f t="shared" si="7"/>
        <v>NG</v>
      </c>
      <c r="D12" s="126">
        <f>AVERAGE(DCF!AH7:AM7)</f>
        <v>1827.8673406489797</v>
      </c>
      <c r="G12" s="63" t="s">
        <v>44</v>
      </c>
      <c r="H12" s="63" t="s">
        <v>96</v>
      </c>
      <c r="I12" s="63" t="s">
        <v>98</v>
      </c>
      <c r="R12" s="3"/>
      <c r="S12" s="3"/>
      <c r="T12" s="3"/>
      <c r="U12" s="3"/>
      <c r="V12" s="3"/>
      <c r="W12" s="3"/>
      <c r="Y12" s="71" t="s">
        <v>69</v>
      </c>
      <c r="Z12" s="72" cm="1">
        <f t="array" ref="Z12:AD12">Financials!X3:AB3</f>
        <v>18194</v>
      </c>
      <c r="AA12" s="72">
        <v>17814</v>
      </c>
      <c r="AB12" s="72">
        <v>17062</v>
      </c>
      <c r="AC12" s="72">
        <v>19419</v>
      </c>
      <c r="AD12" s="72">
        <v>21325</v>
      </c>
      <c r="AE12" s="3"/>
      <c r="AG12" s="73" t="s">
        <v>11</v>
      </c>
      <c r="AH12" s="74">
        <v>2025</v>
      </c>
      <c r="AI12" s="74">
        <v>2026</v>
      </c>
      <c r="AJ12" s="74">
        <v>2027</v>
      </c>
      <c r="AK12" s="74">
        <v>2028</v>
      </c>
      <c r="AL12" s="74">
        <v>2029</v>
      </c>
      <c r="AM12" s="75">
        <v>2030</v>
      </c>
    </row>
    <row r="13" spans="1:39" x14ac:dyDescent="0.3">
      <c r="B13" s="63" t="s">
        <v>97</v>
      </c>
      <c r="C13" s="63" t="str">
        <f t="shared" si="7"/>
        <v>Avg</v>
      </c>
      <c r="D13" s="127">
        <f>AVERAGE(D8:D12)</f>
        <v>1787.54744067606</v>
      </c>
      <c r="G13" s="3" t="s">
        <v>109</v>
      </c>
      <c r="H13" s="35">
        <f>AVERAGE(-0.035,0.058)</f>
        <v>1.15E-2</v>
      </c>
      <c r="I13" s="35">
        <v>0.02</v>
      </c>
      <c r="Q13" s="73" t="s">
        <v>11</v>
      </c>
      <c r="R13" s="74">
        <v>2025</v>
      </c>
      <c r="S13" s="74">
        <v>2026</v>
      </c>
      <c r="T13" s="74">
        <v>2027</v>
      </c>
      <c r="U13" s="74">
        <v>2028</v>
      </c>
      <c r="V13" s="74">
        <v>2029</v>
      </c>
      <c r="W13" s="75">
        <v>2030</v>
      </c>
      <c r="X13" s="18"/>
      <c r="Y13" s="7" t="s">
        <v>16</v>
      </c>
      <c r="Z13" s="80" cm="1">
        <f t="array" ref="Z13:AD13">Financials!X7:AB7</f>
        <v>1592</v>
      </c>
      <c r="AA13" s="80">
        <v>2548</v>
      </c>
      <c r="AB13" s="80">
        <v>1552</v>
      </c>
      <c r="AC13" s="80">
        <v>1764</v>
      </c>
      <c r="AD13" s="80">
        <v>2272</v>
      </c>
      <c r="AE13" s="63"/>
      <c r="AG13" s="71" t="s">
        <v>69</v>
      </c>
      <c r="AH13" s="72" cm="1">
        <f t="array" ref="AH13:AM13">DCF!Z3:AE3</f>
        <v>22013.100164707743</v>
      </c>
      <c r="AI13" s="72">
        <v>22723.403463608724</v>
      </c>
      <c r="AJ13" s="72">
        <v>23456.626331886786</v>
      </c>
      <c r="AK13" s="72">
        <v>24213.508322154514</v>
      </c>
      <c r="AL13" s="72">
        <v>24994.812850390237</v>
      </c>
      <c r="AM13" s="72">
        <v>25801.327965944409</v>
      </c>
    </row>
    <row r="14" spans="1:39" x14ac:dyDescent="0.3">
      <c r="A14" s="1" t="s">
        <v>98</v>
      </c>
      <c r="B14" s="3" t="s">
        <v>99</v>
      </c>
      <c r="C14" s="3" t="str">
        <f t="shared" si="7"/>
        <v>RTX</v>
      </c>
      <c r="D14" s="122">
        <f>(DCF!G7/DCF!B7)^(1/6)-1</f>
        <v>6.1028100887816183E-2</v>
      </c>
      <c r="G14" s="3" t="s">
        <v>109</v>
      </c>
      <c r="H14" s="35">
        <v>2.8000000000000001E-2</v>
      </c>
      <c r="I14" s="35">
        <v>2.8000000000000001E-2</v>
      </c>
      <c r="Q14" s="71" t="s">
        <v>69</v>
      </c>
      <c r="R14" s="72" cm="1">
        <f t="array" ref="R14:W14">DCF!B3:G3</f>
        <v>86686.256880109882</v>
      </c>
      <c r="S14" s="72">
        <v>93072.743093517289</v>
      </c>
      <c r="T14" s="72">
        <v>99929.744560691543</v>
      </c>
      <c r="U14" s="72">
        <v>107291.92582119783</v>
      </c>
      <c r="V14" s="72">
        <v>115196.50527506317</v>
      </c>
      <c r="W14" s="72">
        <v>123683.44333479973</v>
      </c>
      <c r="Y14" s="7" t="s">
        <v>19</v>
      </c>
      <c r="Z14" s="14" cm="1">
        <f t="array" ref="Z14:AD14">Financials!X10:AB10</f>
        <v>1088</v>
      </c>
      <c r="AA14" s="14">
        <v>1843</v>
      </c>
      <c r="AB14" s="14">
        <v>1061</v>
      </c>
      <c r="AC14" s="14">
        <v>1198</v>
      </c>
      <c r="AD14" s="14">
        <v>1512</v>
      </c>
      <c r="AE14" s="3"/>
      <c r="AG14" s="7" t="s">
        <v>16</v>
      </c>
      <c r="AH14" s="14" cm="1">
        <f t="array" ref="AH14:AM14">DCF!Z4:AE4</f>
        <v>2282.6383951465336</v>
      </c>
      <c r="AI14" s="14">
        <v>2356.2929722001586</v>
      </c>
      <c r="AJ14" s="14">
        <v>2432.324183561032</v>
      </c>
      <c r="AK14" s="14">
        <v>2510.8087168004681</v>
      </c>
      <c r="AL14" s="14">
        <v>2591.8257339906222</v>
      </c>
      <c r="AM14" s="14">
        <v>2675.456951549952</v>
      </c>
    </row>
    <row r="15" spans="1:39" x14ac:dyDescent="0.3">
      <c r="A15" s="1" t="s">
        <v>98</v>
      </c>
      <c r="B15" s="3" t="s">
        <v>99</v>
      </c>
      <c r="C15" s="3" t="str">
        <f t="shared" ref="C15:D67" si="8">C9</f>
        <v>LMC</v>
      </c>
      <c r="D15" s="122">
        <f>(DCF!O7/DCF!J7)^(1/6)-1</f>
        <v>1.3894586583995672E-2</v>
      </c>
      <c r="G15" s="3" t="s">
        <v>110</v>
      </c>
      <c r="H15" s="70">
        <f>H14-H13</f>
        <v>1.6500000000000001E-2</v>
      </c>
      <c r="I15" s="35">
        <f>I14-I13</f>
        <v>8.0000000000000002E-3</v>
      </c>
      <c r="Q15" s="7" t="s">
        <v>16</v>
      </c>
      <c r="R15" s="14" cm="1">
        <f t="array" ref="R15:W15">DCF!B4:G4</f>
        <v>5232.1271812170908</v>
      </c>
      <c r="S15" s="14">
        <v>5617.5966813692439</v>
      </c>
      <c r="T15" s="14">
        <v>6031.4650966091194</v>
      </c>
      <c r="U15" s="14">
        <v>6475.8246764605874</v>
      </c>
      <c r="V15" s="14">
        <v>6952.9218139440782</v>
      </c>
      <c r="W15" s="14">
        <v>7465.16840187862</v>
      </c>
      <c r="Y15" s="7" t="s">
        <v>32</v>
      </c>
      <c r="Z15" s="14" cm="1">
        <f t="array" ref="Z15:AD15">Financials!X28:AB28</f>
        <v>368</v>
      </c>
      <c r="AA15" s="14">
        <v>342</v>
      </c>
      <c r="AB15" s="14">
        <v>252</v>
      </c>
      <c r="AC15" s="14">
        <v>449</v>
      </c>
      <c r="AD15" s="14">
        <v>408</v>
      </c>
      <c r="AE15" s="3"/>
      <c r="AG15" s="7" t="s">
        <v>114</v>
      </c>
      <c r="AH15" s="14" cm="1">
        <f t="array" ref="AH15:AM15">DCF!Z5:AE5</f>
        <v>1757.631564262831</v>
      </c>
      <c r="AI15" s="14">
        <v>1814.3455885941221</v>
      </c>
      <c r="AJ15" s="14">
        <v>1872.8896213419946</v>
      </c>
      <c r="AK15" s="14">
        <v>1933.3227119363605</v>
      </c>
      <c r="AL15" s="14">
        <v>1995.7058151727792</v>
      </c>
      <c r="AM15" s="14">
        <v>2060.1018526934631</v>
      </c>
    </row>
    <row r="16" spans="1:39" x14ac:dyDescent="0.3">
      <c r="A16" s="1" t="s">
        <v>98</v>
      </c>
      <c r="B16" s="3" t="s">
        <v>99</v>
      </c>
      <c r="C16" s="3" t="str">
        <f t="shared" si="8"/>
        <v>GD</v>
      </c>
      <c r="D16" s="70">
        <f>(DCF!W7/DCF!R7)^(1/6)-1</f>
        <v>3.901800489739915E-2</v>
      </c>
      <c r="G16" s="63" t="s">
        <v>111</v>
      </c>
      <c r="H16" s="127">
        <f>D61/H15</f>
        <v>51.248020255620652</v>
      </c>
      <c r="I16" s="127">
        <f>D67/I15</f>
        <v>26.460659360159287</v>
      </c>
      <c r="Q16" s="7" t="s">
        <v>114</v>
      </c>
      <c r="R16" s="14" cm="1">
        <f t="array" ref="R16:W16">DCF!B5:G5</f>
        <v>4028.7379295371602</v>
      </c>
      <c r="S16" s="14">
        <v>4325.549444654318</v>
      </c>
      <c r="T16" s="14">
        <v>4644.228124389022</v>
      </c>
      <c r="U16" s="14">
        <v>4986.3850008746522</v>
      </c>
      <c r="V16" s="14">
        <v>5353.74979673694</v>
      </c>
      <c r="W16" s="14">
        <v>5748.1796694465374</v>
      </c>
      <c r="Z16" s="3"/>
      <c r="AA16" s="3"/>
      <c r="AB16" s="3"/>
      <c r="AC16" s="3"/>
      <c r="AD16" s="3"/>
      <c r="AE16" s="3"/>
      <c r="AG16" s="7" t="s">
        <v>32</v>
      </c>
      <c r="AH16" s="14" cm="1">
        <f t="array" ref="AH16:AM16">DCF!Z7:AE7</f>
        <v>426.82146800694341</v>
      </c>
      <c r="AI16" s="14">
        <v>440.59384420560121</v>
      </c>
      <c r="AJ16" s="14">
        <v>454.81061779374153</v>
      </c>
      <c r="AK16" s="14">
        <v>469.48612827508759</v>
      </c>
      <c r="AL16" s="14">
        <v>484.6351778504258</v>
      </c>
      <c r="AM16" s="14">
        <v>500.27304634759082</v>
      </c>
    </row>
    <row r="17" spans="1:39" x14ac:dyDescent="0.3">
      <c r="A17" s="1" t="s">
        <v>98</v>
      </c>
      <c r="B17" s="3" t="s">
        <v>99</v>
      </c>
      <c r="C17" s="3" t="str">
        <f t="shared" si="8"/>
        <v>L3H</v>
      </c>
      <c r="D17" s="122">
        <f>(DCF!AE7/DCF!Z7)^(1/6)-1</f>
        <v>2.6818004050007893E-2</v>
      </c>
      <c r="Q17" s="7" t="s">
        <v>32</v>
      </c>
      <c r="R17" s="14" cm="1">
        <f t="array" ref="R17:W17">DCF!B7:G7</f>
        <v>2889.5675650768185</v>
      </c>
      <c r="S17" s="14">
        <v>3102.4523299893822</v>
      </c>
      <c r="T17" s="14">
        <v>3331.0210760206478</v>
      </c>
      <c r="U17" s="14">
        <v>3576.4292980874666</v>
      </c>
      <c r="V17" s="14">
        <v>3839.917620544988</v>
      </c>
      <c r="W17" s="14">
        <v>4122.8180689764813</v>
      </c>
      <c r="Y17" s="73" t="s">
        <v>11</v>
      </c>
      <c r="Z17" s="74">
        <v>2020</v>
      </c>
      <c r="AA17" s="74">
        <v>2021</v>
      </c>
      <c r="AB17" s="74">
        <v>2022</v>
      </c>
      <c r="AC17" s="74">
        <v>2023</v>
      </c>
      <c r="AD17" s="75">
        <v>2024</v>
      </c>
      <c r="AE17" s="3"/>
      <c r="AG17" s="7" t="s">
        <v>74</v>
      </c>
      <c r="AH17" s="14" cm="1">
        <f t="array" ref="AH17:AM17">DCF!Z9:AE9</f>
        <v>1808.5767752667878</v>
      </c>
      <c r="AI17" s="14">
        <v>2635.5040146307701</v>
      </c>
      <c r="AJ17" s="14">
        <v>2720.54461235904</v>
      </c>
      <c r="AK17" s="14">
        <v>2808.3292405353131</v>
      </c>
      <c r="AL17" s="14">
        <v>2898.9464416122614</v>
      </c>
      <c r="AM17" s="14">
        <v>2992.4876150684076</v>
      </c>
    </row>
    <row r="18" spans="1:39" x14ac:dyDescent="0.3">
      <c r="A18" s="1" t="s">
        <v>98</v>
      </c>
      <c r="B18" s="3" t="s">
        <v>99</v>
      </c>
      <c r="C18" s="3" t="str">
        <f t="shared" si="8"/>
        <v>NG</v>
      </c>
      <c r="D18" s="122">
        <f>(DCF!AM7/DCF!AH7)^(1/6)-1</f>
        <v>1.8316722141744624E-2</v>
      </c>
      <c r="Q18" s="7" t="s">
        <v>74</v>
      </c>
      <c r="R18" s="14" cm="1">
        <f t="array" ref="R18:W18">DCF!B9:G9</f>
        <v>5518.1198191726462</v>
      </c>
      <c r="S18" s="14">
        <v>7064.8293836408839</v>
      </c>
      <c r="T18" s="14">
        <v>7585.3206020020571</v>
      </c>
      <c r="U18" s="14">
        <v>8144.1582677690822</v>
      </c>
      <c r="V18" s="14">
        <v>8744.1675007072427</v>
      </c>
      <c r="W18" s="14">
        <v>9388.3815572471049</v>
      </c>
      <c r="Y18" s="71" t="s">
        <v>69</v>
      </c>
      <c r="Z18" s="72" cm="1">
        <f t="array" ref="Z18:AD18">Financials!AF3:AJ3</f>
        <v>36799</v>
      </c>
      <c r="AA18" s="72">
        <v>35667</v>
      </c>
      <c r="AB18" s="72">
        <v>36602</v>
      </c>
      <c r="AC18" s="72">
        <v>39290</v>
      </c>
      <c r="AD18" s="72">
        <v>41033</v>
      </c>
      <c r="AE18" s="3"/>
    </row>
    <row r="19" spans="1:39" x14ac:dyDescent="0.3">
      <c r="A19" s="18" t="s">
        <v>98</v>
      </c>
      <c r="B19" s="63" t="s">
        <v>99</v>
      </c>
      <c r="C19" s="63" t="str">
        <f t="shared" si="8"/>
        <v>Avg</v>
      </c>
      <c r="D19" s="123">
        <f>AVERAGE(D14:D18)</f>
        <v>3.1815083712192702E-2</v>
      </c>
      <c r="Y19" s="7" t="s">
        <v>16</v>
      </c>
      <c r="Z19" s="80" cm="1">
        <f t="array" ref="Z19:AD19">Financials!AF7:AJ7</f>
        <v>3901</v>
      </c>
      <c r="AA19" s="80">
        <v>9494</v>
      </c>
      <c r="AB19" s="80">
        <v>6342</v>
      </c>
      <c r="AC19" s="80">
        <v>2891</v>
      </c>
      <c r="AD19" s="80">
        <v>5637</v>
      </c>
      <c r="AG19" s="73" t="s">
        <v>11</v>
      </c>
      <c r="AH19" s="74">
        <v>2025</v>
      </c>
      <c r="AI19" s="74">
        <v>2026</v>
      </c>
      <c r="AJ19" s="74">
        <v>2027</v>
      </c>
      <c r="AK19" s="74">
        <v>2028</v>
      </c>
      <c r="AL19" s="74">
        <v>2029</v>
      </c>
      <c r="AM19" s="75">
        <v>2030</v>
      </c>
    </row>
    <row r="20" spans="1:39" x14ac:dyDescent="0.3">
      <c r="A20" s="1" t="str">
        <f t="shared" ref="A20:A31" si="9">A14</f>
        <v>2025-30</v>
      </c>
      <c r="B20" s="3" t="s">
        <v>100</v>
      </c>
      <c r="C20" s="3" t="str">
        <f t="shared" si="8"/>
        <v>RTX</v>
      </c>
      <c r="D20" s="122">
        <f>(DCF!G5/DCF!B5)^(1/6)-1</f>
        <v>6.1028100887816183E-2</v>
      </c>
      <c r="H20" s="35"/>
      <c r="Q20" s="73" t="s">
        <v>11</v>
      </c>
      <c r="R20" s="74">
        <v>2025</v>
      </c>
      <c r="S20" s="74">
        <v>2026</v>
      </c>
      <c r="T20" s="74">
        <v>2027</v>
      </c>
      <c r="U20" s="74">
        <v>2028</v>
      </c>
      <c r="V20" s="74">
        <v>2029</v>
      </c>
      <c r="W20" s="75">
        <v>2030</v>
      </c>
      <c r="Y20" s="7" t="s">
        <v>19</v>
      </c>
      <c r="Z20" s="14" cm="1">
        <f t="array" ref="Z20:AD20">Financials!AF10:AJ10</f>
        <v>2769</v>
      </c>
      <c r="AA20" s="14">
        <v>7005</v>
      </c>
      <c r="AB20" s="14">
        <v>4896</v>
      </c>
      <c r="AC20" s="14">
        <v>2056</v>
      </c>
      <c r="AD20" s="14">
        <v>4174</v>
      </c>
      <c r="AG20" s="71" t="s">
        <v>69</v>
      </c>
      <c r="AH20" s="72" cm="1">
        <f t="array" ref="AH20:AM20">DCF!AH3:AM3</f>
        <v>41936.552068234225</v>
      </c>
      <c r="AI20" s="72">
        <v>42860.000472100997</v>
      </c>
      <c r="AJ20" s="72">
        <v>43803.783331533326</v>
      </c>
      <c r="AK20" s="72">
        <v>44768.348413922882</v>
      </c>
      <c r="AL20" s="72">
        <v>45754.153346558327</v>
      </c>
      <c r="AM20" s="72">
        <v>46761.665833741536</v>
      </c>
    </row>
    <row r="21" spans="1:39" x14ac:dyDescent="0.3">
      <c r="A21" s="1" t="str">
        <f t="shared" si="9"/>
        <v>2025-30</v>
      </c>
      <c r="B21" s="3" t="s">
        <v>100</v>
      </c>
      <c r="C21" s="3" t="str">
        <f t="shared" si="8"/>
        <v>LMC</v>
      </c>
      <c r="D21" s="122">
        <f>D15</f>
        <v>1.3894586583995672E-2</v>
      </c>
      <c r="Q21" s="71" t="s">
        <v>69</v>
      </c>
      <c r="R21" s="72" cm="1">
        <f t="array" ref="R21:W21">DCF!J3:O3</f>
        <v>72229.175540605633</v>
      </c>
      <c r="S21" s="72">
        <v>73435.156162825646</v>
      </c>
      <c r="T21" s="72">
        <v>74661.27254390328</v>
      </c>
      <c r="U21" s="72">
        <v>75907.860882262714</v>
      </c>
      <c r="V21" s="72">
        <v>77175.262989693918</v>
      </c>
      <c r="W21" s="72">
        <v>78463.82638507674</v>
      </c>
      <c r="Y21" s="7" t="s">
        <v>32</v>
      </c>
      <c r="Z21" s="14" cm="1">
        <f t="array" ref="Z21:AD21">Financials!AF28:AJ28</f>
        <v>1420</v>
      </c>
      <c r="AA21" s="14">
        <v>1415</v>
      </c>
      <c r="AB21" s="14">
        <v>1435</v>
      </c>
      <c r="AC21" s="14">
        <v>1775</v>
      </c>
      <c r="AD21" s="14">
        <v>1767</v>
      </c>
      <c r="AG21" s="7" t="s">
        <v>16</v>
      </c>
      <c r="AH21" s="14" cm="1">
        <f t="array" ref="AH21:AM21">DCF!AH4:AM4</f>
        <v>6258.6746160516623</v>
      </c>
      <c r="AI21" s="14">
        <v>6396.4914560033731</v>
      </c>
      <c r="AJ21" s="14">
        <v>6537.3430409353641</v>
      </c>
      <c r="AK21" s="14">
        <v>6681.2961963320877</v>
      </c>
      <c r="AL21" s="14">
        <v>6828.4192191839693</v>
      </c>
      <c r="AM21" s="14">
        <v>6978.7819103901693</v>
      </c>
    </row>
    <row r="22" spans="1:39" x14ac:dyDescent="0.3">
      <c r="A22" s="1" t="str">
        <f t="shared" si="9"/>
        <v>2025-30</v>
      </c>
      <c r="B22" s="3" t="s">
        <v>100</v>
      </c>
      <c r="C22" s="3" t="str">
        <f t="shared" si="8"/>
        <v>GD</v>
      </c>
      <c r="D22" s="122">
        <f t="shared" si="8"/>
        <v>3.901800489739915E-2</v>
      </c>
      <c r="Q22" s="7" t="s">
        <v>16</v>
      </c>
      <c r="R22" s="14" cm="1">
        <f t="array" ref="R22:W22">DCF!J4:O4</f>
        <v>8922.5662343731183</v>
      </c>
      <c r="S22" s="14">
        <v>9071.5426265109363</v>
      </c>
      <c r="T22" s="14">
        <v>9223.0064157530651</v>
      </c>
      <c r="U22" s="14">
        <v>9376.9991331385245</v>
      </c>
      <c r="V22" s="14">
        <v>9533.5630031328819</v>
      </c>
      <c r="W22" s="14">
        <v>9692.7409552061181</v>
      </c>
      <c r="AG22" s="7" t="s">
        <v>114</v>
      </c>
      <c r="AH22" s="14" cm="1">
        <f t="array" ref="AH22:AM22">DCF!AH5:AM5</f>
        <v>4819.1794543597798</v>
      </c>
      <c r="AI22" s="14">
        <v>4925.2984211225976</v>
      </c>
      <c r="AJ22" s="14">
        <v>5033.7541415202304</v>
      </c>
      <c r="AK22" s="14">
        <v>5144.5980711757074</v>
      </c>
      <c r="AL22" s="14">
        <v>5257.8827987716568</v>
      </c>
      <c r="AM22" s="14">
        <v>5373.6620710004308</v>
      </c>
    </row>
    <row r="23" spans="1:39" x14ac:dyDescent="0.3">
      <c r="A23" s="1" t="str">
        <f t="shared" si="9"/>
        <v>2025-30</v>
      </c>
      <c r="B23" s="3" t="s">
        <v>100</v>
      </c>
      <c r="C23" s="3" t="str">
        <f t="shared" si="8"/>
        <v>L3H</v>
      </c>
      <c r="D23" s="122">
        <f t="shared" si="8"/>
        <v>2.6818004050007893E-2</v>
      </c>
      <c r="Q23" s="7" t="s">
        <v>114</v>
      </c>
      <c r="R23" s="14" cm="1">
        <f t="array" ref="R23:W23">DCF!J5:O5</f>
        <v>6870.3760004673013</v>
      </c>
      <c r="S23" s="14">
        <v>6985.0878224134212</v>
      </c>
      <c r="T23" s="14">
        <v>7101.7149401298602</v>
      </c>
      <c r="U23" s="14">
        <v>7220.2893325166642</v>
      </c>
      <c r="V23" s="14">
        <v>7340.8435124123189</v>
      </c>
      <c r="W23" s="14">
        <v>7463.4105355087113</v>
      </c>
      <c r="AG23" s="7" t="s">
        <v>32</v>
      </c>
      <c r="AH23" s="14" cm="1">
        <f t="array" ref="AH23:AM23">DCF!AH7:AM7</f>
        <v>1729.7989067962353</v>
      </c>
      <c r="AI23" s="14">
        <v>1767.8893067149602</v>
      </c>
      <c r="AJ23" s="14">
        <v>1806.8184622602889</v>
      </c>
      <c r="AK23" s="14">
        <v>1846.6048429416689</v>
      </c>
      <c r="AL23" s="14">
        <v>1887.2673249695799</v>
      </c>
      <c r="AM23" s="14">
        <v>1928.8252002111449</v>
      </c>
    </row>
    <row r="24" spans="1:39" x14ac:dyDescent="0.3">
      <c r="A24" s="1" t="str">
        <f t="shared" si="9"/>
        <v>2025-30</v>
      </c>
      <c r="B24" s="3" t="s">
        <v>100</v>
      </c>
      <c r="C24" s="3" t="str">
        <f t="shared" si="8"/>
        <v>NG</v>
      </c>
      <c r="D24" s="122">
        <f t="shared" si="8"/>
        <v>1.8316722141744624E-2</v>
      </c>
      <c r="K24" s="3"/>
      <c r="L24" s="3"/>
      <c r="M24" s="3"/>
      <c r="N24" s="3"/>
      <c r="O24" s="3"/>
      <c r="P24" s="3"/>
      <c r="Q24" s="7" t="s">
        <v>32</v>
      </c>
      <c r="R24" s="14" cm="1">
        <f t="array" ref="R24:W24">DCF!J7:O7</f>
        <v>1786.0133781017307</v>
      </c>
      <c r="S24" s="14">
        <v>1815.8337035989464</v>
      </c>
      <c r="T24" s="14">
        <v>1846.1519267175704</v>
      </c>
      <c r="U24" s="14">
        <v>1876.9763606479273</v>
      </c>
      <c r="V24" s="14">
        <v>1908.3154573822369</v>
      </c>
      <c r="W24" s="14">
        <v>1940.1778100321312</v>
      </c>
      <c r="X24" s="3"/>
      <c r="Y24" s="73" t="s">
        <v>0</v>
      </c>
      <c r="Z24" s="74" t="s">
        <v>59</v>
      </c>
      <c r="AA24" s="74" t="s">
        <v>115</v>
      </c>
      <c r="AB24" s="74" t="s">
        <v>51</v>
      </c>
      <c r="AC24" s="74" t="s">
        <v>116</v>
      </c>
      <c r="AD24" s="74" t="s">
        <v>2</v>
      </c>
      <c r="AE24" s="75" t="s">
        <v>85</v>
      </c>
      <c r="AG24" s="7" t="s">
        <v>74</v>
      </c>
      <c r="AH24" s="14" cm="1">
        <f t="array" ref="AH24:AM24">DCF!AH9:AM9</f>
        <v>2147.059806792488</v>
      </c>
      <c r="AI24" s="14">
        <v>4585.1289450983168</v>
      </c>
      <c r="AJ24" s="14">
        <v>4686.0940887988545</v>
      </c>
      <c r="AK24" s="14">
        <v>4789.2824982710936</v>
      </c>
      <c r="AL24" s="14">
        <v>4894.743130120356</v>
      </c>
      <c r="AM24" s="14">
        <v>5002.5260189828696</v>
      </c>
    </row>
    <row r="25" spans="1:39" x14ac:dyDescent="0.3">
      <c r="A25" s="18" t="str">
        <f t="shared" si="9"/>
        <v>2025-30</v>
      </c>
      <c r="B25" s="63" t="s">
        <v>100</v>
      </c>
      <c r="C25" s="63" t="str">
        <f t="shared" si="8"/>
        <v>Avg</v>
      </c>
      <c r="D25" s="125">
        <f>AVERAGE(D20:D24)</f>
        <v>3.1815083712192702E-2</v>
      </c>
      <c r="Q25" s="7" t="s">
        <v>74</v>
      </c>
      <c r="R25" s="14" cm="1">
        <f t="array" ref="R25:W25">DCF!J9:O9</f>
        <v>5890.3037720392622</v>
      </c>
      <c r="S25" s="14">
        <v>6652.3581143367101</v>
      </c>
      <c r="T25" s="14">
        <v>6763.42978195457</v>
      </c>
      <c r="U25" s="14">
        <v>6876.3559671939074</v>
      </c>
      <c r="V25" s="14">
        <v>6991.16763416719</v>
      </c>
      <c r="W25" s="14">
        <v>7107.8962639818492</v>
      </c>
      <c r="X25" s="3"/>
      <c r="Y25" s="71" t="str">
        <f>Relative!A23</f>
        <v>RTX</v>
      </c>
      <c r="Z25" s="76">
        <f ca="1">'Assumptions &amp; WACC'!B20</f>
        <v>5.49334038946225E-2</v>
      </c>
      <c r="AA25" s="76">
        <f>'Assumptions &amp; WACC'!B21</f>
        <v>0.03</v>
      </c>
      <c r="AB25" s="76">
        <f ca="1">'Assumptions &amp; WACC'!B11</f>
        <v>5.9094899999999999E-2</v>
      </c>
      <c r="AC25" s="77">
        <f ca="1">DCF!B20</f>
        <v>211.68300863218144</v>
      </c>
      <c r="AD25" s="77">
        <f ca="1">Relative!J10</f>
        <v>173</v>
      </c>
      <c r="AE25" s="78">
        <f ca="1">(AC25-AD25)/AD25</f>
        <v>0.22360120596636671</v>
      </c>
    </row>
    <row r="26" spans="1:39" x14ac:dyDescent="0.3">
      <c r="A26" s="1" t="str">
        <f t="shared" si="9"/>
        <v>2025-30</v>
      </c>
      <c r="B26" s="3" t="s">
        <v>45</v>
      </c>
      <c r="C26" s="3" t="str">
        <f t="shared" si="8"/>
        <v>RTX</v>
      </c>
      <c r="D26" s="124">
        <f>D20</f>
        <v>6.1028100887816183E-2</v>
      </c>
      <c r="S26" s="3"/>
      <c r="T26" s="3"/>
      <c r="U26" s="3"/>
      <c r="V26" s="3"/>
      <c r="W26" s="3"/>
      <c r="X26" s="3"/>
      <c r="Y26" s="71" t="str">
        <f>Relative!A24</f>
        <v>LMC</v>
      </c>
      <c r="Z26" s="9">
        <f ca="1">'Assumptions &amp; WACC'!C20</f>
        <v>4.8964195843081919E-2</v>
      </c>
      <c r="AA26" s="9">
        <f>$AA$25</f>
        <v>0.03</v>
      </c>
      <c r="AB26" s="9">
        <f ca="1">'Assumptions &amp; WACC'!C11</f>
        <v>5.1136799999999996E-2</v>
      </c>
      <c r="AC26" s="61">
        <f ca="1">DCF!J20</f>
        <v>1322.5778570358677</v>
      </c>
      <c r="AD26" s="77">
        <f ca="1">Relative!J11</f>
        <v>470.64</v>
      </c>
      <c r="AE26" s="43">
        <f ca="1">(AC26-AD26)/AD26</f>
        <v>1.8101688276301797</v>
      </c>
    </row>
    <row r="27" spans="1:39" x14ac:dyDescent="0.3">
      <c r="A27" s="1" t="str">
        <f t="shared" si="9"/>
        <v>2025-30</v>
      </c>
      <c r="B27" s="3" t="s">
        <v>45</v>
      </c>
      <c r="C27" s="3" t="str">
        <f t="shared" si="8"/>
        <v>LMC</v>
      </c>
      <c r="D27" s="124">
        <f t="shared" si="8"/>
        <v>1.3894586583995672E-2</v>
      </c>
      <c r="S27" s="3"/>
      <c r="T27" s="3"/>
      <c r="U27" s="3"/>
      <c r="V27" s="3"/>
      <c r="W27" s="3"/>
      <c r="X27" s="3"/>
      <c r="Y27" s="7" t="str">
        <f>Relative!A25</f>
        <v>GD</v>
      </c>
      <c r="Z27" s="128">
        <f ca="1">'Assumptions &amp; WACC'!D20</f>
        <v>5.5204369368472492E-2</v>
      </c>
      <c r="AA27" s="9">
        <f t="shared" ref="AA27:AA29" si="10">$AA$25</f>
        <v>0.03</v>
      </c>
      <c r="AB27" s="128">
        <f ca="1">'Assumptions &amp; WACC'!D11</f>
        <v>5.7778799999999998E-2</v>
      </c>
      <c r="AC27" s="37">
        <f ca="1">DCF!R20</f>
        <v>541.61953795340435</v>
      </c>
      <c r="AD27" s="77">
        <f ca="1">Relative!J12</f>
        <v>341.98500000000001</v>
      </c>
      <c r="AE27" s="43">
        <f t="shared" ref="AE27:AE29" ca="1" si="11">(AC27-AD27)/AD27</f>
        <v>0.58375232233403318</v>
      </c>
    </row>
    <row r="28" spans="1:39" x14ac:dyDescent="0.3">
      <c r="A28" s="1" t="str">
        <f t="shared" si="9"/>
        <v>2025-30</v>
      </c>
      <c r="B28" s="3" t="s">
        <v>45</v>
      </c>
      <c r="C28" s="3" t="str">
        <f t="shared" si="8"/>
        <v>GD</v>
      </c>
      <c r="D28" s="124">
        <f t="shared" si="8"/>
        <v>3.901800489739915E-2</v>
      </c>
      <c r="S28" s="3"/>
      <c r="T28" s="3"/>
      <c r="U28" s="3"/>
      <c r="V28" s="3"/>
      <c r="W28" s="3"/>
      <c r="X28" s="3"/>
      <c r="Y28" s="7" t="str">
        <f>Relative!A26</f>
        <v>L3H</v>
      </c>
      <c r="Z28" s="128">
        <f ca="1">'Assumptions &amp; WACC'!E20</f>
        <v>6.1467520041629586E-2</v>
      </c>
      <c r="AA28" s="9">
        <f t="shared" si="10"/>
        <v>0.03</v>
      </c>
      <c r="AB28" s="128">
        <f ca="1">'Assumptions &amp; WACC'!E11</f>
        <v>6.7823800000000004E-2</v>
      </c>
      <c r="AC28" s="37">
        <f ca="1">DCF!Z20</f>
        <v>372.26289970656603</v>
      </c>
      <c r="AD28" s="77">
        <f ca="1">Relative!J13</f>
        <v>285.21010000000001</v>
      </c>
      <c r="AE28" s="43">
        <f t="shared" ca="1" si="11"/>
        <v>0.30522341146602455</v>
      </c>
    </row>
    <row r="29" spans="1:39" x14ac:dyDescent="0.3">
      <c r="A29" s="1" t="str">
        <f t="shared" si="9"/>
        <v>2025-30</v>
      </c>
      <c r="B29" s="3" t="s">
        <v>45</v>
      </c>
      <c r="C29" s="3" t="str">
        <f t="shared" si="8"/>
        <v>L3H</v>
      </c>
      <c r="D29" s="124">
        <f t="shared" si="8"/>
        <v>2.6818004050007893E-2</v>
      </c>
      <c r="S29" s="3"/>
      <c r="T29" s="3"/>
      <c r="U29" s="3"/>
      <c r="V29" s="3"/>
      <c r="W29" s="3"/>
      <c r="X29" s="3"/>
      <c r="Y29" s="7" t="str">
        <f>Relative!A27</f>
        <v>NG</v>
      </c>
      <c r="Z29" s="128">
        <f ca="1">'Assumptions &amp; WACC'!F20</f>
        <v>4.1700849988906802E-2</v>
      </c>
      <c r="AA29" s="9">
        <f t="shared" si="10"/>
        <v>0.03</v>
      </c>
      <c r="AB29" s="128">
        <f ca="1">'Assumptions &amp; WACC'!F11</f>
        <v>4.3416499999999997E-2</v>
      </c>
      <c r="AC29" s="37">
        <f ca="1">DCF!AH20</f>
        <v>2499.2558021374016</v>
      </c>
      <c r="AD29" s="77">
        <f ca="1">Relative!J14</f>
        <v>566.12</v>
      </c>
      <c r="AE29" s="43">
        <f t="shared" ca="1" si="11"/>
        <v>3.4147103125439866</v>
      </c>
    </row>
    <row r="30" spans="1:39" x14ac:dyDescent="0.3">
      <c r="A30" s="1" t="str">
        <f t="shared" si="9"/>
        <v>2025-30</v>
      </c>
      <c r="B30" s="3" t="s">
        <v>45</v>
      </c>
      <c r="C30" s="3" t="str">
        <f t="shared" si="8"/>
        <v>NG</v>
      </c>
      <c r="D30" s="124">
        <f t="shared" si="8"/>
        <v>1.8316722141744624E-2</v>
      </c>
      <c r="S30" s="3"/>
      <c r="T30" s="3"/>
      <c r="U30" s="3"/>
      <c r="V30" s="3"/>
      <c r="W30" s="3"/>
      <c r="X30" s="3"/>
    </row>
    <row r="31" spans="1:39" x14ac:dyDescent="0.3">
      <c r="A31" s="18" t="str">
        <f t="shared" si="9"/>
        <v>2025-30</v>
      </c>
      <c r="B31" s="63" t="s">
        <v>45</v>
      </c>
      <c r="C31" s="63" t="str">
        <f t="shared" si="8"/>
        <v>Avg</v>
      </c>
      <c r="D31" s="123">
        <f>AVERAGE(D26:D30)</f>
        <v>3.1815083712192702E-2</v>
      </c>
    </row>
    <row r="32" spans="1:39" x14ac:dyDescent="0.3">
      <c r="A32" s="1" t="str">
        <f>A2</f>
        <v>2020-24</v>
      </c>
      <c r="B32" s="3" t="s">
        <v>112</v>
      </c>
      <c r="C32" s="3" t="str">
        <f t="shared" si="8"/>
        <v>RTX</v>
      </c>
      <c r="D32" s="35">
        <f>(AVERAGE(Financials!B7:F7)+AVERAGE(Financials!B28:F28))/AVERAGE(Financials!B3:F3)</f>
        <v>0.12371375186182104</v>
      </c>
    </row>
    <row r="33" spans="1:4" x14ac:dyDescent="0.3">
      <c r="A33" s="1" t="str">
        <f>A3</f>
        <v>2020-24</v>
      </c>
      <c r="B33" s="3" t="s">
        <v>112</v>
      </c>
      <c r="C33" s="3" t="str">
        <f t="shared" si="8"/>
        <v>LMC</v>
      </c>
      <c r="D33" s="35">
        <f>(AVERAGE(Financials!I7:M7)+AVERAGE(Financials!I29:M29))/AVERAGE(Financials!I3:M3)</f>
        <v>0.14443982910040351</v>
      </c>
    </row>
    <row r="34" spans="1:4" x14ac:dyDescent="0.3">
      <c r="A34" s="1" t="str">
        <f>A4</f>
        <v>2020-24</v>
      </c>
      <c r="B34" s="3" t="s">
        <v>112</v>
      </c>
      <c r="C34" s="3" t="str">
        <f t="shared" si="8"/>
        <v>GD</v>
      </c>
      <c r="D34" s="35">
        <f>(AVERAGE(Financials!P7:T7)+AVERAGE(Financials!P29:T29))/AVERAGE(Financials!P3:T3)</f>
        <v>0.12609517515513463</v>
      </c>
    </row>
    <row r="35" spans="1:4" x14ac:dyDescent="0.3">
      <c r="A35" s="1" t="str">
        <f>A5</f>
        <v>2020-24</v>
      </c>
      <c r="B35" s="3" t="s">
        <v>112</v>
      </c>
      <c r="C35" s="3" t="str">
        <f t="shared" si="8"/>
        <v>L3H</v>
      </c>
      <c r="D35" s="35">
        <f>(AVERAGE(Financials!X7:AB7)+AVERAGE(Financials!X29:AB29))/AVERAGE(Financials!X3:AB3)</f>
        <v>0.16116997463065214</v>
      </c>
    </row>
    <row r="36" spans="1:4" x14ac:dyDescent="0.3">
      <c r="A36" s="1" t="str">
        <f>A6</f>
        <v>2020-24</v>
      </c>
      <c r="B36" s="3" t="s">
        <v>112</v>
      </c>
      <c r="C36" s="3" t="str">
        <f t="shared" si="8"/>
        <v>NG</v>
      </c>
      <c r="D36" s="35">
        <f>(AVERAGE(Financials!AF7:AJ7)+AVERAGE(Financials!AF29:AJ29))/AVERAGE(Financials!AF3:AJ3)</f>
        <v>0.1838577334720235</v>
      </c>
    </row>
    <row r="37" spans="1:4" x14ac:dyDescent="0.3">
      <c r="A37" s="18" t="str">
        <f>$A$36</f>
        <v>2020-24</v>
      </c>
      <c r="B37" s="63" t="s">
        <v>112</v>
      </c>
      <c r="C37" s="63" t="str">
        <f t="shared" si="8"/>
        <v>Avg</v>
      </c>
      <c r="D37" s="123">
        <f>AVERAGE(D32:D36)</f>
        <v>0.14785529284400695</v>
      </c>
    </row>
    <row r="38" spans="1:4" x14ac:dyDescent="0.3">
      <c r="A38" s="1" t="str">
        <f t="shared" ref="A38:A39" si="12">$A$36</f>
        <v>2020-24</v>
      </c>
      <c r="B38" s="3" t="s">
        <v>113</v>
      </c>
      <c r="C38" s="3" t="str">
        <f t="shared" si="8"/>
        <v>RTX</v>
      </c>
      <c r="D38" s="35">
        <f>AVERAGE(Financials!B10:F10)/AVERAGE(Financials!B3:F3)</f>
        <v>2.7432063889703207E-2</v>
      </c>
    </row>
    <row r="39" spans="1:4" x14ac:dyDescent="0.3">
      <c r="A39" s="1" t="str">
        <f t="shared" si="12"/>
        <v>2020-24</v>
      </c>
      <c r="B39" s="3" t="s">
        <v>113</v>
      </c>
      <c r="C39" s="3" t="str">
        <f t="shared" si="8"/>
        <v>LMC</v>
      </c>
      <c r="D39" s="35">
        <f>AVERAGE(Financials!I10:M10)/AVERAGE(Financials!I3:M3)</f>
        <v>9.5858058390695472E-2</v>
      </c>
    </row>
    <row r="40" spans="1:4" x14ac:dyDescent="0.3">
      <c r="A40" s="1" t="str">
        <f>A32</f>
        <v>2020-24</v>
      </c>
      <c r="B40" s="3" t="s">
        <v>113</v>
      </c>
      <c r="C40" s="3" t="str">
        <f t="shared" si="8"/>
        <v>GD</v>
      </c>
      <c r="D40" s="35">
        <f>AVERAGE(Financials!P10:T10)/AVERAGE(Financials!P3:T3)</f>
        <v>7.9479466832532347E-2</v>
      </c>
    </row>
    <row r="41" spans="1:4" x14ac:dyDescent="0.3">
      <c r="A41" s="1" t="str">
        <f>A33</f>
        <v>2020-24</v>
      </c>
      <c r="B41" s="3" t="s">
        <v>113</v>
      </c>
      <c r="C41" s="3" t="str">
        <f t="shared" si="8"/>
        <v>L3H</v>
      </c>
      <c r="D41" s="35">
        <f>AVERAGE(Financials!X10:AB10)/AVERAGE(Financials!X3:AB3)</f>
        <v>7.1439230818427957E-2</v>
      </c>
    </row>
    <row r="42" spans="1:4" x14ac:dyDescent="0.3">
      <c r="A42" s="1" t="str">
        <f>A34</f>
        <v>2020-24</v>
      </c>
      <c r="B42" s="3" t="s">
        <v>113</v>
      </c>
      <c r="C42" s="3" t="str">
        <f t="shared" si="8"/>
        <v>NG</v>
      </c>
      <c r="D42" s="35">
        <f>AVERAGE(Financials!AF10:AJ10)/AVERAGE(Financials!AF3:AJ3)</f>
        <v>0.11035371268962095</v>
      </c>
    </row>
    <row r="43" spans="1:4" x14ac:dyDescent="0.3">
      <c r="A43" s="18" t="str">
        <f>$A$42</f>
        <v>2020-24</v>
      </c>
      <c r="B43" s="63" t="s">
        <v>113</v>
      </c>
      <c r="C43" s="63" t="str">
        <f t="shared" si="8"/>
        <v>Avg</v>
      </c>
      <c r="D43" s="123">
        <f>AVERAGE(D38:D42)</f>
        <v>7.6912506524195984E-2</v>
      </c>
    </row>
    <row r="44" spans="1:4" x14ac:dyDescent="0.3">
      <c r="A44" s="1" t="str">
        <f t="shared" ref="A44:A49" si="13">A26</f>
        <v>2025-30</v>
      </c>
      <c r="B44" s="3" t="s">
        <v>127</v>
      </c>
      <c r="C44" s="3" t="str">
        <f t="shared" si="8"/>
        <v>RTX</v>
      </c>
      <c r="D44" s="4">
        <f>AVERAGE(DCF!B3:G3)</f>
        <v>104310.10316089657</v>
      </c>
    </row>
    <row r="45" spans="1:4" x14ac:dyDescent="0.3">
      <c r="A45" s="1" t="str">
        <f t="shared" si="13"/>
        <v>2025-30</v>
      </c>
      <c r="B45" s="3" t="s">
        <v>127</v>
      </c>
      <c r="C45" s="3" t="str">
        <f t="shared" si="8"/>
        <v>LMC</v>
      </c>
      <c r="D45" s="4">
        <f>AVERAGE(DCF!J3:O3)</f>
        <v>75312.092417394641</v>
      </c>
    </row>
    <row r="46" spans="1:4" x14ac:dyDescent="0.3">
      <c r="A46" s="1" t="str">
        <f t="shared" si="13"/>
        <v>2025-30</v>
      </c>
      <c r="B46" s="3" t="s">
        <v>127</v>
      </c>
      <c r="C46" s="3" t="str">
        <f t="shared" si="8"/>
        <v>GD</v>
      </c>
      <c r="D46" s="4">
        <f>AVERAGE(DCF!R3:W3)</f>
        <v>56210.341983841674</v>
      </c>
    </row>
    <row r="47" spans="1:4" x14ac:dyDescent="0.3">
      <c r="A47" s="1" t="str">
        <f t="shared" si="13"/>
        <v>2025-30</v>
      </c>
      <c r="B47" s="3" t="s">
        <v>127</v>
      </c>
      <c r="C47" s="3" t="str">
        <f t="shared" si="8"/>
        <v>L3H</v>
      </c>
      <c r="D47" s="4">
        <f>AVERAGE(DCF!Z3:AE3)</f>
        <v>23867.129849782068</v>
      </c>
    </row>
    <row r="48" spans="1:4" x14ac:dyDescent="0.3">
      <c r="A48" s="1" t="str">
        <f t="shared" si="13"/>
        <v>2025-30</v>
      </c>
      <c r="B48" s="3" t="s">
        <v>127</v>
      </c>
      <c r="C48" s="3" t="str">
        <f t="shared" si="8"/>
        <v>NG</v>
      </c>
      <c r="D48" s="4">
        <f>AVERAGE(DCF!AH3:AM3)</f>
        <v>44314.083911015216</v>
      </c>
    </row>
    <row r="49" spans="1:4" x14ac:dyDescent="0.3">
      <c r="A49" s="18" t="str">
        <f t="shared" si="13"/>
        <v>2025-30</v>
      </c>
      <c r="B49" s="63" t="s">
        <v>127</v>
      </c>
      <c r="C49" s="63" t="str">
        <f t="shared" si="8"/>
        <v>Avg</v>
      </c>
      <c r="D49" s="127">
        <f>AVERAGE(D44:D48)</f>
        <v>60802.75026458603</v>
      </c>
    </row>
    <row r="50" spans="1:4" x14ac:dyDescent="0.3">
      <c r="A50" s="1" t="str">
        <f t="shared" ref="A50:A55" si="14">A44</f>
        <v>2025-30</v>
      </c>
      <c r="B50" s="3" t="s">
        <v>128</v>
      </c>
      <c r="C50" s="3" t="str">
        <f t="shared" si="8"/>
        <v>RTX</v>
      </c>
      <c r="D50" s="35">
        <f>D8/D44</f>
        <v>3.3333629448012631E-2</v>
      </c>
    </row>
    <row r="51" spans="1:4" x14ac:dyDescent="0.3">
      <c r="A51" s="1" t="str">
        <f t="shared" si="14"/>
        <v>2025-30</v>
      </c>
      <c r="B51" s="3" t="s">
        <v>128</v>
      </c>
      <c r="C51" s="3" t="str">
        <f t="shared" si="8"/>
        <v>LMC</v>
      </c>
      <c r="D51" s="35">
        <f t="shared" ref="D51:D54" si="15">D9/D45</f>
        <v>2.4727035366722057E-2</v>
      </c>
    </row>
    <row r="52" spans="1:4" x14ac:dyDescent="0.3">
      <c r="A52" s="1" t="str">
        <f t="shared" si="14"/>
        <v>2025-30</v>
      </c>
      <c r="B52" s="3" t="s">
        <v>128</v>
      </c>
      <c r="C52" s="3" t="str">
        <f t="shared" si="8"/>
        <v>GD</v>
      </c>
      <c r="D52" s="35">
        <f t="shared" si="15"/>
        <v>2.3266549718400881E-2</v>
      </c>
    </row>
    <row r="53" spans="1:4" x14ac:dyDescent="0.3">
      <c r="A53" s="1" t="str">
        <f t="shared" si="14"/>
        <v>2025-30</v>
      </c>
      <c r="B53" s="3" t="s">
        <v>128</v>
      </c>
      <c r="C53" s="3" t="str">
        <f t="shared" si="8"/>
        <v>L3H</v>
      </c>
      <c r="D53" s="35">
        <f t="shared" si="15"/>
        <v>1.9389430149018273E-2</v>
      </c>
    </row>
    <row r="54" spans="1:4" x14ac:dyDescent="0.3">
      <c r="A54" s="1" t="str">
        <f t="shared" si="14"/>
        <v>2025-30</v>
      </c>
      <c r="B54" s="3" t="s">
        <v>128</v>
      </c>
      <c r="C54" s="3" t="str">
        <f t="shared" si="8"/>
        <v>NG</v>
      </c>
      <c r="D54" s="35">
        <f t="shared" si="15"/>
        <v>4.1248000168962629E-2</v>
      </c>
    </row>
    <row r="55" spans="1:4" x14ac:dyDescent="0.3">
      <c r="A55" s="18" t="str">
        <f t="shared" si="14"/>
        <v>2025-30</v>
      </c>
      <c r="B55" s="63" t="s">
        <v>128</v>
      </c>
      <c r="C55" s="63" t="str">
        <f t="shared" si="8"/>
        <v>Avg</v>
      </c>
      <c r="D55" s="123">
        <f>AVERAGE(D50:D54)</f>
        <v>2.8392928970223295E-2</v>
      </c>
    </row>
    <row r="56" spans="1:4" x14ac:dyDescent="0.3">
      <c r="A56" s="1" t="str">
        <f>A38</f>
        <v>2020-24</v>
      </c>
      <c r="B56" s="3" t="s">
        <v>101</v>
      </c>
      <c r="C56" s="3" t="str">
        <f t="shared" si="8"/>
        <v>RTX</v>
      </c>
      <c r="D56" s="35">
        <f>(Financials!F10-Financials!B10)/ABS(Financials!B10)</f>
        <v>3.3674934725848562</v>
      </c>
    </row>
    <row r="57" spans="1:4" x14ac:dyDescent="0.3">
      <c r="A57" s="1" t="str">
        <f>A39</f>
        <v>2020-24</v>
      </c>
      <c r="B57" s="3" t="s">
        <v>101</v>
      </c>
      <c r="C57" s="3" t="str">
        <f t="shared" si="8"/>
        <v>LMC</v>
      </c>
      <c r="D57" s="35">
        <f>(Financials!M10-Financials!I10)/Financials!I10</f>
        <v>-0.24053086787951089</v>
      </c>
    </row>
    <row r="58" spans="1:4" x14ac:dyDescent="0.3">
      <c r="A58" s="1" t="str">
        <f>A40</f>
        <v>2020-24</v>
      </c>
      <c r="B58" s="3" t="s">
        <v>101</v>
      </c>
      <c r="C58" s="3" t="str">
        <f t="shared" si="8"/>
        <v>GD</v>
      </c>
      <c r="D58" s="35">
        <f>(Financials!T10-Financials!P10)/Financials!P10</f>
        <v>0.20388978930307941</v>
      </c>
    </row>
    <row r="59" spans="1:4" x14ac:dyDescent="0.3">
      <c r="A59" s="1" t="str">
        <f>A41</f>
        <v>2020-24</v>
      </c>
      <c r="B59" s="3" t="s">
        <v>101</v>
      </c>
      <c r="C59" s="3" t="str">
        <f t="shared" si="8"/>
        <v>L3H</v>
      </c>
      <c r="D59" s="35">
        <f>(Financials!AB10-Financials!X10)/Financials!X10</f>
        <v>0.38970588235294118</v>
      </c>
    </row>
    <row r="60" spans="1:4" x14ac:dyDescent="0.3">
      <c r="A60" s="1" t="str">
        <f>A42</f>
        <v>2020-24</v>
      </c>
      <c r="B60" s="3" t="s">
        <v>101</v>
      </c>
      <c r="C60" s="3" t="str">
        <f t="shared" si="8"/>
        <v>NG</v>
      </c>
      <c r="D60" s="35">
        <f>(Financials!AJ10-Financials!AF10)/Financials!AF10</f>
        <v>0.50740339472733842</v>
      </c>
    </row>
    <row r="61" spans="1:4" x14ac:dyDescent="0.3">
      <c r="A61" s="18" t="str">
        <f>A60</f>
        <v>2020-24</v>
      </c>
      <c r="B61" s="63" t="s">
        <v>101</v>
      </c>
      <c r="C61" s="63" t="str">
        <f t="shared" si="8"/>
        <v>Avg</v>
      </c>
      <c r="D61" s="123">
        <f>AVERAGE(D56:D60)</f>
        <v>0.84559233421774083</v>
      </c>
    </row>
    <row r="62" spans="1:4" x14ac:dyDescent="0.3">
      <c r="A62" s="1" t="str">
        <f t="shared" ref="A62:A67" si="16">A50</f>
        <v>2025-30</v>
      </c>
      <c r="B62" s="3" t="str">
        <f t="shared" ref="B62:B67" si="17">B56</f>
        <v>Earnings Growth</v>
      </c>
      <c r="C62" s="3" t="str">
        <f t="shared" si="8"/>
        <v>RTX</v>
      </c>
      <c r="D62" s="35">
        <f>(DCF!G5-DCF!B5)/DCF!B5</f>
        <v>0.42679413999681892</v>
      </c>
    </row>
    <row r="63" spans="1:4" x14ac:dyDescent="0.3">
      <c r="A63" s="1" t="str">
        <f t="shared" si="16"/>
        <v>2025-30</v>
      </c>
      <c r="B63" s="3" t="str">
        <f t="shared" si="17"/>
        <v>Earnings Growth</v>
      </c>
      <c r="C63" s="3" t="str">
        <f t="shared" si="8"/>
        <v>LMC</v>
      </c>
      <c r="D63" s="35">
        <f>(DCF!O5-DCF!J5)/DCF!J5</f>
        <v>8.6317624392183726E-2</v>
      </c>
    </row>
    <row r="64" spans="1:4" x14ac:dyDescent="0.3">
      <c r="A64" s="1" t="str">
        <f t="shared" si="16"/>
        <v>2025-30</v>
      </c>
      <c r="B64" s="3" t="str">
        <f t="shared" si="17"/>
        <v>Earnings Growth</v>
      </c>
      <c r="C64" s="3" t="str">
        <f t="shared" si="8"/>
        <v>GD</v>
      </c>
      <c r="D64" s="35">
        <f>(DCF!W5-DCF!R5)/DCF!R5</f>
        <v>0.25816743572841189</v>
      </c>
    </row>
    <row r="65" spans="1:4" x14ac:dyDescent="0.3">
      <c r="A65" s="1" t="str">
        <f t="shared" si="16"/>
        <v>2025-30</v>
      </c>
      <c r="B65" s="3" t="str">
        <f t="shared" si="17"/>
        <v>Earnings Growth</v>
      </c>
      <c r="C65" s="3" t="str">
        <f t="shared" si="8"/>
        <v>L3H</v>
      </c>
      <c r="D65" s="35">
        <f>(DCF!AE5-DCF!Z5)/DCF!Z5</f>
        <v>0.17208969990106615</v>
      </c>
    </row>
    <row r="66" spans="1:4" x14ac:dyDescent="0.3">
      <c r="A66" s="1" t="str">
        <f t="shared" si="16"/>
        <v>2025-30</v>
      </c>
      <c r="B66" s="3" t="str">
        <f t="shared" si="17"/>
        <v>Earnings Growth</v>
      </c>
      <c r="C66" s="3" t="str">
        <f t="shared" si="8"/>
        <v>NG</v>
      </c>
      <c r="D66" s="35">
        <f>(DCF!AM5-DCF!AH5)/DCF!AH5</f>
        <v>0.11505747438789103</v>
      </c>
    </row>
    <row r="67" spans="1:4" x14ac:dyDescent="0.3">
      <c r="A67" s="18" t="str">
        <f t="shared" si="16"/>
        <v>2025-30</v>
      </c>
      <c r="B67" s="63" t="str">
        <f t="shared" si="17"/>
        <v>Earnings Growth</v>
      </c>
      <c r="C67" s="63" t="str">
        <f t="shared" si="8"/>
        <v>Avg</v>
      </c>
      <c r="D67" s="123">
        <f>AVERAGE(D62:D66)</f>
        <v>0.21168527488127431</v>
      </c>
    </row>
    <row r="68" spans="1:4" x14ac:dyDescent="0.3">
      <c r="A68" s="1" t="str">
        <f>A56</f>
        <v>2020-24</v>
      </c>
      <c r="B68" s="3" t="str">
        <f>B20</f>
        <v>Earnings CAGR</v>
      </c>
      <c r="C68" s="3" t="str">
        <f>C62</f>
        <v>RTX</v>
      </c>
      <c r="D68" s="35">
        <f>(Financials!F10/Financials!C10)^(1/4)-1</f>
        <v>0.10565451777009827</v>
      </c>
    </row>
    <row r="69" spans="1:4" x14ac:dyDescent="0.3">
      <c r="A69" s="1" t="str">
        <f t="shared" ref="A69:A73" si="18">A57</f>
        <v>2020-24</v>
      </c>
      <c r="B69" s="3" t="str">
        <f t="shared" ref="B69:B73" si="19">B21</f>
        <v>Earnings CAGR</v>
      </c>
      <c r="C69" s="3" t="str">
        <f t="shared" ref="C69:C73" si="20">C63</f>
        <v>LMC</v>
      </c>
      <c r="D69" s="35">
        <f>(Financials!M10/Financials!I10)^(1/5)-1</f>
        <v>-5.3540520402462377E-2</v>
      </c>
    </row>
    <row r="70" spans="1:4" x14ac:dyDescent="0.3">
      <c r="A70" s="1" t="str">
        <f t="shared" si="18"/>
        <v>2020-24</v>
      </c>
      <c r="B70" s="3" t="str">
        <f t="shared" si="19"/>
        <v>Earnings CAGR</v>
      </c>
      <c r="C70" s="3" t="str">
        <f t="shared" si="20"/>
        <v>GD</v>
      </c>
      <c r="D70" s="35">
        <f>(Financials!T10/Financials!P10)^(1/5)-1</f>
        <v>3.7808793485951009E-2</v>
      </c>
    </row>
    <row r="71" spans="1:4" x14ac:dyDescent="0.3">
      <c r="A71" s="1" t="str">
        <f t="shared" si="18"/>
        <v>2020-24</v>
      </c>
      <c r="B71" s="3" t="str">
        <f t="shared" si="19"/>
        <v>Earnings CAGR</v>
      </c>
      <c r="C71" s="3" t="str">
        <f t="shared" si="20"/>
        <v>L3H</v>
      </c>
      <c r="D71" s="35">
        <f>(Financials!AB10/Financials!X10)^(1/5)-1</f>
        <v>6.8032772431745325E-2</v>
      </c>
    </row>
    <row r="72" spans="1:4" x14ac:dyDescent="0.3">
      <c r="A72" s="1" t="str">
        <f t="shared" si="18"/>
        <v>2020-24</v>
      </c>
      <c r="B72" s="3" t="str">
        <f t="shared" si="19"/>
        <v>Earnings CAGR</v>
      </c>
      <c r="C72" s="3" t="str">
        <f t="shared" si="20"/>
        <v>NG</v>
      </c>
      <c r="D72" s="35">
        <f>(Financials!AJ10/Financials!AF10)^(1/5)-1</f>
        <v>8.5540167018789859E-2</v>
      </c>
    </row>
    <row r="73" spans="1:4" x14ac:dyDescent="0.3">
      <c r="A73" s="18" t="str">
        <f t="shared" si="18"/>
        <v>2020-24</v>
      </c>
      <c r="B73" s="63" t="str">
        <f t="shared" si="19"/>
        <v>Earnings CAGR</v>
      </c>
      <c r="C73" s="63" t="str">
        <f t="shared" si="20"/>
        <v>Avg</v>
      </c>
      <c r="D73" s="123">
        <f>AVERAGE(D68:D72)</f>
        <v>4.8699146060824414E-2</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2025-11-19T20:10:25Z</dcterms:modified>
</cp:coreProperties>
</file>