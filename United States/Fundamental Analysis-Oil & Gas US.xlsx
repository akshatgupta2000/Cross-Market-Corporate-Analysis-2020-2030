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648ED48E-8D4C-49D5-B8D4-9EC16C503A95}" xr6:coauthVersionLast="47" xr6:coauthVersionMax="47" xr10:uidLastSave="{00000000-0000-0000-0000-000000000000}"/>
  <bookViews>
    <workbookView xWindow="13728" yWindow="0" windowWidth="9408" windowHeight="12336" firstSheet="3" activeTab="3" xr2:uid="{00000000-000D-0000-FFFF-FFFF00000000}"/>
  </bookViews>
  <sheets>
    <sheet name="Company 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AG33" i="2"/>
  <c r="AH33" i="2"/>
  <c r="AI33" i="2"/>
  <c r="AJ33" i="2"/>
  <c r="AF33" i="2"/>
  <c r="Y33" i="2"/>
  <c r="Z33" i="2"/>
  <c r="AA33" i="2"/>
  <c r="AB33" i="2"/>
  <c r="X33" i="2"/>
  <c r="Q33" i="2"/>
  <c r="R33" i="2"/>
  <c r="S33" i="2"/>
  <c r="T33" i="2"/>
  <c r="P33" i="2"/>
  <c r="C73" i="6"/>
  <c r="B73" i="6"/>
  <c r="A73" i="6"/>
  <c r="C72" i="6"/>
  <c r="B72" i="6"/>
  <c r="A72" i="6"/>
  <c r="C71" i="6"/>
  <c r="B71" i="6"/>
  <c r="A71" i="6"/>
  <c r="C70" i="6"/>
  <c r="B70" i="6"/>
  <c r="A70" i="6"/>
  <c r="C69" i="6"/>
  <c r="B69" i="6"/>
  <c r="A69" i="6"/>
  <c r="C68" i="6"/>
  <c r="B68" i="6"/>
  <c r="A68" i="6"/>
  <c r="H6" i="6" l="1"/>
  <c r="H5" i="6"/>
  <c r="H4" i="6"/>
  <c r="D6" i="6"/>
  <c r="D5" i="6"/>
  <c r="D4" i="6"/>
  <c r="E27" i="5"/>
  <c r="E26" i="5"/>
  <c r="E25" i="5"/>
  <c r="D27" i="5"/>
  <c r="D26" i="5"/>
  <c r="D25" i="5"/>
  <c r="H19" i="5"/>
  <c r="H7" i="5"/>
  <c r="H8" i="5"/>
  <c r="H16" i="5"/>
  <c r="H18" i="5"/>
  <c r="H15" i="5"/>
  <c r="H6" i="5"/>
  <c r="H17" i="5" s="1"/>
  <c r="J5" i="3"/>
  <c r="K5" i="3"/>
  <c r="L5" i="3"/>
  <c r="M5" i="3"/>
  <c r="J6" i="3"/>
  <c r="K6" i="3"/>
  <c r="L6" i="3"/>
  <c r="M6" i="3"/>
  <c r="J7" i="3"/>
  <c r="K7" i="3"/>
  <c r="L7" i="3"/>
  <c r="M7" i="3"/>
  <c r="I7" i="3"/>
  <c r="I6" i="3"/>
  <c r="I5" i="3"/>
  <c r="H12" i="3"/>
  <c r="H13" i="3"/>
  <c r="H14" i="3"/>
  <c r="F6" i="3"/>
  <c r="E6" i="3"/>
  <c r="D6" i="3"/>
  <c r="F5" i="3"/>
  <c r="E5" i="3"/>
  <c r="D5" i="3"/>
  <c r="F3" i="3"/>
  <c r="AH3" i="4" s="1"/>
  <c r="E3" i="3"/>
  <c r="Z3" i="4" s="1"/>
  <c r="X38" i="2" s="1"/>
  <c r="R3" i="4"/>
  <c r="F24" i="3"/>
  <c r="E24" i="3"/>
  <c r="D24" i="3"/>
  <c r="D2" i="1" a="1"/>
  <c r="D2" i="1" s="1"/>
  <c r="E2" i="1" a="1"/>
  <c r="E2" i="1" s="1"/>
  <c r="F2" i="1" a="1"/>
  <c r="F2" i="1" s="1"/>
  <c r="D3" i="1" a="1"/>
  <c r="D3" i="1" s="1"/>
  <c r="R21" i="4" s="1"/>
  <c r="E3" i="1" a="1"/>
  <c r="E3" i="1" s="1"/>
  <c r="Z21" i="4" s="1"/>
  <c r="F3" i="1" a="1"/>
  <c r="F3" i="1" s="1"/>
  <c r="AH21" i="4" s="1"/>
  <c r="D4" i="1" a="1"/>
  <c r="D4" i="1" s="1"/>
  <c r="E4" i="1" a="1"/>
  <c r="E4" i="1" s="1"/>
  <c r="F4" i="1" a="1"/>
  <c r="F4" i="1" s="1"/>
  <c r="D5" i="1" a="1"/>
  <c r="D5" i="1" s="1"/>
  <c r="D6" i="1" s="1"/>
  <c r="D26" i="3" s="1"/>
  <c r="R19" i="4" s="1"/>
  <c r="E5" i="1" a="1"/>
  <c r="E5" i="1" s="1"/>
  <c r="E6" i="1" s="1"/>
  <c r="E26" i="3" s="1"/>
  <c r="Z19" i="4" s="1"/>
  <c r="F5" i="1" a="1"/>
  <c r="F5" i="1" s="1"/>
  <c r="F6" i="1" s="1"/>
  <c r="F26" i="3" s="1"/>
  <c r="AH19" i="4" s="1"/>
  <c r="D7" i="1" a="1"/>
  <c r="D7" i="1" s="1"/>
  <c r="D8" i="1" s="1"/>
  <c r="D17" i="3" s="1"/>
  <c r="E7" i="1" a="1"/>
  <c r="E7" i="1" s="1"/>
  <c r="E8" i="1" s="1"/>
  <c r="E17" i="3" s="1"/>
  <c r="F7" i="1" a="1"/>
  <c r="F7" i="1" s="1"/>
  <c r="F8" i="1" s="1"/>
  <c r="F17" i="3" s="1"/>
  <c r="D9" i="1" a="1"/>
  <c r="D9" i="1" s="1"/>
  <c r="D11" i="3" s="1"/>
  <c r="D12" i="3" s="1"/>
  <c r="E9" i="1" a="1"/>
  <c r="E9" i="1" s="1"/>
  <c r="E11" i="3" s="1"/>
  <c r="E12" i="3" s="1"/>
  <c r="F9" i="1" a="1"/>
  <c r="F9" i="1" s="1"/>
  <c r="F11" i="3" s="1"/>
  <c r="F12" i="3" s="1"/>
  <c r="D10" i="1" a="1"/>
  <c r="D10" i="1" s="1"/>
  <c r="E10" i="1" a="1"/>
  <c r="E10" i="1" s="1"/>
  <c r="F10" i="1" a="1"/>
  <c r="F10" i="1" s="1"/>
  <c r="D11" i="1" a="1"/>
  <c r="D11" i="1" s="1"/>
  <c r="E11" i="1" a="1"/>
  <c r="E11" i="1" s="1"/>
  <c r="F11" i="1" a="1"/>
  <c r="F11" i="1" s="1"/>
  <c r="AJ21" i="2"/>
  <c r="F16" i="3" s="1"/>
  <c r="AI21" i="2"/>
  <c r="AJ5" i="2"/>
  <c r="AJ6" i="2" s="1"/>
  <c r="AI5" i="2"/>
  <c r="AH21" i="2"/>
  <c r="AG21" i="2"/>
  <c r="AH5" i="2"/>
  <c r="AG5" i="2"/>
  <c r="AG6" i="2" s="1"/>
  <c r="AF21" i="2"/>
  <c r="AF19" i="2"/>
  <c r="AF5" i="2"/>
  <c r="AF6" i="2" s="1"/>
  <c r="AB21" i="2"/>
  <c r="E16" i="3" s="1"/>
  <c r="AA21" i="2"/>
  <c r="AB5" i="2"/>
  <c r="AB6" i="2" s="1"/>
  <c r="AA5" i="2"/>
  <c r="AA4" i="2"/>
  <c r="Z29" i="2"/>
  <c r="Y29" i="2"/>
  <c r="Z21" i="2"/>
  <c r="Y21" i="2"/>
  <c r="Z5" i="2"/>
  <c r="Z6" i="2" s="1"/>
  <c r="Y5" i="2"/>
  <c r="Y6" i="2" s="1"/>
  <c r="X29" i="2"/>
  <c r="X21" i="2"/>
  <c r="E13" i="3" s="1"/>
  <c r="E15" i="3" s="1"/>
  <c r="X5" i="2"/>
  <c r="X6" i="2" s="1"/>
  <c r="X34" i="2" s="1"/>
  <c r="T21" i="2"/>
  <c r="D16" i="3" s="1"/>
  <c r="R17" i="4" s="1"/>
  <c r="S21" i="2"/>
  <c r="T5" i="2"/>
  <c r="T6" i="2" s="1"/>
  <c r="S5" i="2"/>
  <c r="S4" i="2"/>
  <c r="R21" i="2"/>
  <c r="Q21" i="2"/>
  <c r="R5" i="2"/>
  <c r="R6" i="2" s="1"/>
  <c r="Q5" i="2"/>
  <c r="Q6" i="2" s="1"/>
  <c r="P21" i="2"/>
  <c r="P5" i="2"/>
  <c r="P6" i="2" s="1"/>
  <c r="AI6" i="2"/>
  <c r="AH6" i="2"/>
  <c r="R7" i="6" a="1"/>
  <c r="R7" i="6" s="1"/>
  <c r="AA5" i="6"/>
  <c r="AA4" i="6"/>
  <c r="R2" i="6" a="1"/>
  <c r="R2" i="6" s="1"/>
  <c r="F4" i="6"/>
  <c r="F5" i="6"/>
  <c r="F6" i="6"/>
  <c r="I12" i="6"/>
  <c r="H12" i="6"/>
  <c r="H10" i="6"/>
  <c r="B67" i="6"/>
  <c r="B66" i="6"/>
  <c r="B65" i="6"/>
  <c r="B64" i="6"/>
  <c r="B63" i="6"/>
  <c r="B62" i="6"/>
  <c r="A46" i="6"/>
  <c r="A52" i="6" s="1"/>
  <c r="A64" i="6" s="1"/>
  <c r="A44" i="6"/>
  <c r="A50" i="6" s="1"/>
  <c r="A62" i="6" s="1"/>
  <c r="A43" i="6"/>
  <c r="A42" i="6"/>
  <c r="A60" i="6" s="1"/>
  <c r="A61" i="6" s="1"/>
  <c r="A41" i="6"/>
  <c r="A59" i="6" s="1"/>
  <c r="A40" i="6"/>
  <c r="A58" i="6" s="1"/>
  <c r="A39" i="6"/>
  <c r="A57" i="6" s="1"/>
  <c r="A38" i="6"/>
  <c r="A56" i="6" s="1"/>
  <c r="A37" i="6"/>
  <c r="A36" i="6"/>
  <c r="A35" i="6"/>
  <c r="A34" i="6"/>
  <c r="A33" i="6"/>
  <c r="A32" i="6"/>
  <c r="A31" i="6"/>
  <c r="A49" i="6" s="1"/>
  <c r="A55" i="6" s="1"/>
  <c r="A67" i="6" s="1"/>
  <c r="A30" i="6"/>
  <c r="A48" i="6" s="1"/>
  <c r="A54" i="6" s="1"/>
  <c r="A66" i="6" s="1"/>
  <c r="A29" i="6"/>
  <c r="A47" i="6" s="1"/>
  <c r="A53" i="6" s="1"/>
  <c r="A65" i="6" s="1"/>
  <c r="A28" i="6"/>
  <c r="A27" i="6"/>
  <c r="A45" i="6" s="1"/>
  <c r="A51" i="6" s="1"/>
  <c r="A63" i="6" s="1"/>
  <c r="A26" i="6"/>
  <c r="A25" i="6"/>
  <c r="C24" i="6"/>
  <c r="C30" i="6" s="1"/>
  <c r="C36" i="6" s="1"/>
  <c r="C42" i="6" s="1"/>
  <c r="C48" i="6" s="1"/>
  <c r="C54" i="6" s="1"/>
  <c r="C60" i="6" s="1"/>
  <c r="C66" i="6" s="1"/>
  <c r="A24" i="6"/>
  <c r="A23" i="6"/>
  <c r="A22" i="6"/>
  <c r="A21" i="6"/>
  <c r="A20" i="6"/>
  <c r="C19" i="6"/>
  <c r="C25" i="6" s="1"/>
  <c r="C31" i="6" s="1"/>
  <c r="C37" i="6" s="1"/>
  <c r="C43" i="6" s="1"/>
  <c r="C49" i="6" s="1"/>
  <c r="C55" i="6" s="1"/>
  <c r="C61" i="6" s="1"/>
  <c r="C67" i="6" s="1"/>
  <c r="C18" i="6"/>
  <c r="C17" i="6"/>
  <c r="C23" i="6" s="1"/>
  <c r="C29" i="6" s="1"/>
  <c r="C35" i="6" s="1"/>
  <c r="C41" i="6" s="1"/>
  <c r="C47" i="6" s="1"/>
  <c r="C53" i="6" s="1"/>
  <c r="C59" i="6" s="1"/>
  <c r="C65" i="6" s="1"/>
  <c r="C16" i="6"/>
  <c r="C22" i="6" s="1"/>
  <c r="C28" i="6" s="1"/>
  <c r="C34" i="6" s="1"/>
  <c r="C40" i="6" s="1"/>
  <c r="C46" i="6" s="1"/>
  <c r="C52" i="6" s="1"/>
  <c r="C58" i="6" s="1"/>
  <c r="C64" i="6" s="1"/>
  <c r="C13" i="6"/>
  <c r="C12" i="6"/>
  <c r="C11" i="6"/>
  <c r="C10" i="6"/>
  <c r="D7" i="3" l="1"/>
  <c r="AH17" i="4"/>
  <c r="AI10" i="2"/>
  <c r="AI35" i="2" s="1"/>
  <c r="AI34" i="2"/>
  <c r="P10" i="2"/>
  <c r="P35" i="2" s="1"/>
  <c r="P34" i="2"/>
  <c r="T10" i="2"/>
  <c r="T34" i="2"/>
  <c r="Q10" i="2"/>
  <c r="Q35" i="2" s="1"/>
  <c r="Q34" i="2"/>
  <c r="AH10" i="2"/>
  <c r="AH35" i="2" s="1"/>
  <c r="AH34" i="2"/>
  <c r="Y10" i="2"/>
  <c r="Y35" i="2" s="1"/>
  <c r="Y34" i="2"/>
  <c r="AB10" i="2"/>
  <c r="AB34" i="2"/>
  <c r="Z10" i="2"/>
  <c r="Z35" i="2" s="1"/>
  <c r="Z34" i="2"/>
  <c r="AF10" i="2"/>
  <c r="AF35" i="2" s="1"/>
  <c r="AF34" i="2"/>
  <c r="R10" i="2"/>
  <c r="R35" i="2" s="1"/>
  <c r="R34" i="2"/>
  <c r="AJ10" i="2"/>
  <c r="AJ34" i="2"/>
  <c r="AG10" i="2"/>
  <c r="AG35" i="2" s="1"/>
  <c r="AG34" i="2"/>
  <c r="R7" i="4"/>
  <c r="P38" i="2"/>
  <c r="F7" i="3"/>
  <c r="E7" i="3"/>
  <c r="I13" i="3" s="1"/>
  <c r="Z8" i="4" s="1"/>
  <c r="F13" i="3"/>
  <c r="F15" i="3" s="1"/>
  <c r="S6" i="2"/>
  <c r="D13" i="3"/>
  <c r="D15" i="3" s="1"/>
  <c r="Z17" i="4"/>
  <c r="X10" i="2"/>
  <c r="X35" i="2" s="1"/>
  <c r="Z7" i="4"/>
  <c r="Z6" i="4"/>
  <c r="AA3" i="4"/>
  <c r="Y38" i="2" s="1"/>
  <c r="B27" i="5"/>
  <c r="G4" i="6"/>
  <c r="I4" i="6" s="1"/>
  <c r="AA6" i="2"/>
  <c r="F18" i="3"/>
  <c r="F20" i="3" s="1"/>
  <c r="C27" i="5"/>
  <c r="D34" i="6"/>
  <c r="G5" i="6"/>
  <c r="I5" i="6" s="1"/>
  <c r="G6" i="6"/>
  <c r="I6" i="6" s="1"/>
  <c r="R6" i="4"/>
  <c r="I12" i="3"/>
  <c r="R8" i="4" s="1"/>
  <c r="D36" i="6"/>
  <c r="D59" i="6"/>
  <c r="S3" i="4"/>
  <c r="Q38" i="2" s="1"/>
  <c r="B25" i="5"/>
  <c r="B26" i="5"/>
  <c r="M6" i="5"/>
  <c r="K6" i="5" s="1"/>
  <c r="M7" i="5"/>
  <c r="M8" i="5"/>
  <c r="J17" i="5"/>
  <c r="J18" i="5"/>
  <c r="J19" i="5"/>
  <c r="E18" i="3"/>
  <c r="E19" i="3" s="1"/>
  <c r="D18" i="3"/>
  <c r="D20" i="3" s="1"/>
  <c r="H3" i="6"/>
  <c r="H2" i="6"/>
  <c r="D3" i="6"/>
  <c r="D2" i="6"/>
  <c r="D7" i="6" l="1"/>
  <c r="AI3" i="4"/>
  <c r="AG44" i="2" s="1"/>
  <c r="AF44" i="2"/>
  <c r="D42" i="6"/>
  <c r="S10" i="2"/>
  <c r="S35" i="2" s="1"/>
  <c r="S34" i="2"/>
  <c r="D71" i="6"/>
  <c r="AB35" i="2"/>
  <c r="C25" i="5"/>
  <c r="T35" i="2"/>
  <c r="AA10" i="2"/>
  <c r="AA35" i="2" s="1"/>
  <c r="AA34" i="2"/>
  <c r="E4" i="3"/>
  <c r="Z4" i="4" s="1"/>
  <c r="D60" i="6"/>
  <c r="AJ35" i="2"/>
  <c r="D72" i="6"/>
  <c r="D58" i="6"/>
  <c r="C26" i="5"/>
  <c r="D70" i="6"/>
  <c r="F19" i="3"/>
  <c r="F21" i="3" s="1"/>
  <c r="F23" i="3" s="1"/>
  <c r="D4" i="3"/>
  <c r="R4" i="4" s="1"/>
  <c r="AI6" i="4"/>
  <c r="AJ3" i="4"/>
  <c r="AH44" i="2" s="1"/>
  <c r="S7" i="4"/>
  <c r="J12" i="3"/>
  <c r="S8" i="4" s="1"/>
  <c r="S6" i="4"/>
  <c r="AA6" i="4"/>
  <c r="J13" i="3"/>
  <c r="AA8" i="4" s="1"/>
  <c r="AB3" i="4"/>
  <c r="Z38" i="2" s="1"/>
  <c r="AA7" i="4"/>
  <c r="D35" i="6"/>
  <c r="I14" i="3"/>
  <c r="AH8" i="4" s="1"/>
  <c r="AH6" i="4"/>
  <c r="AH7" i="4"/>
  <c r="D41" i="6"/>
  <c r="T3" i="4"/>
  <c r="R38" i="2" s="1"/>
  <c r="I6" i="5"/>
  <c r="L6" i="5"/>
  <c r="K8" i="5"/>
  <c r="L8" i="5"/>
  <c r="I8" i="5"/>
  <c r="I7" i="5"/>
  <c r="K7" i="5"/>
  <c r="L7" i="5"/>
  <c r="D19" i="3"/>
  <c r="D21" i="3" s="1"/>
  <c r="E20" i="3"/>
  <c r="E21" i="3" s="1"/>
  <c r="E23" i="3" s="1"/>
  <c r="AA4" i="4" l="1"/>
  <c r="AI7" i="4"/>
  <c r="J14" i="3"/>
  <c r="D40" i="6"/>
  <c r="AA5" i="4"/>
  <c r="Y40" i="2" s="1"/>
  <c r="Y39" i="2"/>
  <c r="AA9" i="4"/>
  <c r="Y41" i="2" s="1"/>
  <c r="S4" i="4"/>
  <c r="Q39" i="2" s="1"/>
  <c r="Z5" i="4"/>
  <c r="X39" i="2"/>
  <c r="R5" i="4"/>
  <c r="P39" i="2"/>
  <c r="AC3" i="4"/>
  <c r="AA38" i="2" s="1"/>
  <c r="AB4" i="4"/>
  <c r="AB6" i="4"/>
  <c r="K13" i="3"/>
  <c r="AB8" i="4" s="1"/>
  <c r="AB7" i="4"/>
  <c r="AK3" i="4"/>
  <c r="AI44" i="2" s="1"/>
  <c r="AJ6" i="4"/>
  <c r="K14" i="3"/>
  <c r="AJ8" i="4" s="1"/>
  <c r="AJ7" i="4"/>
  <c r="U3" i="4"/>
  <c r="S38" i="2" s="1"/>
  <c r="T6" i="4"/>
  <c r="T4" i="4"/>
  <c r="T7" i="4"/>
  <c r="K12" i="3"/>
  <c r="T8" i="4" s="1"/>
  <c r="AI8" i="4"/>
  <c r="D23" i="3"/>
  <c r="E24" i="5"/>
  <c r="E23" i="5"/>
  <c r="D24" i="5"/>
  <c r="D23" i="5"/>
  <c r="C7" i="5" a="1"/>
  <c r="C7" i="5" s="1"/>
  <c r="C4" i="5" a="1"/>
  <c r="C4" i="5" s="1"/>
  <c r="C5" i="5" a="1"/>
  <c r="C5" i="5" s="1"/>
  <c r="C6" i="5" a="1"/>
  <c r="C6" i="5" s="1"/>
  <c r="C8" i="5" a="1"/>
  <c r="C8" i="5" s="1"/>
  <c r="C9" i="5" a="1"/>
  <c r="C9" i="5" s="1"/>
  <c r="C10" i="5" a="1"/>
  <c r="C10" i="5" s="1"/>
  <c r="C12" i="5" a="1"/>
  <c r="C12" i="5" s="1"/>
  <c r="C15" i="5" a="1"/>
  <c r="C15" i="5" s="1"/>
  <c r="C16" i="5" a="1"/>
  <c r="C16" i="5" s="1"/>
  <c r="C17" i="5" a="1"/>
  <c r="C17" i="5" s="1"/>
  <c r="C3" i="5" a="1"/>
  <c r="C3" i="5" s="1"/>
  <c r="A24" i="5"/>
  <c r="C3" i="6" s="1"/>
  <c r="A23" i="5"/>
  <c r="C2" i="6" s="1"/>
  <c r="E20" i="5"/>
  <c r="D20" i="5"/>
  <c r="B20" i="5"/>
  <c r="S5" i="4" l="1"/>
  <c r="Q40" i="2" s="1"/>
  <c r="S9" i="4"/>
  <c r="Q41" i="2" s="1"/>
  <c r="AB5" i="4"/>
  <c r="Z40" i="2" s="1"/>
  <c r="Z39" i="2"/>
  <c r="X40" i="2"/>
  <c r="Z9" i="4"/>
  <c r="X41" i="2" s="1"/>
  <c r="T5" i="4"/>
  <c r="R40" i="2" s="1"/>
  <c r="R39" i="2"/>
  <c r="P40" i="2"/>
  <c r="R9" i="4"/>
  <c r="P41" i="2" s="1"/>
  <c r="AK6" i="4"/>
  <c r="AK7" i="4"/>
  <c r="AL3" i="4"/>
  <c r="AJ44" i="2" s="1"/>
  <c r="L14" i="3"/>
  <c r="AK8" i="4" s="1"/>
  <c r="AB9" i="4"/>
  <c r="Z41" i="2" s="1"/>
  <c r="AC4" i="4"/>
  <c r="AC6" i="4"/>
  <c r="AC7" i="4"/>
  <c r="AD3" i="4"/>
  <c r="AB38" i="2" s="1"/>
  <c r="L13" i="3"/>
  <c r="AC8" i="4" s="1"/>
  <c r="V3" i="4"/>
  <c r="T38" i="2" s="1"/>
  <c r="U6" i="4"/>
  <c r="U7" i="4"/>
  <c r="U4" i="4"/>
  <c r="L12" i="3"/>
  <c r="U8" i="4" s="1"/>
  <c r="C8" i="6"/>
  <c r="C14" i="6" s="1"/>
  <c r="C20" i="6" s="1"/>
  <c r="C26" i="6" s="1"/>
  <c r="C32" i="6" s="1"/>
  <c r="C38" i="6" s="1"/>
  <c r="C44" i="6" s="1"/>
  <c r="C50" i="6" s="1"/>
  <c r="C56" i="6" s="1"/>
  <c r="C62" i="6" s="1"/>
  <c r="F2" i="6"/>
  <c r="C9" i="6"/>
  <c r="C15" i="6" s="1"/>
  <c r="C21" i="6" s="1"/>
  <c r="C27" i="6" s="1"/>
  <c r="C33" i="6" s="1"/>
  <c r="C39" i="6" s="1"/>
  <c r="C45" i="6" s="1"/>
  <c r="C51" i="6" s="1"/>
  <c r="C57" i="6" s="1"/>
  <c r="C63" i="6" s="1"/>
  <c r="F3" i="6"/>
  <c r="C20" i="5"/>
  <c r="AC5" i="4" l="1"/>
  <c r="AA40" i="2" s="1"/>
  <c r="AA39" i="2"/>
  <c r="T9" i="4"/>
  <c r="R41" i="2" s="1"/>
  <c r="U5" i="4"/>
  <c r="S40" i="2" s="1"/>
  <c r="S39" i="2"/>
  <c r="AC9" i="4"/>
  <c r="AA41" i="2" s="1"/>
  <c r="AD7" i="4"/>
  <c r="AD4" i="4"/>
  <c r="AD6" i="4"/>
  <c r="AE3" i="4"/>
  <c r="M13" i="3"/>
  <c r="AD8" i="4" s="1"/>
  <c r="AL6" i="4"/>
  <c r="AL7" i="4"/>
  <c r="AM3" i="4"/>
  <c r="AK44" i="2" s="1"/>
  <c r="M14" i="3"/>
  <c r="AL8" i="4" s="1"/>
  <c r="W3" i="4"/>
  <c r="U38" i="2" s="1"/>
  <c r="M12" i="3"/>
  <c r="V8" i="4" s="1"/>
  <c r="V6" i="4"/>
  <c r="V4" i="4"/>
  <c r="V7" i="4"/>
  <c r="J7" i="5"/>
  <c r="I18" i="5" s="1"/>
  <c r="K18" i="5" s="1"/>
  <c r="J8" i="5"/>
  <c r="I19" i="5" s="1"/>
  <c r="K19" i="5" s="1"/>
  <c r="J6" i="5"/>
  <c r="I17" i="5" s="1"/>
  <c r="K17" i="5" s="1"/>
  <c r="U9" i="4"/>
  <c r="S41" i="2" s="1"/>
  <c r="M21" i="2"/>
  <c r="L21" i="2"/>
  <c r="M5" i="2"/>
  <c r="L5" i="2"/>
  <c r="K21" i="2"/>
  <c r="J21" i="2"/>
  <c r="K5" i="2"/>
  <c r="J5" i="2"/>
  <c r="I21" i="2"/>
  <c r="I5" i="2"/>
  <c r="AD5" i="4" l="1"/>
  <c r="AB40" i="2" s="1"/>
  <c r="AB39" i="2"/>
  <c r="D47" i="6"/>
  <c r="AC38" i="2"/>
  <c r="V5" i="4"/>
  <c r="T40" i="2" s="1"/>
  <c r="T39" i="2"/>
  <c r="AD9" i="4"/>
  <c r="AB41" i="2" s="1"/>
  <c r="W7" i="4"/>
  <c r="N12" i="3"/>
  <c r="W8" i="4" s="1"/>
  <c r="W4" i="4"/>
  <c r="W6" i="4"/>
  <c r="L4" i="6" s="1"/>
  <c r="D46" i="6"/>
  <c r="N14" i="3"/>
  <c r="AM8" i="4" s="1"/>
  <c r="AM7" i="4"/>
  <c r="AM6" i="4"/>
  <c r="L6" i="6" s="1"/>
  <c r="D48" i="6"/>
  <c r="N13" i="3"/>
  <c r="AE8" i="4" s="1"/>
  <c r="AE7" i="4"/>
  <c r="AE4" i="4"/>
  <c r="AC39" i="2" s="1"/>
  <c r="AE6" i="4"/>
  <c r="L5" i="6" s="1"/>
  <c r="V9" i="4"/>
  <c r="T41" i="2" s="1"/>
  <c r="F29" i="2"/>
  <c r="E29" i="2"/>
  <c r="F28" i="2"/>
  <c r="E28" i="2"/>
  <c r="E22" i="2"/>
  <c r="F21" i="2"/>
  <c r="B16" i="3" s="1"/>
  <c r="E21" i="2"/>
  <c r="F16" i="2"/>
  <c r="E16" i="2"/>
  <c r="F14" i="2"/>
  <c r="B24" i="3" s="1"/>
  <c r="E14" i="2"/>
  <c r="D29" i="2"/>
  <c r="D28" i="2"/>
  <c r="D21" i="2"/>
  <c r="D16" i="2"/>
  <c r="D14" i="2"/>
  <c r="F5" i="2"/>
  <c r="E5" i="2"/>
  <c r="D5" i="2"/>
  <c r="D6" i="2" s="1"/>
  <c r="D10" i="2" s="1"/>
  <c r="F4" i="2"/>
  <c r="E4" i="2"/>
  <c r="D4" i="2"/>
  <c r="C29" i="2"/>
  <c r="B29" i="2"/>
  <c r="C28" i="2"/>
  <c r="B28" i="2"/>
  <c r="C21" i="2"/>
  <c r="B21" i="2"/>
  <c r="C16" i="2"/>
  <c r="B16" i="2"/>
  <c r="C5" i="2"/>
  <c r="B5" i="2"/>
  <c r="C4" i="2"/>
  <c r="B4" i="2"/>
  <c r="C24" i="3"/>
  <c r="C16" i="3"/>
  <c r="C13" i="3"/>
  <c r="C15" i="3" s="1"/>
  <c r="C6" i="3"/>
  <c r="B6" i="3"/>
  <c r="C5" i="3"/>
  <c r="B5" i="3"/>
  <c r="C3" i="3"/>
  <c r="B3" i="3"/>
  <c r="J3" i="3"/>
  <c r="K3" i="3"/>
  <c r="L3" i="3"/>
  <c r="M3" i="3"/>
  <c r="J4" i="3"/>
  <c r="K4" i="3"/>
  <c r="L4" i="3"/>
  <c r="M4" i="3"/>
  <c r="I4" i="3"/>
  <c r="I3" i="3"/>
  <c r="H11" i="3"/>
  <c r="H10" i="3"/>
  <c r="L6" i="2"/>
  <c r="L10" i="2" s="1"/>
  <c r="M6" i="2"/>
  <c r="C6" i="2"/>
  <c r="C10" i="2" s="1"/>
  <c r="K6" i="2"/>
  <c r="K10" i="2" s="1"/>
  <c r="J6" i="2"/>
  <c r="J10" i="2" s="1"/>
  <c r="I6" i="2"/>
  <c r="C2" i="1" a="1"/>
  <c r="C2" i="1" s="1"/>
  <c r="C3" i="1" a="1"/>
  <c r="C3" i="1" s="1"/>
  <c r="C4" i="1" a="1"/>
  <c r="C4" i="1" s="1"/>
  <c r="C5" i="1" a="1"/>
  <c r="C5" i="1" s="1"/>
  <c r="C6" i="1" s="1"/>
  <c r="C26" i="3" s="1"/>
  <c r="M5" i="5" s="1"/>
  <c r="C7" i="1" a="1"/>
  <c r="C7" i="1" s="1"/>
  <c r="C8" i="1" s="1"/>
  <c r="C17" i="3" s="1"/>
  <c r="C9" i="1" a="1"/>
  <c r="C9" i="1" s="1"/>
  <c r="C11" i="3" s="1"/>
  <c r="C12" i="3" s="1"/>
  <c r="AB5" i="6" s="1"/>
  <c r="C10" i="1" a="1"/>
  <c r="C10" i="1" s="1"/>
  <c r="C11" i="1" a="1"/>
  <c r="C11" i="1" s="1"/>
  <c r="B11" i="1" a="1"/>
  <c r="B11" i="1" s="1"/>
  <c r="B10" i="1" a="1"/>
  <c r="B10" i="1" s="1"/>
  <c r="B9" i="1" a="1"/>
  <c r="B9" i="1" s="1"/>
  <c r="B11" i="3" s="1"/>
  <c r="B7" i="1" a="1"/>
  <c r="B7" i="1" s="1"/>
  <c r="B8" i="1" s="1"/>
  <c r="B17" i="3" s="1"/>
  <c r="B5" i="1" a="1"/>
  <c r="B5" i="1" s="1"/>
  <c r="B6" i="1" s="1"/>
  <c r="B26" i="3" s="1"/>
  <c r="M4" i="5" s="1"/>
  <c r="B4" i="1" a="1"/>
  <c r="B4" i="1" s="1"/>
  <c r="B3" i="1" a="1"/>
  <c r="B3" i="1" s="1"/>
  <c r="B2" i="1" a="1"/>
  <c r="B2" i="1" s="1"/>
  <c r="J4" i="6" l="1"/>
  <c r="U39" i="2"/>
  <c r="W5" i="4"/>
  <c r="U40" i="2" s="1"/>
  <c r="B6" i="2"/>
  <c r="E6" i="2"/>
  <c r="E10" i="2" s="1"/>
  <c r="J5" i="6"/>
  <c r="AE5" i="4"/>
  <c r="AC40" i="2" s="1"/>
  <c r="D17" i="6"/>
  <c r="D23" i="6" s="1"/>
  <c r="D29" i="6" s="1"/>
  <c r="D11" i="6"/>
  <c r="D16" i="6"/>
  <c r="D22" i="6" s="1"/>
  <c r="D28" i="6" s="1"/>
  <c r="D10" i="6"/>
  <c r="B13" i="3"/>
  <c r="B15" i="3" s="1"/>
  <c r="D18" i="6"/>
  <c r="D24" i="6" s="1"/>
  <c r="D30" i="6" s="1"/>
  <c r="D12" i="6"/>
  <c r="B12" i="3"/>
  <c r="AB4" i="6" s="1"/>
  <c r="L4" i="5"/>
  <c r="K4" i="5"/>
  <c r="K5" i="5"/>
  <c r="L5" i="5"/>
  <c r="B10" i="2"/>
  <c r="F6" i="2"/>
  <c r="B3" i="4"/>
  <c r="B7" i="4" s="1"/>
  <c r="I19" i="3"/>
  <c r="I10" i="2"/>
  <c r="D33" i="6"/>
  <c r="R8" i="6" a="1"/>
  <c r="R8" i="6" s="1"/>
  <c r="M10" i="2"/>
  <c r="D69" i="6" s="1"/>
  <c r="G3" i="6"/>
  <c r="I3" i="6" s="1"/>
  <c r="B24" i="5"/>
  <c r="I5" i="5" s="1"/>
  <c r="J3" i="4"/>
  <c r="I20" i="3"/>
  <c r="B19" i="4"/>
  <c r="J19" i="4"/>
  <c r="B21" i="4"/>
  <c r="AD4" i="6" s="1"/>
  <c r="J15" i="5"/>
  <c r="J21" i="4"/>
  <c r="AD5" i="6" s="1"/>
  <c r="J16" i="5"/>
  <c r="J17" i="4"/>
  <c r="C7" i="3"/>
  <c r="C4" i="3"/>
  <c r="B17" i="4"/>
  <c r="B7" i="3"/>
  <c r="W9" i="4" l="1"/>
  <c r="U41" i="2" s="1"/>
  <c r="D64" i="6"/>
  <c r="K6" i="6"/>
  <c r="M6" i="6" s="1"/>
  <c r="D54" i="6"/>
  <c r="R13" i="4"/>
  <c r="R14" i="4" s="1"/>
  <c r="R15" i="4"/>
  <c r="D53" i="6"/>
  <c r="K5" i="6"/>
  <c r="M5" i="6" s="1"/>
  <c r="N5" i="6" s="1"/>
  <c r="O5" i="6" s="1"/>
  <c r="D65" i="6"/>
  <c r="AE9" i="4"/>
  <c r="AC41" i="2" s="1"/>
  <c r="D52" i="6"/>
  <c r="K4" i="6"/>
  <c r="M4" i="6" s="1"/>
  <c r="N4" i="6" s="1"/>
  <c r="O4" i="6" s="1"/>
  <c r="B6" i="4"/>
  <c r="J4" i="4"/>
  <c r="J5" i="4" s="1"/>
  <c r="I11" i="3"/>
  <c r="J8" i="4" s="1"/>
  <c r="K3" i="4"/>
  <c r="K7" i="4" s="1"/>
  <c r="C3" i="4"/>
  <c r="C7" i="4" s="1"/>
  <c r="I10" i="3"/>
  <c r="B8" i="4" s="1"/>
  <c r="F10" i="2"/>
  <c r="D68" i="6" s="1"/>
  <c r="D73" i="6" s="1"/>
  <c r="G2" i="6"/>
  <c r="I2" i="6" s="1"/>
  <c r="I7" i="6" s="1"/>
  <c r="B23" i="5"/>
  <c r="I4" i="5" s="1"/>
  <c r="D57" i="6"/>
  <c r="C24" i="5"/>
  <c r="J5" i="5" s="1"/>
  <c r="I16" i="5" s="1"/>
  <c r="R3" i="6" a="1"/>
  <c r="R3" i="6" s="1"/>
  <c r="R9" i="6" a="1"/>
  <c r="R9" i="6" s="1"/>
  <c r="D39" i="6"/>
  <c r="D32" i="6"/>
  <c r="D37" i="6" s="1"/>
  <c r="J6" i="4"/>
  <c r="B4" i="3"/>
  <c r="B4" i="4" s="1"/>
  <c r="J7" i="4"/>
  <c r="R16" i="4" l="1"/>
  <c r="R18" i="4" s="1"/>
  <c r="R20" i="4" s="1"/>
  <c r="R22" i="4" s="1"/>
  <c r="K6" i="4"/>
  <c r="K4" i="4"/>
  <c r="K5" i="4" s="1"/>
  <c r="Z13" i="4"/>
  <c r="Z14" i="4" s="1"/>
  <c r="Z15" i="4"/>
  <c r="R4" i="6" a="1"/>
  <c r="R4" i="6" s="1"/>
  <c r="D38" i="6"/>
  <c r="D43" i="6" s="1"/>
  <c r="K16" i="5"/>
  <c r="C6" i="4"/>
  <c r="C4" i="4"/>
  <c r="C5" i="4" s="1"/>
  <c r="B5" i="4"/>
  <c r="D3" i="4"/>
  <c r="J10" i="3"/>
  <c r="C8" i="4" s="1"/>
  <c r="J11" i="3"/>
  <c r="L3" i="4"/>
  <c r="L6" i="4" s="1"/>
  <c r="J9" i="4"/>
  <c r="D56" i="6"/>
  <c r="D61" i="6" s="1"/>
  <c r="H13" i="6" s="1"/>
  <c r="C23" i="5"/>
  <c r="C9" i="4" l="1"/>
  <c r="K8" i="4"/>
  <c r="K9" i="4" s="1"/>
  <c r="J4" i="5"/>
  <c r="I15" i="5" s="1"/>
  <c r="K15" i="5" s="1"/>
  <c r="Z16" i="4"/>
  <c r="Z18" i="4" s="1"/>
  <c r="Z20" i="4" s="1"/>
  <c r="Z22" i="4" s="1"/>
  <c r="L7" i="4"/>
  <c r="L4" i="4"/>
  <c r="L5" i="4" s="1"/>
  <c r="E3" i="4"/>
  <c r="E6" i="4" s="1"/>
  <c r="K10" i="3"/>
  <c r="D8" i="4" s="1"/>
  <c r="D4" i="4"/>
  <c r="M3" i="4"/>
  <c r="M7" i="4" s="1"/>
  <c r="K11" i="3"/>
  <c r="L8" i="4" s="1"/>
  <c r="B9" i="4"/>
  <c r="D7" i="4"/>
  <c r="D6" i="4"/>
  <c r="E7" i="4" l="1"/>
  <c r="L9" i="4"/>
  <c r="M4" i="4"/>
  <c r="M5" i="4" s="1"/>
  <c r="M6" i="4"/>
  <c r="F3" i="4"/>
  <c r="F6" i="4" s="1"/>
  <c r="L10" i="3"/>
  <c r="E8" i="4" s="1"/>
  <c r="N3" i="4"/>
  <c r="N6" i="4" s="1"/>
  <c r="L11" i="3"/>
  <c r="E4" i="4"/>
  <c r="E5" i="4" s="1"/>
  <c r="D5" i="4"/>
  <c r="C18" i="3"/>
  <c r="B18" i="3"/>
  <c r="M8" i="4" l="1"/>
  <c r="M9" i="4" s="1"/>
  <c r="E9" i="4"/>
  <c r="F7" i="4"/>
  <c r="N4" i="4"/>
  <c r="N5" i="4" s="1"/>
  <c r="F4" i="4"/>
  <c r="F5" i="4" s="1"/>
  <c r="N7" i="4"/>
  <c r="O3" i="4"/>
  <c r="O4" i="4" s="1"/>
  <c r="R19" i="6" s="1" a="1"/>
  <c r="R19" i="6" s="1"/>
  <c r="M11" i="3"/>
  <c r="N8" i="4" s="1"/>
  <c r="D9" i="4"/>
  <c r="G3" i="4"/>
  <c r="N10" i="3" s="1"/>
  <c r="M10" i="3"/>
  <c r="F8" i="4" s="1"/>
  <c r="B20" i="3"/>
  <c r="B19" i="3"/>
  <c r="C20" i="3"/>
  <c r="C19" i="3"/>
  <c r="G8" i="4" l="1"/>
  <c r="F9" i="4"/>
  <c r="R12" i="6" a="1"/>
  <c r="R12" i="6" s="1"/>
  <c r="N9" i="4"/>
  <c r="D44" i="6"/>
  <c r="N11" i="3"/>
  <c r="O8" i="4" s="1"/>
  <c r="R18" i="6" a="1"/>
  <c r="R18" i="6" s="1"/>
  <c r="G4" i="4"/>
  <c r="G6" i="4"/>
  <c r="L2" i="6" s="1"/>
  <c r="D45" i="6"/>
  <c r="O5" i="4"/>
  <c r="J3" i="6"/>
  <c r="O7" i="4"/>
  <c r="G7" i="4"/>
  <c r="O6" i="4"/>
  <c r="L3" i="6" s="1"/>
  <c r="B21" i="3"/>
  <c r="C21" i="3"/>
  <c r="Z5" i="6" s="1"/>
  <c r="Z4" i="6" l="1"/>
  <c r="D49" i="6"/>
  <c r="O9" i="4"/>
  <c r="R21" i="6" s="1" a="1"/>
  <c r="R21" i="6" s="1"/>
  <c r="D14" i="6"/>
  <c r="D8" i="6"/>
  <c r="K2" i="6" s="1"/>
  <c r="M2" i="6" s="1"/>
  <c r="G5" i="4"/>
  <c r="J2" i="6"/>
  <c r="R13" i="6" a="1"/>
  <c r="R13" i="6" s="1"/>
  <c r="D15" i="6"/>
  <c r="D21" i="6" s="1"/>
  <c r="D27" i="6" s="1"/>
  <c r="D9" i="6"/>
  <c r="D63" i="6"/>
  <c r="R20" i="6" a="1"/>
  <c r="R20" i="6" s="1"/>
  <c r="B23" i="3"/>
  <c r="C23" i="3"/>
  <c r="D51" i="6" l="1"/>
  <c r="K3" i="6"/>
  <c r="M3" i="6" s="1"/>
  <c r="N3" i="6" s="1"/>
  <c r="O3" i="6" s="1"/>
  <c r="J15" i="4"/>
  <c r="N2" i="6"/>
  <c r="J13" i="4"/>
  <c r="J14" i="4" s="1"/>
  <c r="O2" i="6"/>
  <c r="O7" i="6" s="1"/>
  <c r="N7" i="6"/>
  <c r="D62" i="6"/>
  <c r="R14" i="6" a="1"/>
  <c r="R14" i="6" s="1"/>
  <c r="G9" i="4"/>
  <c r="D50" i="6"/>
  <c r="D13" i="6"/>
  <c r="D20" i="6"/>
  <c r="D19" i="6"/>
  <c r="D55" i="6" l="1"/>
  <c r="J16" i="4"/>
  <c r="J18" i="4" s="1"/>
  <c r="J20" i="4" s="1"/>
  <c r="AC5" i="6" s="1"/>
  <c r="AE5" i="6" s="1"/>
  <c r="R15" i="6" a="1"/>
  <c r="R15" i="6" s="1"/>
  <c r="B13" i="4"/>
  <c r="B14" i="4" s="1"/>
  <c r="B15" i="4"/>
  <c r="D26" i="6"/>
  <c r="D31" i="6" s="1"/>
  <c r="D25" i="6"/>
  <c r="J22" i="4" l="1"/>
  <c r="B16" i="4"/>
  <c r="B18" i="4" s="1"/>
  <c r="B20" i="4" s="1"/>
  <c r="AC4" i="6" l="1"/>
  <c r="AE4" i="6" s="1"/>
  <c r="B22" i="4"/>
  <c r="F4" i="3" l="1"/>
  <c r="AI4" i="4" s="1"/>
  <c r="AI5" i="4" s="1"/>
  <c r="AI9" i="4" s="1"/>
  <c r="AM4" i="4" l="1"/>
  <c r="AL4" i="4"/>
  <c r="AL5" i="4" s="1"/>
  <c r="AL9" i="4" s="1"/>
  <c r="AJ4" i="4"/>
  <c r="AJ5" i="4" s="1"/>
  <c r="AJ9" i="4" s="1"/>
  <c r="AH4" i="4"/>
  <c r="AK4" i="4"/>
  <c r="AK5" i="4" s="1"/>
  <c r="AK9" i="4" s="1"/>
  <c r="AH5" i="4" l="1"/>
  <c r="AM5" i="4"/>
  <c r="J6" i="6"/>
  <c r="N6" i="6" s="1"/>
  <c r="O6" i="6" s="1"/>
  <c r="D66" i="6" l="1"/>
  <c r="D67" i="6" s="1"/>
  <c r="I13" i="6" s="1"/>
  <c r="AM9" i="4"/>
  <c r="AH13" i="4" s="1"/>
  <c r="AH14" i="4" s="1"/>
  <c r="AH9" i="4"/>
  <c r="AH15" i="4" l="1"/>
  <c r="AH16" i="4" s="1"/>
  <c r="AH18" i="4" s="1"/>
  <c r="AH20" i="4" s="1"/>
  <c r="AH2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7"/>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5"/>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<sst xmlns="http://schemas.openxmlformats.org/spreadsheetml/2006/main" count="641" uniqueCount="146">
  <si>
    <t>Company</t>
  </si>
  <si>
    <t>Name</t>
  </si>
  <si>
    <t>Share price</t>
  </si>
  <si>
    <t>Change (%)</t>
  </si>
  <si>
    <t>Shares outstanding</t>
  </si>
  <si>
    <t>in mn</t>
  </si>
  <si>
    <t>Market cap</t>
  </si>
  <si>
    <t>Beta</t>
  </si>
  <si>
    <t>P/E</t>
  </si>
  <si>
    <t>Year</t>
  </si>
  <si>
    <t>INCOME STATEMENT</t>
  </si>
  <si>
    <t>Particulars</t>
  </si>
  <si>
    <t>2020</t>
  </si>
  <si>
    <t>2021</t>
  </si>
  <si>
    <t>2022</t>
  </si>
  <si>
    <t>2023</t>
  </si>
  <si>
    <t>2024</t>
  </si>
  <si>
    <t>Revenue</t>
  </si>
  <si>
    <t>Cost of sales</t>
  </si>
  <si>
    <t>Opex</t>
  </si>
  <si>
    <t>Operating income (EBIT)</t>
  </si>
  <si>
    <t>Depreciation &amp; Amortization</t>
  </si>
  <si>
    <t>Interest expense</t>
  </si>
  <si>
    <t>Income tax</t>
  </si>
  <si>
    <t>Net income</t>
  </si>
  <si>
    <t>BALANCE SHEET</t>
  </si>
  <si>
    <t>Cash &amp; Cash equivalents</t>
  </si>
  <si>
    <t>Accounts receivables</t>
  </si>
  <si>
    <t>Inventories</t>
  </si>
  <si>
    <t>Total current assets</t>
  </si>
  <si>
    <t>PPE</t>
  </si>
  <si>
    <t>Accounts payables</t>
  </si>
  <si>
    <t>Total current liabilities</t>
  </si>
  <si>
    <t>Total debt</t>
  </si>
  <si>
    <t>Shareholder's equity</t>
  </si>
  <si>
    <t>CASH FLOW STATEMENT</t>
  </si>
  <si>
    <t>Cash flow from operating activities</t>
  </si>
  <si>
    <t>Capex</t>
  </si>
  <si>
    <t>Dividends paid</t>
  </si>
  <si>
    <t>Debt repaid</t>
  </si>
  <si>
    <t>Assumptions</t>
  </si>
  <si>
    <t>Metric</t>
  </si>
  <si>
    <t>Current</t>
  </si>
  <si>
    <t>Revenue CAGR</t>
  </si>
  <si>
    <t>Operating margin (EBIT)</t>
  </si>
  <si>
    <t>Depreciation rate</t>
  </si>
  <si>
    <t>CapEx</t>
  </si>
  <si>
    <t>Forecast</t>
  </si>
  <si>
    <t>2025</t>
  </si>
  <si>
    <t>2026</t>
  </si>
  <si>
    <t>2027</t>
  </si>
  <si>
    <t>2028</t>
  </si>
  <si>
    <t>2029</t>
  </si>
  <si>
    <t>2030</t>
  </si>
  <si>
    <t>Working capital</t>
  </si>
  <si>
    <t>Forecast horizon (yrs)</t>
  </si>
  <si>
    <t>Risk-free rate</t>
  </si>
  <si>
    <t>Equity risk premium</t>
  </si>
  <si>
    <t>Cost of equity</t>
  </si>
  <si>
    <t>Kd (pre-tax)</t>
  </si>
  <si>
    <t>Tax rate</t>
  </si>
  <si>
    <t>Kd (after tax)</t>
  </si>
  <si>
    <t>Total capital</t>
  </si>
  <si>
    <t>Debt weight</t>
  </si>
  <si>
    <t>Equity weight</t>
  </si>
  <si>
    <t>WACC</t>
  </si>
  <si>
    <t>Terminal year</t>
  </si>
  <si>
    <t>PV discount rate (terminal year)</t>
  </si>
  <si>
    <t>Cash &amp; cash equivalents</t>
  </si>
  <si>
    <t>Terminal growth rate</t>
  </si>
  <si>
    <t>Shares Outstanding</t>
  </si>
  <si>
    <t>Exxon</t>
  </si>
  <si>
    <t>Chevron</t>
  </si>
  <si>
    <t>WC-Exxon</t>
  </si>
  <si>
    <t>WC-Chevron</t>
  </si>
  <si>
    <t>DCF</t>
  </si>
  <si>
    <t>EBIT</t>
  </si>
  <si>
    <t>NOPAT</t>
  </si>
  <si>
    <t>Depreciation</t>
  </si>
  <si>
    <t xml:space="preserve"> Change in Working capital</t>
  </si>
  <si>
    <t>FCFF</t>
  </si>
  <si>
    <t>Metrics</t>
  </si>
  <si>
    <t>Value</t>
  </si>
  <si>
    <t>Terminal Value</t>
  </si>
  <si>
    <t>PV of Terminal value</t>
  </si>
  <si>
    <t>PV of FCFF</t>
  </si>
  <si>
    <t>Total enterprise value</t>
  </si>
  <si>
    <t>Net debt</t>
  </si>
  <si>
    <t>Total equity value</t>
  </si>
  <si>
    <t>Outstanding shares</t>
  </si>
  <si>
    <t>Intrinsic value</t>
  </si>
  <si>
    <t>Current market price</t>
  </si>
  <si>
    <t>Upside/Downside</t>
  </si>
  <si>
    <t>Revenue CAGR-Exxon</t>
  </si>
  <si>
    <t>Revenue CAGR-Chevron</t>
  </si>
  <si>
    <t>1</t>
  </si>
  <si>
    <t>2</t>
  </si>
  <si>
    <t>3</t>
  </si>
  <si>
    <t>4</t>
  </si>
  <si>
    <t>5</t>
  </si>
  <si>
    <t>6</t>
  </si>
  <si>
    <t>RELATIVE</t>
  </si>
  <si>
    <t>EV/EBITDA</t>
  </si>
  <si>
    <t>P/S</t>
  </si>
  <si>
    <t>P/B</t>
  </si>
  <si>
    <t>Target Price</t>
  </si>
  <si>
    <t>CMP</t>
  </si>
  <si>
    <t>U/D</t>
  </si>
  <si>
    <t>Average</t>
  </si>
  <si>
    <t>EBITDA</t>
  </si>
  <si>
    <t>Net Income</t>
  </si>
  <si>
    <t>Book Value</t>
  </si>
  <si>
    <t>Change in EBIT (historical)</t>
  </si>
  <si>
    <t>Change in CE</t>
  </si>
  <si>
    <t>Incremental ROCE (Historical)</t>
  </si>
  <si>
    <t>Change in EBIT (Forecast)</t>
  </si>
  <si>
    <t>Effective capital</t>
  </si>
  <si>
    <t>Raw ROCE</t>
  </si>
  <si>
    <t>Adjusted ROCE (Forecast)</t>
  </si>
  <si>
    <t>2020-24</t>
  </si>
  <si>
    <t>Avg Capex</t>
  </si>
  <si>
    <t>2025-30</t>
  </si>
  <si>
    <t>Capex CAGR</t>
  </si>
  <si>
    <t>GDP</t>
  </si>
  <si>
    <t>Earnings CAGR</t>
  </si>
  <si>
    <t>Change</t>
  </si>
  <si>
    <t>Sensitivity</t>
  </si>
  <si>
    <t>Earnings Growth</t>
  </si>
  <si>
    <t>EBITDA Margin</t>
  </si>
  <si>
    <t>NPM</t>
  </si>
  <si>
    <t>Operating income</t>
  </si>
  <si>
    <t>Terminal growth</t>
  </si>
  <si>
    <t>Intrinsic Value</t>
  </si>
  <si>
    <t>ExxonMobil</t>
  </si>
  <si>
    <t>ConocoP</t>
  </si>
  <si>
    <t>MP</t>
  </si>
  <si>
    <t>Phillips66</t>
  </si>
  <si>
    <t>Avg Revenue (Exp)</t>
  </si>
  <si>
    <t>Capex Intensity</t>
  </si>
  <si>
    <t>Total Assets</t>
  </si>
  <si>
    <t>Total assets</t>
  </si>
  <si>
    <t>Conoco</t>
  </si>
  <si>
    <t>WC-Conoco</t>
  </si>
  <si>
    <t>WC-MP</t>
  </si>
  <si>
    <t>WC-Phillips66</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</si>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</sst>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409]* #,##0.00_);_([$$-409]* \(#,##0.00\);_([$$-409]* &quot;-&quot;??_);_(@_)"/>
    <numFmt numFmtId="165" formatCode="_([$$-409]* #,##0_);_([$$-409]* \(#,##0\);_([$$-409]* &quot;-&quot;_);_(@_)"/>
    <numFmt numFmtId="166" formatCode="_-[$$-409]* #,##0.00_ ;_-[$$-409]* \-#,##0.00\ ;_-[$$-409]* &quot;-&quot;??_ ;_-@_ "/>
    <numFmt numFmtId="167" formatCode="0.0%"/>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9">
    <fill>
      <patternFill patternType="none"/>
    </fill>
    <fill>
      <patternFill patternType="gray125"/>
    </fill>
    <fill>
      <patternFill patternType="solid">
        <fgColor theme="9" tint="-0.499984740745262"/>
        <bgColor indexed="64"/>
      </patternFill>
    </fill>
    <fill>
      <patternFill patternType="solid">
        <fgColor theme="0" tint="-4.9989318521683403E-2"/>
        <bgColor indexed="64"/>
      </patternFill>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1"/>
        <bgColor theme="1"/>
      </patternFill>
    </fill>
    <fill>
      <patternFill patternType="solid">
        <fgColor theme="0" tint="-0.14999847407452621"/>
        <bgColor theme="0" tint="-0.14999847407452621"/>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5">
    <xf numFmtId="0" fontId="0" fillId="0" borderId="0" xfId="0"/>
    <xf numFmtId="0" fontId="0" fillId="0" borderId="0" xfId="0" applyAlignment="1">
      <alignment vertical="center" wrapText="1"/>
    </xf>
    <xf numFmtId="0" fontId="0" fillId="0" borderId="0" xfId="0" applyAlignment="1">
      <alignment horizontal="right" vertical="center" wrapText="1"/>
    </xf>
    <xf numFmtId="0" fontId="2" fillId="2" borderId="0" xfId="0" applyFont="1" applyFill="1" applyAlignment="1">
      <alignment vertical="center" wrapText="1"/>
    </xf>
    <xf numFmtId="0" fontId="2" fillId="2" borderId="0" xfId="0" applyFont="1" applyFill="1" applyAlignment="1">
      <alignment horizontal="right" vertical="center" wrapText="1"/>
    </xf>
    <xf numFmtId="0" fontId="0" fillId="0" borderId="1" xfId="0" applyBorder="1" applyAlignment="1">
      <alignment vertical="center" wrapText="1"/>
    </xf>
    <xf numFmtId="164" fontId="0" fillId="0" borderId="1" xfId="0" applyNumberFormat="1" applyBorder="1" applyAlignment="1">
      <alignment horizontal="right" vertical="center" wrapText="1"/>
    </xf>
    <xf numFmtId="10" fontId="0" fillId="0" borderId="1" xfId="0" applyNumberFormat="1" applyBorder="1" applyAlignment="1">
      <alignment horizontal="right" vertical="center" wrapText="1"/>
    </xf>
    <xf numFmtId="3" fontId="0" fillId="0" borderId="1" xfId="0" applyNumberFormat="1" applyBorder="1" applyAlignment="1">
      <alignment horizontal="right" vertical="center" wrapText="1"/>
    </xf>
    <xf numFmtId="43" fontId="0" fillId="0" borderId="1" xfId="1" applyFont="1" applyBorder="1" applyAlignment="1">
      <alignment horizontal="right" vertical="center" wrapText="1"/>
    </xf>
    <xf numFmtId="165" fontId="0" fillId="0" borderId="1" xfId="0" applyNumberFormat="1" applyBorder="1" applyAlignment="1">
      <alignment horizontal="right" vertical="center" wrapText="1"/>
    </xf>
    <xf numFmtId="166" fontId="0" fillId="0" borderId="1" xfId="0" applyNumberFormat="1" applyBorder="1" applyAlignment="1">
      <alignment horizontal="right" vertical="center" wrapText="1"/>
    </xf>
    <xf numFmtId="4" fontId="0" fillId="0" borderId="1" xfId="0" applyNumberFormat="1" applyBorder="1" applyAlignment="1">
      <alignment horizontal="right" vertical="center" wrapText="1"/>
    </xf>
    <xf numFmtId="1" fontId="0" fillId="0" borderId="1" xfId="0" applyNumberFormat="1" applyBorder="1" applyAlignment="1">
      <alignment horizontal="right" vertical="center" wrapText="1"/>
    </xf>
    <xf numFmtId="0" fontId="3" fillId="0" borderId="0" xfId="0" applyFont="1" applyAlignment="1">
      <alignment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horizontal="center" vertical="center"/>
    </xf>
    <xf numFmtId="43" fontId="0" fillId="0" borderId="0" xfId="1" applyFont="1" applyAlignment="1">
      <alignment horizontal="right" vertical="center"/>
    </xf>
    <xf numFmtId="43" fontId="3" fillId="0" borderId="0" xfId="1" applyFont="1" applyAlignment="1">
      <alignment horizontal="right" vertical="center"/>
    </xf>
    <xf numFmtId="0" fontId="0" fillId="0" borderId="0" xfId="0" applyAlignment="1">
      <alignment horizontal="right" vertical="center"/>
    </xf>
    <xf numFmtId="0" fontId="0" fillId="3" borderId="1" xfId="0" applyFill="1" applyBorder="1" applyAlignment="1">
      <alignment vertical="center"/>
    </xf>
    <xf numFmtId="10" fontId="0" fillId="3" borderId="1" xfId="2" applyNumberFormat="1" applyFont="1" applyFill="1" applyBorder="1" applyAlignment="1">
      <alignment horizontal="right" vertical="center"/>
    </xf>
    <xf numFmtId="0" fontId="0" fillId="0" borderId="7" xfId="0" applyBorder="1" applyAlignment="1">
      <alignment vertical="center"/>
    </xf>
    <xf numFmtId="43" fontId="0" fillId="0" borderId="11" xfId="0" applyNumberFormat="1" applyBorder="1" applyAlignment="1">
      <alignment vertical="center"/>
    </xf>
    <xf numFmtId="0" fontId="0" fillId="0" borderId="4" xfId="0" applyBorder="1" applyAlignment="1">
      <alignment vertical="center"/>
    </xf>
    <xf numFmtId="43" fontId="0" fillId="0" borderId="12" xfId="0" applyNumberFormat="1" applyBorder="1" applyAlignment="1">
      <alignment vertical="center"/>
    </xf>
    <xf numFmtId="0" fontId="0" fillId="3" borderId="1" xfId="0" applyFill="1" applyBorder="1" applyAlignment="1">
      <alignment horizontal="right" vertical="center"/>
    </xf>
    <xf numFmtId="4" fontId="0" fillId="3" borderId="1" xfId="0" applyNumberFormat="1" applyFill="1" applyBorder="1" applyAlignment="1">
      <alignment horizontal="right" vertical="center"/>
    </xf>
    <xf numFmtId="0" fontId="3" fillId="3" borderId="1" xfId="0" applyFont="1" applyFill="1" applyBorder="1" applyAlignment="1">
      <alignment vertical="center"/>
    </xf>
    <xf numFmtId="10" fontId="3" fillId="3" borderId="1" xfId="2" applyNumberFormat="1" applyFont="1" applyFill="1" applyBorder="1" applyAlignment="1">
      <alignment horizontal="right" vertical="center"/>
    </xf>
    <xf numFmtId="43" fontId="0" fillId="3" borderId="1" xfId="1" applyFont="1" applyFill="1" applyBorder="1" applyAlignment="1">
      <alignment horizontal="right" vertical="center"/>
    </xf>
    <xf numFmtId="0" fontId="2" fillId="2" borderId="2" xfId="0" applyFont="1" applyFill="1" applyBorder="1" applyAlignment="1">
      <alignment vertical="center"/>
    </xf>
    <xf numFmtId="0" fontId="0" fillId="2" borderId="8" xfId="0" applyFill="1" applyBorder="1" applyAlignment="1">
      <alignment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43" fontId="0" fillId="0" borderId="0" xfId="0" applyNumberFormat="1" applyAlignment="1">
      <alignment vertical="center"/>
    </xf>
    <xf numFmtId="0" fontId="0" fillId="0" borderId="1" xfId="0" applyBorder="1" applyAlignment="1">
      <alignment vertical="center"/>
    </xf>
    <xf numFmtId="43" fontId="0" fillId="0" borderId="1" xfId="1" applyFont="1" applyBorder="1" applyAlignment="1">
      <alignment horizontal="right" vertical="center"/>
    </xf>
    <xf numFmtId="49" fontId="0" fillId="0" borderId="0" xfId="1" applyNumberFormat="1" applyFont="1" applyAlignment="1">
      <alignment horizontal="left" vertical="center"/>
    </xf>
    <xf numFmtId="43" fontId="3" fillId="0" borderId="0" xfId="0" applyNumberFormat="1" applyFont="1" applyAlignment="1">
      <alignment vertical="center"/>
    </xf>
    <xf numFmtId="0" fontId="3" fillId="0" borderId="12" xfId="0" applyFont="1" applyBorder="1" applyAlignment="1">
      <alignment vertical="center"/>
    </xf>
    <xf numFmtId="43" fontId="3" fillId="0" borderId="12"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43" fontId="0" fillId="0" borderId="0" xfId="0" applyNumberFormat="1" applyAlignment="1">
      <alignment horizontal="right" vertical="center"/>
    </xf>
    <xf numFmtId="43" fontId="0" fillId="0" borderId="1" xfId="0" applyNumberFormat="1" applyBorder="1" applyAlignment="1">
      <alignment horizontal="right" vertical="center"/>
    </xf>
    <xf numFmtId="10" fontId="0" fillId="0" borderId="0" xfId="2" applyNumberFormat="1" applyFont="1" applyAlignment="1">
      <alignment horizontal="right" vertical="center"/>
    </xf>
    <xf numFmtId="10" fontId="0" fillId="0" borderId="1" xfId="2" applyNumberFormat="1" applyFont="1" applyBorder="1" applyAlignment="1">
      <alignment horizontal="right" vertical="center"/>
    </xf>
    <xf numFmtId="43" fontId="0" fillId="0" borderId="0" xfId="1" applyFont="1" applyAlignment="1">
      <alignment vertical="center"/>
    </xf>
    <xf numFmtId="167" fontId="0" fillId="0" borderId="0" xfId="2" applyNumberFormat="1" applyFont="1" applyAlignment="1">
      <alignment horizontal="center" vertical="center"/>
    </xf>
    <xf numFmtId="10" fontId="0" fillId="0" borderId="0" xfId="0" applyNumberFormat="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xf numFmtId="0" fontId="0" fillId="0" borderId="0" xfId="0" applyAlignment="1">
      <alignment horizontal="left" vertical="center"/>
    </xf>
    <xf numFmtId="10" fontId="0" fillId="0" borderId="0" xfId="2" applyNumberFormat="1" applyFont="1" applyBorder="1" applyAlignment="1">
      <alignment horizontal="right" vertical="center"/>
    </xf>
    <xf numFmtId="0" fontId="0" fillId="3" borderId="5" xfId="0" applyFill="1" applyBorder="1" applyAlignment="1">
      <alignment vertical="center"/>
    </xf>
    <xf numFmtId="43" fontId="0" fillId="3" borderId="0" xfId="1" applyFont="1" applyFill="1" applyBorder="1" applyAlignment="1">
      <alignment horizontal="right" vertical="center"/>
    </xf>
    <xf numFmtId="43" fontId="0" fillId="3" borderId="6" xfId="1" applyFont="1" applyFill="1" applyBorder="1" applyAlignment="1">
      <alignment horizontal="right" vertical="center"/>
    </xf>
    <xf numFmtId="43" fontId="3" fillId="3" borderId="1" xfId="1" applyFont="1" applyFill="1" applyBorder="1" applyAlignment="1">
      <alignment horizontal="right" vertical="center"/>
    </xf>
    <xf numFmtId="0" fontId="0" fillId="0" borderId="0" xfId="0" applyAlignment="1">
      <alignment horizontal="left" vertical="center" wrapText="1"/>
    </xf>
    <xf numFmtId="0" fontId="2" fillId="2" borderId="0" xfId="0" applyFont="1" applyFill="1" applyAlignment="1">
      <alignment vertical="center"/>
    </xf>
    <xf numFmtId="0" fontId="2" fillId="2" borderId="0" xfId="0" applyFont="1" applyFill="1" applyAlignment="1">
      <alignment horizontal="right" vertical="center"/>
    </xf>
    <xf numFmtId="0" fontId="0" fillId="2" borderId="0" xfId="0" applyFill="1" applyAlignment="1">
      <alignment horizontal="left" vertical="center"/>
    </xf>
    <xf numFmtId="0" fontId="0" fillId="2" borderId="0" xfId="0" applyFill="1" applyAlignment="1">
      <alignment horizontal="right" vertical="center"/>
    </xf>
    <xf numFmtId="10" fontId="0" fillId="0" borderId="0" xfId="0" applyNumberFormat="1" applyAlignment="1">
      <alignment horizontal="right" vertical="center"/>
    </xf>
    <xf numFmtId="0" fontId="3" fillId="0" borderId="0" xfId="0" applyFont="1" applyAlignment="1">
      <alignment horizontal="right" vertical="center"/>
    </xf>
    <xf numFmtId="43" fontId="3" fillId="0" borderId="0" xfId="0" applyNumberFormat="1" applyFont="1" applyAlignment="1">
      <alignment horizontal="right" vertical="center"/>
    </xf>
    <xf numFmtId="10" fontId="3" fillId="0" borderId="0" xfId="0" applyNumberFormat="1" applyFont="1" applyAlignment="1">
      <alignment horizontal="right" vertical="center"/>
    </xf>
    <xf numFmtId="10" fontId="3" fillId="0" borderId="0" xfId="2" applyNumberFormat="1" applyFont="1" applyAlignment="1">
      <alignment horizontal="right" vertical="center"/>
    </xf>
    <xf numFmtId="0" fontId="3" fillId="0" borderId="1" xfId="0" applyFont="1" applyBorder="1" applyAlignment="1">
      <alignment horizontal="right" vertical="center"/>
    </xf>
    <xf numFmtId="0" fontId="3" fillId="0" borderId="1" xfId="0" applyFont="1" applyBorder="1" applyAlignment="1">
      <alignment vertical="center"/>
    </xf>
    <xf numFmtId="10" fontId="0" fillId="0" borderId="1" xfId="0" applyNumberFormat="1" applyBorder="1" applyAlignment="1">
      <alignment horizontal="right" vertical="center"/>
    </xf>
    <xf numFmtId="0" fontId="2" fillId="0" borderId="1" xfId="0" applyFont="1" applyBorder="1" applyAlignment="1">
      <alignment vertical="center"/>
    </xf>
    <xf numFmtId="0" fontId="2" fillId="0" borderId="1" xfId="0" applyFont="1" applyBorder="1" applyAlignment="1">
      <alignment horizontal="right" vertical="center"/>
    </xf>
    <xf numFmtId="10" fontId="1" fillId="0" borderId="0" xfId="2" applyNumberFormat="1" applyFont="1" applyAlignment="1">
      <alignment horizontal="right" vertical="center"/>
    </xf>
    <xf numFmtId="43" fontId="1" fillId="0" borderId="0" xfId="2"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43" fontId="3" fillId="0" borderId="0" xfId="1" applyFont="1" applyAlignment="1">
      <alignment vertical="center"/>
    </xf>
    <xf numFmtId="43" fontId="3" fillId="0" borderId="1" xfId="1" applyFont="1" applyBorder="1" applyAlignment="1">
      <alignment horizontal="right" vertical="center"/>
    </xf>
    <xf numFmtId="0" fontId="3" fillId="0" borderId="0" xfId="0" applyFont="1"/>
    <xf numFmtId="0" fontId="0" fillId="0" borderId="11" xfId="0" applyBorder="1" applyAlignment="1">
      <alignment vertical="center" wrapText="1"/>
    </xf>
    <xf numFmtId="0" fontId="0" fillId="0" borderId="11" xfId="0" applyBorder="1" applyAlignment="1">
      <alignment horizontal="right" vertical="center" wrapText="1"/>
    </xf>
    <xf numFmtId="0" fontId="2" fillId="2" borderId="8" xfId="0" applyFont="1" applyFill="1" applyBorder="1" applyAlignment="1">
      <alignment vertical="center" wrapText="1"/>
    </xf>
    <xf numFmtId="0" fontId="2" fillId="2" borderId="9" xfId="0" applyFont="1" applyFill="1" applyBorder="1" applyAlignment="1">
      <alignment horizontal="right" vertical="center" wrapText="1"/>
    </xf>
    <xf numFmtId="0" fontId="2" fillId="2" borderId="10" xfId="0" applyFont="1" applyFill="1" applyBorder="1" applyAlignment="1">
      <alignment horizontal="right" vertical="center" wrapText="1"/>
    </xf>
    <xf numFmtId="0" fontId="0" fillId="3" borderId="11" xfId="0" applyFill="1" applyBorder="1" applyAlignment="1">
      <alignment vertical="center"/>
    </xf>
    <xf numFmtId="10" fontId="0" fillId="3" borderId="11" xfId="2" applyNumberFormat="1" applyFont="1" applyFill="1" applyBorder="1" applyAlignment="1">
      <alignment horizontal="right" vertical="center"/>
    </xf>
    <xf numFmtId="0" fontId="2" fillId="2" borderId="8" xfId="0" applyFont="1" applyFill="1" applyBorder="1" applyAlignment="1">
      <alignment vertical="center"/>
    </xf>
    <xf numFmtId="0" fontId="2" fillId="2" borderId="9" xfId="0" applyFont="1" applyFill="1" applyBorder="1" applyAlignment="1">
      <alignment horizontal="right" vertical="center"/>
    </xf>
    <xf numFmtId="0" fontId="2" fillId="2" borderId="10" xfId="0" applyFont="1" applyFill="1" applyBorder="1" applyAlignment="1">
      <alignment horizontal="right" vertical="center"/>
    </xf>
    <xf numFmtId="0" fontId="0" fillId="0" borderId="0" xfId="0" applyAlignment="1">
      <alignment horizontal="right"/>
    </xf>
    <xf numFmtId="43" fontId="0" fillId="3" borderId="1" xfId="0" applyNumberFormat="1" applyFill="1" applyBorder="1" applyAlignment="1">
      <alignment horizontal="righ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43" fontId="0" fillId="0" borderId="1" xfId="0" applyNumberFormat="1" applyBorder="1" applyAlignment="1">
      <alignment vertical="center"/>
    </xf>
    <xf numFmtId="0" fontId="0" fillId="0" borderId="12" xfId="0" applyBorder="1" applyAlignment="1">
      <alignment vertical="center"/>
    </xf>
    <xf numFmtId="43" fontId="0" fillId="0" borderId="12" xfId="0" applyNumberFormat="1" applyBorder="1" applyAlignment="1">
      <alignment horizontal="right" vertical="center"/>
    </xf>
    <xf numFmtId="0" fontId="0" fillId="3" borderId="0" xfId="0" applyFill="1"/>
    <xf numFmtId="0" fontId="2" fillId="2" borderId="0" xfId="0" applyFont="1" applyFill="1" applyAlignment="1">
      <alignment horizontal="left" vertical="center"/>
    </xf>
    <xf numFmtId="0" fontId="0" fillId="0" borderId="3" xfId="0" applyBorder="1" applyAlignment="1">
      <alignment horizontal="left" vertical="center"/>
    </xf>
    <xf numFmtId="43" fontId="0" fillId="0" borderId="2" xfId="1" applyFont="1" applyFill="1" applyBorder="1" applyAlignment="1">
      <alignment horizontal="right" vertical="center"/>
    </xf>
    <xf numFmtId="43" fontId="0" fillId="0" borderId="5" xfId="0" applyNumberFormat="1" applyBorder="1"/>
    <xf numFmtId="43" fontId="0" fillId="0" borderId="2" xfId="0" applyNumberFormat="1" applyBorder="1"/>
    <xf numFmtId="0" fontId="0" fillId="0" borderId="9" xfId="0" applyBorder="1" applyAlignment="1">
      <alignment horizontal="left" vertical="center"/>
    </xf>
    <xf numFmtId="43" fontId="0" fillId="0" borderId="8" xfId="0" applyNumberFormat="1" applyBorder="1"/>
    <xf numFmtId="10" fontId="0" fillId="0" borderId="0" xfId="0" applyNumberFormat="1" applyAlignment="1">
      <alignment vertical="center"/>
    </xf>
    <xf numFmtId="0" fontId="2" fillId="4" borderId="0" xfId="0" applyFont="1" applyFill="1" applyBorder="1" applyAlignment="1">
      <alignment vertical="center"/>
    </xf>
    <xf numFmtId="0" fontId="2" fillId="4" borderId="17" xfId="0" applyFont="1" applyFill="1" applyBorder="1" applyAlignment="1">
      <alignment horizontal="center" vertical="center"/>
    </xf>
    <xf numFmtId="0" fontId="0" fillId="5" borderId="18" xfId="0" applyFont="1" applyFill="1" applyBorder="1" applyAlignment="1">
      <alignment vertical="center"/>
    </xf>
    <xf numFmtId="43" fontId="0" fillId="5" borderId="19" xfId="1" applyNumberFormat="1" applyFont="1" applyFill="1" applyBorder="1" applyAlignment="1">
      <alignment horizontal="right" vertical="center"/>
    </xf>
    <xf numFmtId="0" fontId="0" fillId="6" borderId="20" xfId="0" applyFont="1" applyFill="1" applyBorder="1" applyAlignment="1">
      <alignment vertical="center"/>
    </xf>
    <xf numFmtId="43" fontId="0" fillId="6" borderId="16" xfId="1" applyNumberFormat="1" applyFont="1" applyFill="1" applyBorder="1" applyAlignment="1">
      <alignment horizontal="right" vertical="center"/>
    </xf>
    <xf numFmtId="0" fontId="0" fillId="5" borderId="20" xfId="0" applyFont="1" applyFill="1" applyBorder="1" applyAlignment="1">
      <alignment vertical="center"/>
    </xf>
    <xf numFmtId="43" fontId="0" fillId="5" borderId="16" xfId="1" applyNumberFormat="1" applyFont="1" applyFill="1" applyBorder="1" applyAlignment="1">
      <alignment horizontal="right" vertical="center"/>
    </xf>
    <xf numFmtId="0" fontId="3" fillId="6" borderId="20" xfId="0" applyFont="1" applyFill="1" applyBorder="1" applyAlignment="1">
      <alignment vertical="center"/>
    </xf>
    <xf numFmtId="43" fontId="3" fillId="6" borderId="16" xfId="1" applyNumberFormat="1" applyFont="1" applyFill="1" applyBorder="1" applyAlignment="1">
      <alignment horizontal="right" vertical="center"/>
    </xf>
    <xf numFmtId="0" fontId="3" fillId="5" borderId="20" xfId="0" applyFont="1" applyFill="1" applyBorder="1" applyAlignment="1">
      <alignment vertical="center"/>
    </xf>
    <xf numFmtId="43" fontId="3" fillId="5" borderId="16" xfId="1" applyNumberFormat="1" applyFont="1" applyFill="1" applyBorder="1" applyAlignment="1">
      <alignment horizontal="right" vertical="center"/>
    </xf>
    <xf numFmtId="0" fontId="2" fillId="7" borderId="13" xfId="0" applyFont="1" applyFill="1" applyBorder="1" applyAlignment="1">
      <alignment vertical="center"/>
    </xf>
    <xf numFmtId="0" fontId="2" fillId="7" borderId="14" xfId="0" applyFont="1" applyFill="1" applyBorder="1" applyAlignment="1">
      <alignment horizontal="right" vertical="center"/>
    </xf>
    <xf numFmtId="0" fontId="2" fillId="7" borderId="15" xfId="0" applyFont="1" applyFill="1" applyBorder="1" applyAlignment="1">
      <alignment horizontal="right" vertical="center"/>
    </xf>
    <xf numFmtId="0" fontId="0" fillId="8" borderId="2" xfId="0" applyFont="1" applyFill="1" applyBorder="1" applyAlignment="1">
      <alignment vertical="center"/>
    </xf>
    <xf numFmtId="43" fontId="0" fillId="8" borderId="2" xfId="0" applyNumberFormat="1" applyFont="1" applyFill="1" applyBorder="1" applyAlignment="1">
      <alignment horizontal="right" vertical="center"/>
    </xf>
    <xf numFmtId="43" fontId="0" fillId="8" borderId="12" xfId="0" applyNumberFormat="1" applyFont="1" applyFill="1" applyBorder="1" applyAlignment="1">
      <alignment horizontal="right" vertical="center"/>
    </xf>
    <xf numFmtId="0" fontId="0" fillId="0" borderId="2" xfId="0" applyFont="1" applyBorder="1" applyAlignment="1">
      <alignment vertical="center"/>
    </xf>
    <xf numFmtId="43" fontId="0" fillId="0" borderId="2" xfId="0" applyNumberFormat="1" applyFont="1" applyBorder="1" applyAlignment="1">
      <alignment horizontal="right" vertical="center"/>
    </xf>
    <xf numFmtId="43" fontId="0" fillId="0" borderId="12" xfId="0" applyNumberFormat="1" applyFont="1" applyBorder="1" applyAlignment="1">
      <alignment horizontal="right" vertical="center"/>
    </xf>
    <xf numFmtId="0" fontId="0" fillId="0" borderId="8" xfId="0" applyFont="1" applyBorder="1" applyAlignment="1">
      <alignment vertical="center"/>
    </xf>
    <xf numFmtId="43" fontId="0" fillId="0" borderId="8" xfId="0" applyNumberFormat="1" applyFont="1" applyBorder="1" applyAlignment="1">
      <alignment horizontal="right" vertical="center"/>
    </xf>
    <xf numFmtId="43" fontId="0" fillId="0" borderId="1" xfId="0" applyNumberFormat="1" applyFont="1" applyBorder="1" applyAlignment="1">
      <alignment horizontal="right" vertical="center"/>
    </xf>
    <xf numFmtId="43" fontId="0" fillId="0" borderId="2" xfId="0" applyNumberFormat="1" applyFont="1" applyFill="1" applyBorder="1" applyAlignment="1">
      <alignment horizontal="right" vertical="center"/>
    </xf>
  </cellXfs>
  <cellStyles count="3">
    <cellStyle name="Comma" xfId="1" builtinId="3"/>
    <cellStyle name="Normal" xfId="0" builtinId="0"/>
    <cellStyle name="Percent" xfId="2" builtinId="5"/>
  </cellStyles>
  <dxfs count="263">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numFmt numFmtId="35" formatCode="_ * #,##0.00_ ;_ * \-#,##0.00_ ;_ * &quot;-&quot;??_ ;_ @_ "/>
      <fill>
        <patternFill patternType="none">
          <fgColor indexed="64"/>
          <bgColor auto="1"/>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35" formatCode="_ * #,##0.00_ ;_ * \-#,##0.00_ ;_ * &quot;-&quot;??_ ;_ @_ "/>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35" formatCode="_ * #,##0.00_ ;_ * \-#,##0.00_ ;_ * &quot;-&quot;??_ ;_ @_ "/>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35" formatCode="_ * #,##0.00_ ;_ * \-#,##0.00_ ;_ * &quot;-&quot;??_ ;_ @_ "/>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35" formatCode="_ * #,##0.00_ ;_ * \-#,##0.00_ ;_ * &quot;-&quot;??_ ;_ @_ "/>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right" vertical="center" textRotation="0" wrapText="0" indent="0" justifyLastLine="0" shrinkToFit="0" readingOrder="0"/>
    </dxf>
    <dxf>
      <numFmt numFmtId="14" formatCode="0.00%"/>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right" vertical="center" textRotation="0" wrapText="0" indent="0" justifyLastLine="0" shrinkToFit="0" readingOrder="0"/>
    </dxf>
    <dxf>
      <fill>
        <patternFill patternType="solid">
          <fgColor indexed="64"/>
          <bgColor theme="9" tint="-0.499984740745262"/>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right" vertical="center" textRotation="0" wrapText="1"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
      <alignment horizontal="center"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ill>
        <patternFill patternType="solid">
          <fgColor indexed="64"/>
          <bgColor theme="9" tint="-0.499984740745262"/>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theme="9" tint="-0.499984740745262"/>
        </patternFill>
      </fill>
      <alignment horizontal="center" vertical="center" textRotation="0" wrapText="0" indent="0" justifyLastLine="0" shrinkToFit="0" readingOrder="0"/>
      <border diagonalUp="0" diagonalDown="0" outline="0">
        <left/>
        <right/>
        <top/>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6">
  <rv s="0">
    <v>https://www.bing.com/financeapi/forcetrigger?t=a269ec&amp;q=XNYS%3aXOM&amp;form=skydnc</v>
    <v>Learn more on Bing</v>
  </rv>
  <rv s="1">
    <v>en-IN</v>
    <v>a269ec</v>
    <v>268435456</v>
    <v>1</v>
    <v>Powered by Refinitiv</v>
    <v>0</v>
    <v>EXXON MOBIL CORPORATION (XNYS:XOM)</v>
    <v>2</v>
    <v>3</v>
    <v>Finance</v>
    <v>4</v>
    <v>123.21</v>
    <v>97.8</v>
    <v>0.36840000000000001</v>
    <v>1.35</v>
    <v>1.1472E-2</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119.48</v>
    <v>Oil &amp; Gas</v>
    <v>Stock</v>
    <v>45980.041274200783</v>
    <v>0</v>
    <v>116.48</v>
    <v>501969268980</v>
    <v>EXXON MOBIL CORPORATION</v>
    <v>EXXON MOBIL CORPORATION</v>
    <v>117.26</v>
    <v>17.302499999999998</v>
    <v>117.68</v>
    <v>119.03</v>
    <v>4217166000</v>
    <v>XOM</v>
    <v>EXXON MOBIL CORPORATION (XNYS:XOM)</v>
    <v>23273</v>
    <v>13636193</v>
    <v>1882</v>
  </rv>
  <rv s="2">
    <v>1</v>
  </rv>
  <rv s="0">
    <v>https://www.bing.com/financeapi/forcetrigger?t=a1qlz2&amp;q=XNYS%3aCVX&amp;form=skydnc</v>
    <v>Learn more on Bing</v>
  </rv>
  <rv s="1">
    <v>en-IN</v>
    <v>a1qlz2</v>
    <v>268435456</v>
    <v>1</v>
    <v>Powered by Refinitiv</v>
    <v>0</v>
    <v>CHEVRON CORPORATION (XNYS:CVX)</v>
    <v>2</v>
    <v>3</v>
    <v>Finance</v>
    <v>4</v>
    <v>168.96</v>
    <v>132.04</v>
    <v>0.67349999999999999</v>
    <v>0.48</v>
    <v>3.1350000000000002E-3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45298</v>
    <v>New York Stock Exchange</v>
    <v>XNYS</v>
    <v>XNYS</v>
    <v>1400 SMITH STREET, HOUSTON, TX, 77002 US</v>
    <v>154.28</v>
    <v>Oil &amp; Gas</v>
    <v>Stock</v>
    <v>45980.04092115703</v>
    <v>3</v>
    <v>151.76</v>
    <v>311733400000</v>
    <v>CHEVRON CORPORATION</v>
    <v>CHEVRON CORPORATION</v>
    <v>152.5</v>
    <v>21.6919</v>
    <v>153.11000000000001</v>
    <v>153.59</v>
    <v>2013522000</v>
    <v>CVX</v>
    <v>CHEVRON CORPORATION (XNYS:CVX)</v>
    <v>9254</v>
    <v>7394073</v>
    <v>1926</v>
  </rv>
  <rv s="2">
    <v>4</v>
  </rv>
  <rv s="0">
    <v>https://www.bing.com/financeapi/forcetrigger?t=a1q5nm&amp;q=XNYS%3aCOP&amp;form=skydnc</v>
    <v>Learn more on Bing</v>
  </rv>
  <rv s="1">
    <v>en-IN</v>
    <v>a1q5nm</v>
    <v>268435456</v>
    <v>1</v>
    <v>Powered by Refinitiv</v>
    <v>0</v>
    <v>CONOCOPHILLIPS (XNYS:COP)</v>
    <v>2</v>
    <v>3</v>
    <v>Finance</v>
    <v>4</v>
    <v>115.38</v>
    <v>79.88</v>
    <v>0.3261</v>
    <v>0.94</v>
    <v>1.0595E-2</v>
    <v>USD</v>
    <v>ConocoPhillips is an exploration and production company. Its Alaska segment primarily explores for, produces, transports and markets crude oil, natural gas and NGLs. The Lower 48 segment consists of operations located in the 48 contiguous states in the United States and the Gulf of Mexico. Canadian operations consist of the Surmont oil sands development in Alberta, the liquids-rich Montney unconventional play in British Columbia and commercial operations. The Europe, Middle East and North Africa segment consists of operations principally located in the Norwegian sector of the North Sea, the Norwegian Sea, Qatar, Libya, Equatorial Guinea and commercial and terminalling operations in the United Kingdom. Asia Pacific segment has exploration and production operations in China, Malaysia, Australia and commercial operations in China, Singapore and Japan. Other International segment includes interests in Colombia as well as contingencies associated with prior operations in other countries.</v>
    <v>11400</v>
    <v>New York Stock Exchange</v>
    <v>XNYS</v>
    <v>XNYS</v>
    <v>925 N. Eldridge Parkway, HOUSTON, TX, 77079-2703 US</v>
    <v>90.344999999999999</v>
    <v>Oil &amp; Gas</v>
    <v>Stock</v>
    <v>45979.915696191405</v>
    <v>6</v>
    <v>88.1</v>
    <v>110794475880</v>
    <v>CONOCOPHILLIPS</v>
    <v>CONOCOPHILLIPS</v>
    <v>88.4</v>
    <v>12.6867</v>
    <v>88.72</v>
    <v>89.66</v>
    <v>1235718000</v>
    <v>COP</v>
    <v>CONOCOPHILLIPS (XNYS:COP)</v>
    <v>464</v>
    <v>6821130</v>
    <v>2001</v>
  </rv>
  <rv s="2">
    <v>7</v>
  </rv>
  <rv s="0">
    <v>https://www.bing.com/financeapi/forcetrigger?t=a1xvzr&amp;q=XNYS%3aMPC&amp;form=skydnc</v>
    <v>Learn more on Bing</v>
  </rv>
  <rv s="1">
    <v>en-IN</v>
    <v>a1xvzr</v>
    <v>268435456</v>
    <v>1</v>
    <v>Powered by Refinitiv</v>
    <v>0</v>
    <v>MARATHON PETROLEUM CORPORATION (XNYS:MPC)</v>
    <v>2</v>
    <v>3</v>
    <v>Finance</v>
    <v>4</v>
    <v>202.29499999999999</v>
    <v>115.1</v>
    <v>0.70760000000000001</v>
    <v>3.64</v>
    <v>1.8574E-2</v>
    <v>USD</v>
    <v>Marathon Petroleum Corporation is an integrated, downstream energy company. The Company’s segments include Refining &amp; Marketing, Midstream and Renewable Diesel. The Refining &amp; Marketing segment refines crude oil and other feedstocks at its refineries in the Gulf Coast, Mid-Continent and West Coast regions of the United States. It sells refined products to wholesale marketing customers domestically and internationally, to buyers on the spot market, and to independent entrepreneurs who operate primarily Marathon branded outlets. The Midstream segment gathers, transports, stores and distributes crude oil, refined products, including renewable diesel, and other hydrocarbon-based products, principally for the Refining &amp; Marketing segment via refining logistics assets, pipelines, terminals, and others. The Renewable Diesel segment processes renewable feedstocks into renewable diesel, markets renewable diesel and distributes renewable products through its Midstream segment and third parties.</v>
    <v>18300</v>
    <v>New York Stock Exchange</v>
    <v>XNYS</v>
    <v>XNYS</v>
    <v>539 SOUTH MAIN STREET, FINDLAY, OH, 45840-3229 US</v>
    <v>199.66</v>
    <v>Oil &amp; Gas</v>
    <v>Stock</v>
    <v>45980.037854941409</v>
    <v>9</v>
    <v>195</v>
    <v>60003265025</v>
    <v>MARATHON PETROLEUM CORPORATION</v>
    <v>MARATHON PETROLEUM CORPORATION</v>
    <v>195.62</v>
    <v>21.179500000000001</v>
    <v>195.97</v>
    <v>199.61</v>
    <v>300602500</v>
    <v>MPC</v>
    <v>MARATHON PETROLEUM CORPORATION (XNYS:MPC)</v>
    <v>636</v>
    <v>1985728</v>
    <v>2009</v>
  </rv>
  <rv s="2">
    <v>10</v>
  </rv>
  <rv s="0">
    <v>https://www.bing.com/financeapi/forcetrigger?t=a21d27&amp;q=XNYS%3aPSX&amp;form=skydnc</v>
    <v>Learn more on Bing</v>
  </rv>
  <rv s="1">
    <v>en-IN</v>
    <v>a21d27</v>
    <v>268435456</v>
    <v>1</v>
    <v>Powered by Refinitiv</v>
    <v>0</v>
    <v>PHILLIPS 66 (XNYS:PSX)</v>
    <v>2</v>
    <v>3</v>
    <v>Finance</v>
    <v>4</v>
    <v>143.25</v>
    <v>91.01</v>
    <v>0.90629999999999999</v>
    <v>1.76</v>
    <v>1.2880000000000001E-2</v>
    <v>USD</v>
    <v>Phillips 66 is a diversified and integrated downstream energy provider that manufactures, transports and markets products. The Company's Midstream segment provides crude oil and refined petroleum product transportation, terminating and processing services, as well as natural gas and natural gas liquids (NGL) transportation, storage, fractionation, gathering, processing and marketing services. Its Chemicals segment consists of its 50% equity investment in Chevron Phillips Chemical Company LLC, which manufactures and markets petrochemicals and plastics on a worldwide basis. Its Refining segment refines crude oil and other feedstocks into petroleum products, such as gasoline, distillates, including aviation fuels. Its Marketing and Specialties segment purchases for resale and markets refined products, mainly in the United States and Europe. Its Renewable Fuels segment processes renewable feedstocks into renewable products at the Rodeo Renewable Energy Complex and at its Humber Refinery.</v>
    <v>13200</v>
    <v>New York Stock Exchange</v>
    <v>XNYS</v>
    <v>XNYS</v>
    <v>2331 Citywest Blvd., HOUSTON, TX, 77042 US</v>
    <v>139.04</v>
    <v>Oil &amp; Gas</v>
    <v>Stock</v>
    <v>45979.965681805472</v>
    <v>12</v>
    <v>135.77000000000001</v>
    <v>55768309451</v>
    <v>PHILLIPS 66</v>
    <v>PHILLIPS 66</v>
    <v>136.02000000000001</v>
    <v>37.599600000000002</v>
    <v>136.65</v>
    <v>138.41</v>
    <v>402921100</v>
    <v>PSX</v>
    <v>PHILLIPS 66 (XNYS:PSX)</v>
    <v>152</v>
    <v>2353646</v>
    <v>2011</v>
  </rv>
  <rv s="2">
    <v>13</v>
  </rv>
  <rv s="0">
    <v>https://www.bing.com/financeapi/forcetrigger?t=ahjo52&amp;q=XNSE%3aRELIANCE&amp;form=skydnc</v>
    <v>Learn more on Bing</v>
  </rv>
  <rv s="3">
    <v>en-IN</v>
    <v>ahjo52</v>
    <v>268435456</v>
    <v>1</v>
    <v>Powered by Refinitiv</v>
    <v>5</v>
    <v>RELIANCE INDUSTRIES LIMITED (XNSE:RELIANCE)</v>
    <v>2</v>
    <v>6</v>
    <v>Finance</v>
    <v>7</v>
    <v>1551</v>
    <v>1114.8499999999999</v>
    <v>1.1412</v>
    <v>-0.5</v>
    <v>3.2919999999999998E-4</v>
    <v>-3.2910000000000003E-4</v>
    <v>0.5</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National Stock Exchange of India</v>
    <v>XNSE</v>
    <v>XNSE</v>
    <v>Maker Chambers IV, Nariman Point, MUMBAI, MAHARASHTRA, 400021 IN</v>
    <v>1522.3</v>
    <v>Oil &amp; Gas</v>
    <v>Stock</v>
    <v>45980.492893518516</v>
    <v>15</v>
    <v>1512</v>
    <v>20561240000000</v>
    <v>RELIANCE INDUSTRIES LIMITED</v>
    <v>RELIANCE INDUSTRIES LIMITED</v>
    <v>1517.4</v>
    <v>24.734400000000001</v>
    <v>1519.4</v>
    <v>1518.9</v>
    <v>1519.4</v>
    <v>13532740000</v>
    <v>RELIANCE</v>
    <v>RELIANCE INDUSTRIES LIMITED (XNSE:RELIANCE)</v>
    <v>5692366</v>
    <v>9038540</v>
    <v>1973</v>
  </rv>
  <rv s="2">
    <v>16</v>
  </rv>
  <rv s="0">
    <v>https://www.bing.com/financeapi/forcetrigger?t=a1zez2&amp;q=XNYS%3aOXY&amp;form=skydnc</v>
    <v>Learn more on Bing</v>
  </rv>
  <rv s="1">
    <v>en-IN</v>
    <v>a1zez2</v>
    <v>268435456</v>
    <v>1</v>
    <v>Powered by Refinitiv</v>
    <v>0</v>
    <v>OCCIDENTAL PETROLEUM CORPORATION (XNYS:OXY)</v>
    <v>2</v>
    <v>3</v>
    <v>Finance</v>
    <v>4</v>
    <v>53.2</v>
    <v>34.784999999999997</v>
    <v>0.3846</v>
    <v>0.82499999999999996</v>
    <v>1.9789000000000001E-2</v>
    <v>USD</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three segments: oil and gas, chemical and midstream and marketing. The oil and gas segment explores for, develops, and produces oil (which includes condensate), natural gas liquids (NGL) and natural gas. The chemical segment primarily manufactures and markets basic chemicals and vinyls. The midstream and marketing segment purchases, markets, gathers, processes, transports, and stores oil (which includes condensate), NGL, natural gas, carbon dioxide (CO2) and power. The midstream and marketing segment provides flow assurance and maximizes the value of its oil and gas. It also optimizes its transportation and storage capacity and invests in entities that conduct similar activities.</v>
    <v>13323</v>
    <v>New York Stock Exchange</v>
    <v>XNYS</v>
    <v>XNYS</v>
    <v>5 GREENWAY PLAZA, SUITE 110, HOUSTON, TX, 77046 US</v>
    <v>42.66</v>
    <v>Oil &amp; Gas</v>
    <v>Stock</v>
    <v>45980.041250416405</v>
    <v>18</v>
    <v>41.2</v>
    <v>41886220156</v>
    <v>OCCIDENTAL PETROLEUM CORPORATION</v>
    <v>OCCIDENTAL PETROLEUM CORPORATION</v>
    <v>41.5</v>
    <v>31.042200000000001</v>
    <v>41.69</v>
    <v>42.515000000000001</v>
    <v>985210400</v>
    <v>OXY</v>
    <v>OCCIDENTAL PETROLEUM CORPORATION (XNYS:OXY)</v>
    <v>15865</v>
    <v>9835356</v>
    <v>1986</v>
  </rv>
  <rv s="2">
    <v>19</v>
  </rv>
  <rv s="0">
    <v>https://www.bing.com/financeapi/forcetrigger?t=ahidf2&amp;q=XNSE%3aIOC&amp;form=skydnc</v>
    <v>Learn more on Bing</v>
  </rv>
  <rv s="1">
    <v>en-IN</v>
    <v>ahidf2</v>
    <v>268435456</v>
    <v>1</v>
    <v>Powered by Refinitiv</v>
    <v>0</v>
    <v>INDIAN OIL CORPORATION LIMITED (XNSE:IOC)</v>
    <v>2</v>
    <v>8</v>
    <v>Finance</v>
    <v>9</v>
    <v>174.5</v>
    <v>110.72</v>
    <v>1.3267</v>
    <v>-2.2599999999999998</v>
    <v>-1.3170999999999999E-2</v>
    <v>INR</v>
    <v>Indian Oil Corporation Limited is an India-based oil company. The Company's segments include Petroleum Products, Petrochemicals, Gas, and Other Business Activities. Its Other Business Activities segment includes oil and gas exploration activities, explosives and cryogenic business, and wind mill and solar power generation. Its business interests span the entire hydrocarbon value-chain, ranging from refining (downstream), pipeline transportation and marketing to exploration and production of petrochemicals, natural gas and alternative energy. Its downstream business includes city gas distribution (CGD), natural gas supply to bulk consumers, and distribution and marketing of LPG and Industrial Fuels. Its green energy portfolio focuses on CBG and sustainable aviation fuel (SAF). It owns and operates approximately 10 refineries across India. Its subsidiaries include Chennai Petroleum Corporation Limited, IndianOil (Mauritius) Limited, IOC Sweden AB, and IndOil Global B.V., among others.</v>
    <v>29941</v>
    <v>National Stock Exchange of India</v>
    <v>XNSE</v>
    <v>XNSE</v>
    <v>3079/3, Sadiq Nagar, J B Tito Marg, NEW DELHI, DELHI, 110049 IN</v>
    <v>172.23</v>
    <v>Oil &amp; Gas</v>
    <v>Stock</v>
    <v>45980.492881944447</v>
    <v>21</v>
    <v>168.85</v>
    <v>2423063000000</v>
    <v>INDIAN OIL CORPORATION LIMITED</v>
    <v>INDIAN OIL CORPORATION LIMITED</v>
    <v>171.51</v>
    <v>9.3828999999999994</v>
    <v>171.59</v>
    <v>169.33</v>
    <v>14121240000</v>
    <v>IOC</v>
    <v>INDIAN OIL CORPORATION LIMITED (XNSE:IOC)</v>
    <v>10315121</v>
    <v>15891820</v>
    <v>1959</v>
  </rv>
  <rv s="2">
    <v>22</v>
  </rv>
  <rv s="0">
    <v>https://www.bing.com/financeapi/forcetrigger?t=a21t52&amp;q=XNYS%3aSHEL&amp;form=skydnc</v>
    <v>Learn more on Bing</v>
  </rv>
  <rv s="1">
    <v>en-IN</v>
    <v>a21t52</v>
    <v>268435456</v>
    <v>1</v>
    <v>Powered by Refinitiv</v>
    <v>0</v>
    <v>SHELL PLC (XNYS:SHEL)</v>
    <v>2</v>
    <v>3</v>
    <v>Finance</v>
    <v>4</v>
    <v>77.47</v>
    <v>58.545000000000002</v>
    <v>0.1482</v>
    <v>-8.5000000000000006E-2</v>
    <v>-1.127E-3</v>
    <v>USD</v>
    <v>Shell plc is an international energy company engaged in the principal aspects of the energy and petrochemical industries. Its segments include Integrated Gas, Upstream, Marketing, Chemicals and Products, Renewables and Energy Solutions, and Corporate. The Integrated Gas segment includes liquefied natural gas (LNG), conversion of natural gas into gas-to-liquids (GTL) fuels and other products. It includes natural gas and liquids exploration and extraction, and the operation of the upstream and midstream infrastructure. The Upstream segment includes exploration and extraction of crude oil, natural gas and natural gas liquids. It also markets and transports oil and gas and operates the infrastructure necessary to deliver them to the market. The Marketing segment comprises the Mobility, Lubricants, and Sectors &amp; Decarbonization businesses. The Chemicals and Products segment includes chemical manufacturing plants, with their own marketing network, and refineries.</v>
    <v>96000</v>
    <v>New York Stock Exchange</v>
    <v>XNYS</v>
    <v>XNYS</v>
    <v>Shell Centre, 2 York Road, LONDON, UNITED KINGDOM-NA, SE1 7NA GB</v>
    <v>75.52</v>
    <v>Oil &amp; Gas</v>
    <v>Stock</v>
    <v>45980.03526342578</v>
    <v>24</v>
    <v>74.010000000000005</v>
    <v>216909900000</v>
    <v>SHELL PLC</v>
    <v>SHELL PLC</v>
    <v>74.16</v>
    <v>15.4901</v>
    <v>75.400000000000006</v>
    <v>75.314999999999998</v>
    <v>2881836000</v>
    <v>SHEL</v>
    <v>SHELL PLC (XNYS:SHEL)</v>
    <v>54770</v>
    <v>4211477</v>
    <v>2002</v>
  </rv>
  <rv s="2">
    <v>25</v>
  </rv>
  <rv s="0">
    <v>https://www.bing.com/financeapi/forcetrigger?t=a24e9c&amp;q=XNYS%3aTTE&amp;form=skydnc</v>
    <v>Learn more on Bing</v>
  </rv>
  <rv s="1">
    <v>en-IN</v>
    <v>a24e9c</v>
    <v>268435456</v>
    <v>1</v>
    <v>Powered by Refinitiv</v>
    <v>0</v>
    <v>TotalEnergies SE (XNYS:TTE)</v>
    <v>2</v>
    <v>3</v>
    <v>Finance</v>
    <v>10</v>
    <v>65.760000000000005</v>
    <v>52.78</v>
    <v>0.2177</v>
    <v>-0.06</v>
    <v>-9.2289999999999994E-4</v>
    <v>USD</v>
    <v>TotalEnergies SE is a France-based company. The Company is predominantly engaged in the business as a worldwide oil group. Its segment divisions are divided into refining and chemistry such as refining of petroleum products and manufacture of basic chemistry and of specialty chemistry, petroleum products distribution, electricity generation from combined cycle gas plants and renewable energies, gas production, trading, transport and distribution primarily includes liquefied natural gas, natural gas, biogas, hydrogen, liquefied petroleum gas and hydrocarbon operating and production. The group is also operating in trading and sea transport of crude oil and oil products.</v>
    <v>102887</v>
    <v>New York Stock Exchange</v>
    <v>XNYS</v>
    <v>XNYS</v>
    <v>Tour Coupole - 2, place Jean Millier, Paris La Defense Cedex, PARIS, ILE-DE-FRANCE, 92078 FR</v>
    <v>65.144999999999996</v>
    <v>Oil &amp; Gas</v>
    <v>Stock</v>
    <v>45979.993806330465</v>
    <v>27</v>
    <v>63.86</v>
    <v>144945100000</v>
    <v>TotalEnergies SE</v>
    <v>TotalEnergies SE</v>
    <v>63.99</v>
    <v>10.0375</v>
    <v>65.010000000000005</v>
    <v>64.95</v>
    <v>2206585000</v>
    <v>TTE</v>
    <v>TotalEnergies SE (XNYS:TTE)</v>
    <v>5047</v>
    <v>1273729</v>
    <v>1954</v>
  </rv>
  <rv s="2">
    <v>28</v>
  </rv>
  <rv s="0">
    <v>https://www.bing.com/financeapi/forcetrigger?t=bzzy8m&amp;q=XMEX%3a883N&amp;form=skydnc</v>
    <v>Learn more on Bing</v>
  </rv>
  <rv s="4">
    <v>en-IN</v>
    <v>bzzy8m</v>
    <v>268435456</v>
    <v>1</v>
    <v>Powered by Refinitiv</v>
    <v>11</v>
    <v>CNOOC LIMITED (XMEX:883N)</v>
    <v>2</v>
    <v>12</v>
    <v>Finance</v>
    <v>0.30830000000000002</v>
    <v>MXN</v>
    <v>CNOOC Ltd is an investment holding company principally engaged in exploration, development, production and sale of crude oil and natural gas. The Company operates its businesses through three segments. Exploration and Production (E&amp;P) segment is mainly engaged in the exploration and production of conventional oil and gas, shale oil and gas, oil sands and other unconventional oil and gas. Trading Business segment is mainly involved in import and export and crude and gas. Corporate segment is mainly involved in technology development, asset management, product sales and other businesses. The Company conducts its businesses in the domestic market and overseas markets, including Asia, Africa, North America, South America, Oceania and Europe.</v>
    <v>22181</v>
    <v>Mexican Stock Exchange</v>
    <v>XMEX</v>
    <v>XMEX</v>
    <v>No. 25 Chaoyangmen North Avenue, Dongcheng District, BEIJING, BEIJING CN</v>
    <v>Oil &amp; Gas</v>
    <v>Stock</v>
    <v>30</v>
    <v>CNOOC LIMITED</v>
    <v>CNOOC LIMITED</v>
    <v>0</v>
    <v>47529950000</v>
    <v>883N</v>
    <v>CNOOC LIMITED (XMEX:883N)</v>
    <v>99502900</v>
    <v>1999</v>
  </rv>
  <rv s="2">
    <v>31</v>
  </rv>
  <rv s="0">
    <v>https://www.bing.com/financeapi/forcetrigger?t=ahj9zr&amp;q=XNSE%3aONGC&amp;form=skydnc</v>
    <v>Learn more on Bing</v>
  </rv>
  <rv s="1">
    <v>en-IN</v>
    <v>ahj9zr</v>
    <v>268435456</v>
    <v>1</v>
    <v>Powered by Refinitiv</v>
    <v>0</v>
    <v>OIL AND NATURAL GAS CORPORATION LIMITED (XNSE:ONGC)</v>
    <v>2</v>
    <v>8</v>
    <v>Finance</v>
    <v>9</v>
    <v>273.5</v>
    <v>205</v>
    <v>0.98909999999999998</v>
    <v>2.0499999999999998</v>
    <v>8.3009999999999994E-3</v>
    <v>INR</v>
    <v>Oil and Natural Gas Corporation Limited is an India-based integrated oil and gas company. The Company is engaged in exploration, development and production of crude oil, natural gas and value-added products in India and acquisition of oil and gas acreages outside India for exploration, development and production, downstream (Refining and marketing of petroleum products), Petrochemicals, Power Generation, liquefied natural gas (LNG) supply, Pipeline Transportation, special economic zone (SEZ) development, Helicopter services, Manufacturing of Ethanol and Sugar, Green and Renewable energy business. Its segments include Exploration and Production, Refining &amp; Marketing, and Petrochemicals. Its geographical segments consist of India, which includes offshore and onshore, and Outside India. Its subsidiaries include ONGC Videsh Limited, ONGC Green Limited, Mangalore Refinery and Petrochemicals Limited, Hindustan Petroleum Corporation Limited, HPCL Biofuels Limited, and among others.</v>
    <v>25319</v>
    <v>National Stock Exchange of India</v>
    <v>XNSE</v>
    <v>XNSE</v>
    <v>Deendayal Urja Bhawan, 5A, Nelson Mandela Marg, Vasant Kunj, NEW DELHI, DELHI, 110070 IN</v>
    <v>250.3</v>
    <v>Oil &amp; Gas</v>
    <v>Stock</v>
    <v>45980.492881944447</v>
    <v>33</v>
    <v>245.4</v>
    <v>3106700000000</v>
    <v>OIL AND NATURAL GAS CORPORATION LIMITED</v>
    <v>OIL AND NATURAL GAS CORPORATION LIMITED</v>
    <v>246.95</v>
    <v>8.5731000000000002</v>
    <v>246.95</v>
    <v>249</v>
    <v>12580280000</v>
    <v>ONGC</v>
    <v>OIL AND NATURAL GAS CORPORATION LIMITED (XNSE:ONGC)</v>
    <v>7075882</v>
    <v>8693770</v>
    <v>1993</v>
  </rv>
  <rv s="2">
    <v>34</v>
  </rv>
  <rv s="5">
    <v>en-IN</v>
    <v>cdv71h</v>
    <v>268435456</v>
    <v>1</v>
    <v>Powered by Refinitiv</v>
    <v>13</v>
    <v>SOUTHERN ENERGY CORP. (NEOE:SOU)</v>
    <v>14</v>
    <v>15</v>
    <v>Finance</v>
    <v>16</v>
    <v>0.17</v>
    <v>0.05</v>
    <v>0.64410000000000001</v>
    <v>-5.0000000000000001E-3</v>
    <v>-7.1429000000000006E-2</v>
    <v>CAD</v>
    <v>Southern Energy Corp. is a Canada-based natural gas exploration and production company. The Company has a primary focus on acquiring and developing conventional natural gas and light oil resources in the southeast Gulf States of Mississippi, Louisiana, and East Texas. It has three assets in the Mississippi Interior Salt Basin (MISB), which include the Gwinville, Mechanicsburg, and Mount Olive East fields. It operates and owns a working interest in approximately 20,400 held by the production acres of land in the Gwinville field. The Company operates and owns a working interest in over 3,400 held by production acres of land in the Mechanicsburg field. It owns and operates production from a number of other fields in the MISB within over 40 miles of Gwinville, including Greens Creek and Williamsburg South gas fields, along with minor oil production from the Magee field.</v>
    <v>13</v>
    <v>NEO Exchange</v>
    <v>NEOE</v>
    <v>NEOE</v>
    <v>Suite 2400, 333 - 7th Avenue S.W., CALGARY, AB, T2P 2Z1 CA</v>
    <v>6.5000000000000002E-2</v>
    <v>Oil &amp; Gas</v>
    <v>Stock</v>
    <v>45979.761794571095</v>
    <v>6.5000000000000002E-2</v>
    <v>22039660</v>
    <v>SOUTHERN ENERGY CORP.</v>
    <v>SOUTHERN ENERGY CORP.</v>
    <v>6.5000000000000002E-2</v>
    <v>7.0000000000000007E-2</v>
    <v>6.5000000000000002E-2</v>
    <v>339071700</v>
    <v>SOU</v>
    <v>SOUTHERN ENERGY CORP. (NEOE:SOU)</v>
    <v>20000</v>
    <v>401850</v>
    <v>2020</v>
  </rv>
  <rv s="2">
    <v>36</v>
  </rv>
  <rv s="0">
    <v>https://creativecommons.org/licenses/by-sa/3.0</v>
    <v>CC BY-SA 3.0</v>
  </rv>
  <rv s="0">
    <v>http://ru.wikipedia.org/wiki/Enbridge</v>
    <v>Wikipedia</v>
  </rv>
  <rv s="6">
    <v>38</v>
    <v>39</v>
  </rv>
  <rv s="7">
    <v>22</v>
    <v>https://www.bing.com/th?id=AMMS_2dff174a9486b673dc917f30af9876c5&amp;qlt=95</v>
    <v>40</v>
    <v>0</v>
    <v>https://www.bing.com/images/search?form=xlimg&amp;q=enbridge</v>
    <v>Image of Enbridge Inc.</v>
  </rv>
  <rv s="0">
    <v>https://www.bing.com/financeapi/forcetrigger?t=af9bvh&amp;q=XFRA%3aEN3&amp;form=skydnc</v>
    <v>Learn more on Bing</v>
  </rv>
  <rv s="8">
    <v>en-IN</v>
    <v>af9bvh</v>
    <v>268435456</v>
    <v>1</v>
    <v>Powered by Refinitiv</v>
    <v>17</v>
    <v>Enbridge Inc. (XFRA:EN3)</v>
    <v>19</v>
    <v>20</v>
    <v>Finance</v>
    <v>21</v>
    <v>44.73</v>
    <v>21.62</v>
    <v>0.81310000000000004</v>
    <v>-6.5000000000000002E-2</v>
    <v>-1.5640000000000001E-3</v>
    <v>EUR</v>
    <v>Enbridge Inc. is an energy transportation and distribution company. The Company operates through five business segments: Liquids Pipelines, Gas Transmission and Midstream, Gas Distribution and Storage, Renewable Power Generation, and Energy Services. Liquids Pipelines consists of pipelines and terminals in Canada and the United States that transport and export various grades of crude oil and other liquid hydrocarbons. Gas Transmission and Midstream consists of its investments in natural gas pipelines and gathering and processing facilities in Canada and the United States. Gas Distribution and Storage consists of its natural gas utility operations. Renewable Power Generation consists of investments in wind and solar assets, geothermal, waste heat recovery, and transmission assets. Energy Services provides physical commodity marketing, logistics services, and energy marketing services. The Company owns Aitken Creek Gas Storage facility and Aitken Creek North Gas Storage facility.</v>
    <v>14500</v>
    <v>Deutsche Boerse AG</v>
    <v>XFRA</v>
    <v>XFRA</v>
    <v>200, Fifth Avenue Place, 425 - 1st Street S.W, CALGARY, AB, T2P 3L8 CA</v>
    <v>41.484999999999999</v>
    <v>41</v>
    <v>Oil &amp; Gas Related Equipment and Services</v>
    <v>Stock</v>
    <v>45980.5</v>
    <v>42</v>
    <v>41.484999999999999</v>
    <v>147242400000</v>
    <v>Enbridge Inc.</v>
    <v>Enbridge Inc.</v>
    <v>41.484999999999999</v>
    <v>26.4236</v>
    <v>41.55</v>
    <v>41.484999999999999</v>
    <v>2181046000</v>
    <v>EN3</v>
    <v>Enbridge Inc. (XFRA:EN3)</v>
    <v>920</v>
    <v>12460390</v>
    <v>1987</v>
  </rv>
  <rv s="2">
    <v>43</v>
  </rv>
  <rv s="0">
    <v>https://www.bing.com/financeapi/forcetrigger?t=a1rjbh&amp;q=XNYS%3aE&amp;form=skydnc</v>
    <v>Learn more on Bing</v>
  </rv>
  <rv s="9">
    <v>en-IN</v>
    <v>a1rjbh</v>
    <v>268435456</v>
    <v>1</v>
    <v>Powered by Refinitiv</v>
    <v>23</v>
    <v>Eni SpA (XNYS:E)</v>
    <v>2</v>
    <v>24</v>
    <v>Finance</v>
    <v>4</v>
    <v>38.469900000000003</v>
    <v>24.65</v>
    <v>0.62309999999999999</v>
    <v>-0.21</v>
    <v>-5.4969999999999993E-3</v>
    <v>USD</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New York Stock Exchange</v>
    <v>XNYS</v>
    <v>XNYS</v>
    <v>Piazza Ezio Vanoni, 1, SAN DONATO MILANESE, MILANO, 20097 IT</v>
    <v>38.14</v>
    <v>Oil &amp; Gas</v>
    <v>Stock</v>
    <v>45980.027371943746</v>
    <v>45</v>
    <v>37.619999999999997</v>
    <v>60301360000</v>
    <v>Eni SpA</v>
    <v>Eni SpA</v>
    <v>37.619999999999997</v>
    <v>18.249199999999998</v>
    <v>38.200000000000003</v>
    <v>37.99</v>
    <v>1573383000</v>
    <v>E</v>
    <v>Eni SpA (XNYS:E)</v>
    <v>3549</v>
    <v>268719</v>
  </rv>
  <rv s="2">
    <v>46</v>
  </rv>
  <rv s="0">
    <v>https://www.bing.com/financeapi/forcetrigger?t=a23rrw&amp;q=XNYS%3aSU&amp;form=skydnc</v>
    <v>Learn more on Bing</v>
  </rv>
  <rv s="9">
    <v>en-IN</v>
    <v>a23rrw</v>
    <v>268435456</v>
    <v>1</v>
    <v>Powered by Refinitiv</v>
    <v>23</v>
    <v>SUNCOR ENERGY INC. (XNYS:SU)</v>
    <v>2</v>
    <v>25</v>
    <v>Finance</v>
    <v>10</v>
    <v>45.45</v>
    <v>30.79</v>
    <v>0.7641</v>
    <v>0.79</v>
    <v>1.7788999999999999E-2</v>
    <v>USD</v>
    <v>Suncor Energy Inc. is a Canada-based integrated energy company. The Company's segments include Oil Sands, Exploration and Production (E&amp;P), and Refining and Marketing. Its operations include oil sands development, production and upgrading; offshore oil production; petroleum refining in Canada and the United States; and the Company’s Petro-Canada retail and wholesale distribution networks (including Canada’s Electric Highway, a coast-to-coast network of fast-charging electric vehicle (EV) stations). The Company is developing petroleum resources while advancing the transition to a lower-emissions future through investments in lower-emissions intensity power, renewable feedstock fuels and projects targeting emissions intensity. The Company also conducts energy trading activities focused primarily on the marketing and trading of crude oil, natural gas, byproducts, refined products and power. It also wholly owns the Fort Hills Project, which is located in Alberta's Athabasca region.</v>
    <v>15010</v>
    <v>New York Stock Exchange</v>
    <v>XNYS</v>
    <v>XNYS</v>
    <v>P.O. Box 2844, 150 - 6Th Avenue S.W., CALGARY, AB, T2P 3E3 CA</v>
    <v>45.45</v>
    <v>Oil &amp; Gas</v>
    <v>Stock</v>
    <v>45979.964022557811</v>
    <v>48</v>
    <v>43.89</v>
    <v>75019100000</v>
    <v>SUNCOR ENERGY INC.</v>
    <v>SUNCOR ENERGY INC.</v>
    <v>44.2</v>
    <v>14.724299999999999</v>
    <v>44.41</v>
    <v>45.2</v>
    <v>1201267000</v>
    <v>SU</v>
    <v>SUNCOR ENERGY INC. (XNYS:SU)</v>
    <v>6</v>
    <v>3999803</v>
  </rv>
  <rv s="2">
    <v>49</v>
  </rv>
  <rv s="0">
    <v>https://www.bing.com/financeapi/forcetrigger?t=ahh9h7&amp;q=XNSE%3aBPCL&amp;form=skydnc</v>
    <v>Learn more on Bing</v>
  </rv>
  <rv s="1">
    <v>en-IN</v>
    <v>ahh9h7</v>
    <v>268435456</v>
    <v>1</v>
    <v>Powered by Refinitiv</v>
    <v>0</v>
    <v>BHARAT PETROLEUM CORPORATION LIMITED (XNSE:BPCL)</v>
    <v>2</v>
    <v>8</v>
    <v>Finance</v>
    <v>9</v>
    <v>381.55</v>
    <v>234.01</v>
    <v>1.2990999999999999</v>
    <v>-6.2</v>
    <v>-1.6673E-2</v>
    <v>INR</v>
    <v>Bharat Petroleum Corporation Limited is an India-based company, which is engaged in the refining of crude oil and marketing of petroleum products. Its segments include Downstream Petroleum and Exploration &amp; Production of Hydrocarbons. Its businesses include fuels and services, Bharatgas, MAK lubricants, aviation services, gas, industrial and commercial, international trade, proficiency testing, and pipelines. It has a variety of product offerings, like petrol, diesel, automotive LPG and CNG along with premium petrol products like Speed and Speed 97. It offers specialized fuel station formats like Ghar, Highway Star, Pure for Sure, and other such services. MAK Lubricants provides lubricants and greases in India and international markets. It has refineries in Mumbai, Kochi and Bina, LPG bottling plants and Lube blending plants at various locations. Its marketing infrastructure includes a network of installations, depots, retail outlets, aviation fueling stations and LPG distributors.</v>
    <v>8747</v>
    <v>National Stock Exchange of India</v>
    <v>XNSE</v>
    <v>XNSE</v>
    <v>Bharat Bhavan, 4 &amp; 6, Currimbhoy Road, Ballard Estate, MUMBAI, MAHARASHTRA, 400001 IN</v>
    <v>372.9</v>
    <v>Oil &amp; Gas</v>
    <v>Stock</v>
    <v>45980.49287037037</v>
    <v>51</v>
    <v>364.85</v>
    <v>1613273000000</v>
    <v>BHARAT PETROLEUM CORPORATION LIMITED</v>
    <v>BHARAT PETROLEUM CORPORATION LIMITED</v>
    <v>371.85</v>
    <v>7.3605999999999998</v>
    <v>371.85</v>
    <v>365.65</v>
    <v>4338505000</v>
    <v>BPCL</v>
    <v>BHARAT PETROLEUM CORPORATION LIMITED (XNSE:BPCL)</v>
    <v>7056032</v>
    <v>10884380</v>
    <v>1952</v>
  </rv>
  <rv s="2">
    <v>52</v>
  </rv>
  <rv s="10">
    <v>en-IN</v>
    <v>cautfr</v>
    <v>268435456</v>
    <v>1</v>
    <v>1</v>
    <v>Powered by Refinitiv</v>
    <v>26</v>
    <v>Cenovus Energy Inc. (XFRA:CXD3)</v>
    <v>14</v>
    <v>27</v>
    <v>Finance</v>
    <v>21</v>
    <v>1.2665999999999999</v>
    <v>0</v>
    <v>0</v>
    <v>EUR</v>
    <v>Cenovus Energy Inc. is a Canada-based integrated energy company. The Company has oil and natural gas production operations in Canada and the Asia Pacific region, and upgrading, refining and marketing operations in Canada and the United States. The Company's segments include Upstream, Downstream, and Corporate and Eliminations. Its Upstream segment includes Oil Sands, Conventional, and Offshore. Its Downstream segment consists of Canadian Manufacturing and the United States Manufacturing. The Company's upstream operations include oil sands projects in northern Alberta, thermal and conventional crude oil, natural gas and natural gas liquids (NGLs) projects across Western Canada, crude oil production offshore Newfoundland and Labrador and natural gas and NGLs production offshore China and Indonesia. The Company's downstream operations include upgrading and refining operations in Canada and the United States, and commercial fuel operations across Canada.</v>
    <v>7150</v>
    <v>Deutsche Boerse AG</v>
    <v>XFRA</v>
    <v>XFRA</v>
    <v>225 - 6 Avenue S.W., P.O. Box 766, CALGARY, AB, T2P 1N2 CA</v>
    <v>14.5</v>
    <v>Oil &amp; Gas</v>
    <v>Stock</v>
    <v>45835.836805555555</v>
    <v>14.5</v>
    <v>33834310000</v>
    <v>Cenovus Energy Inc.</v>
    <v>Cenovus Energy Inc.</v>
    <v>14.5</v>
    <v>14.5</v>
    <v>14.5</v>
    <v>1809321000</v>
    <v>CXD3</v>
    <v>Cenovus Energy Inc. (XFRA:CXD3)</v>
    <v>9364250</v>
    <v>2021</v>
  </rv>
  <rv s="2">
    <v>54</v>
  </rv>
</rvData>
</file>

<file path=xl/richData/rdrichvaluestructure.xml><?xml version="1.0" encoding="utf-8"?>
<rvStructures xmlns="http://schemas.microsoft.com/office/spreadsheetml/2017/richdata" count="11">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Beta"/>
    <k n="Currency" t="s"/>
    <k n="Description" t="s"/>
    <k n="Employees"/>
    <k n="Exchange" t="s"/>
    <k n="Exchange abbreviation" t="s"/>
    <k n="ExchangeID" t="s"/>
    <k n="Headquarters" t="s"/>
    <k n="Industry" t="s"/>
    <k n="Instrument type" t="s"/>
    <k n="LearnMoreOnLink" t="r"/>
    <k n="Name" t="s"/>
    <k n="Official name" t="s"/>
    <k n="Previous clos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OutdatedReason" t="i"/>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average"/>
    <k n="Year incorporated"/>
  </s>
</rvStructures>
</file>

<file path=xl/richData/rdsupportingpropertybag.xml><?xml version="1.0" encoding="utf-8"?>
<supportingPropertyBags xmlns="http://schemas.microsoft.com/office/spreadsheetml/2017/richdata2">
  <spbArrays count="7">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9">
      <v t="s">%EntityServiceId</v>
      <v t="s">_Format</v>
      <v t="s">%IsRefreshable</v>
      <v t="s">%EntityCulture</v>
      <v t="s">%EntityId</v>
      <v t="s">_Icon</v>
      <v t="s">_Display</v>
      <v t="s">Name</v>
      <v t="s">Exchange</v>
      <v t="s">Official name</v>
      <v t="s">Ticker symbol</v>
      <v t="s">Exchange abbreviation</v>
      <v t="s">Currency</v>
      <v t="s">Previous close</v>
      <v t="s">Volume average</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 average</v>
      <v t="s">Market cap</v>
      <v t="s">Beta</v>
      <v t="s">Shares outstanding</v>
      <v t="s">Description</v>
      <v t="s">Employees</v>
      <v t="s">Headquarters</v>
      <v t="s">Industry</v>
      <v t="s">Instrument type</v>
      <v t="s">Year incorporated</v>
      <v t="s">_Flags</v>
      <v t="s">UniqueName</v>
      <v t="s">_DisplayString</v>
      <v t="s">ExchangeID</v>
      <v t="s">%ProviderInfo</v>
      <v t="s">%OutdatedReason</v>
    </a>
  </spbArrays>
  <spbData count="28">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10</v>
      <v>2</v>
      <v>2</v>
      <v>10</v>
      <v>3</v>
      <v>10</v>
      <v>10</v>
      <v>10</v>
      <v>4</v>
      <v>4</v>
      <v>5</v>
      <v>11</v>
      <v>10</v>
      <v>10</v>
      <v>10</v>
      <v>4</v>
      <v>7</v>
      <v>8</v>
      <v>9</v>
      <v>4</v>
      <v>10</v>
      <v>10</v>
      <v>5</v>
    </spb>
    <spb s="6">
      <v>at close</v>
      <v>from previous close</v>
      <v>from previous close</v>
      <v>GMT</v>
      <v>Delayed 5 minutes</v>
      <v>from close</v>
      <v>from close</v>
    </spb>
    <spb s="3">
      <v>10</v>
      <v>2</v>
      <v>2</v>
      <v>10</v>
      <v>3</v>
      <v>10</v>
      <v>10</v>
      <v>10</v>
      <v>4</v>
      <v>4</v>
      <v>5</v>
      <v>11</v>
      <v>10</v>
      <v>10</v>
      <v>10</v>
      <v>4</v>
      <v>7</v>
      <v>8</v>
      <v>9</v>
      <v>4</v>
    </spb>
    <spb s="7">
      <v>Delayed 5 minutes</v>
      <v>from previous close</v>
      <v>from previous close</v>
      <v>GMT</v>
    </spb>
    <spb s="4">
      <v>Delayed 15 minutes</v>
      <v>from previous close</v>
      <v>from previous close</v>
      <v>Source: Nasdaq</v>
      <v>GMT</v>
    </spb>
    <spb s="0">
      <v>2</v>
      <v>Name</v>
      <v>LearnMoreOnLink</v>
    </spb>
    <spb s="8">
      <v>2</v>
      <v>3</v>
      <v>4</v>
      <v>12</v>
      <v>4</v>
      <v>8</v>
      <v>9</v>
      <v>4</v>
    </spb>
    <spb s="9">
      <v>3</v>
      <v>Name</v>
    </spb>
    <spb s="10">
      <v>1</v>
      <v>1</v>
      <v>1</v>
    </spb>
    <spb s="11">
      <v>13</v>
      <v>2</v>
      <v>13</v>
      <v>3</v>
      <v>13</v>
      <v>13</v>
      <v>13</v>
      <v>4</v>
      <v>4</v>
      <v>5</v>
      <v>14</v>
      <v>13</v>
      <v>13</v>
      <v>13</v>
      <v>4</v>
      <v>7</v>
      <v>8</v>
      <v>9</v>
      <v>4</v>
    </spb>
    <spb s="12">
      <v>from previous close</v>
      <v>from previous close</v>
      <v>GMT</v>
    </spb>
    <spb s="0">
      <v>4</v>
      <v>Name</v>
      <v>LearnMoreOnLink</v>
    </spb>
    <spb s="13">
      <v>0</v>
      <v>0</v>
    </spb>
    <spb s="14">
      <v>18</v>
      <v>1</v>
      <v>1</v>
      <v>1</v>
      <v>1</v>
    </spb>
    <spb s="15">
      <v>15</v>
      <v>2</v>
      <v>2</v>
      <v>15</v>
      <v>3</v>
      <v>15</v>
      <v>16</v>
      <v>15</v>
      <v>15</v>
      <v>4</v>
      <v>4</v>
      <v>5</v>
      <v>14</v>
      <v>15</v>
      <v>15</v>
      <v>15</v>
      <v>4</v>
      <v>7</v>
      <v>8</v>
      <v>9</v>
      <v>4</v>
    </spb>
    <spb s="7">
      <v>Delayed 15 minutes</v>
      <v>from previous close</v>
      <v>from previous close</v>
      <v>GMT</v>
    </spb>
    <spb s="16">
      <v>Powered by Refinitiv</v>
    </spb>
    <spb s="0">
      <v>5</v>
      <v>Name</v>
      <v>LearnMoreOnLink</v>
    </spb>
    <spb s="17">
      <v>1</v>
      <v>2</v>
      <v>2</v>
      <v>1</v>
      <v>3</v>
      <v>1</v>
      <v>1</v>
      <v>1</v>
      <v>4</v>
      <v>4</v>
      <v>5</v>
      <v>6</v>
      <v>1</v>
      <v>1</v>
      <v>1</v>
      <v>4</v>
      <v>7</v>
      <v>9</v>
      <v>4</v>
    </spb>
    <spb s="17">
      <v>1</v>
      <v>2</v>
      <v>2</v>
      <v>1</v>
      <v>3</v>
      <v>1</v>
      <v>1</v>
      <v>1</v>
      <v>4</v>
      <v>4</v>
      <v>5</v>
      <v>14</v>
      <v>1</v>
      <v>1</v>
      <v>1</v>
      <v>4</v>
      <v>7</v>
      <v>9</v>
      <v>4</v>
    </spb>
    <spb s="9">
      <v>6</v>
      <v>Name</v>
    </spb>
    <spb s="18">
      <v>15</v>
      <v>2</v>
      <v>15</v>
      <v>3</v>
      <v>15</v>
      <v>15</v>
      <v>15</v>
      <v>4</v>
      <v>5</v>
      <v>14</v>
      <v>15</v>
      <v>4</v>
      <v>7</v>
      <v>8</v>
      <v>9</v>
      <v>4</v>
    </spb>
  </spbData>
</supportingPropertyBags>
</file>

<file path=xl/richData/rdsupportingpropertybagstructure.xml><?xml version="1.0" encoding="utf-8"?>
<spbStructures xmlns="http://schemas.microsoft.com/office/spreadsheetml/2017/richdata2" count="1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Price" t="s"/>
    <k n="Change" t="s"/>
    <k n="Change (%)" t="s"/>
    <k n="Last trade time" t="s"/>
  </s>
  <s>
    <k n="Beta" t="i"/>
    <k n="Name" t="i"/>
    <k n="Employees" t="i"/>
    <k n="Previous close" t="i"/>
    <k n="Volume average" t="i"/>
    <k n="Year incorporated" t="i"/>
    <k n="`%EntityServiceId" t="i"/>
    <k n="Shares outstanding" t="i"/>
  </s>
  <s>
    <k n="^Order" t="spba"/>
    <k n="TitleProperty" t="s"/>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Beta" t="i"/>
    <k n="High" t="i"/>
    <k n="Name" t="i"/>
    <k n="Open" t="i"/>
    <k n="Price" t="i"/>
    <k n="Change" t="i"/>
    <k n="Employees" t="i"/>
    <k n="Change (%)" t="i"/>
    <k n="Market cap"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[$₹-en-IN] * #,##0.00_ ;_ [$₹-en-IN] * -#,##0.00_ ;_ [$₹-en-IN] * "-"??_ ;_ @_ </rpv>
    </rSty>
    <rSty dxfid="1">
      <rpv i="0" xml:space="preserve">_ [$₹-en-IN] * #,##0_ ;_ [$₹-en-IN] * -#,##0_ ;_ [$₹-en-IN] * "-"_ ;_ @_ </rpv>
    </rSty>
    <rSty dxfid="1">
      <rpv i="0">_-[$$-es-MX]* #,##0.00_-;-[$$-es-MX]* #,##0.00_-;_-[$$-es-MX]* "-"??_-;_-@_-</rpv>
    </rSty>
    <rSty dxfid="1">
      <rpv i="0">_-[$$-en-CA]* #,##0.00_-;-[$$-en-CA]* #,##0.00_-;_-[$$-en-CA]* "-"??_-;_-@_-</rpv>
    </rSty>
    <rSty dxfid="1">
      <rpv i="0">_-[$$-en-CA]* #,##0_-;-[$$-en-CA]* #,##0_-;_-[$$-en-CA]* "-"_-;_-@_-</rpv>
    </rSty>
    <rSty dxfid="1">
      <rpv i="0">_([$€-x-euro2] * #,##0.00_);_([$€-x-euro2] * (#,##0.00);_([$€-x-euro2] * "-"??_);_(@_)</rpv>
    </rSty>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A0917E-9240-440D-AF72-5A8534478448}" name="Table1" displayName="Table1" ref="A2:F10" totalsRowShown="0" headerRowDxfId="262" dataDxfId="261">
  <autoFilter ref="A2:F10" xr:uid="{49A0917E-9240-440D-AF72-5A8534478448}">
    <filterColumn colId="0" hiddenButton="1"/>
    <filterColumn colId="1" hiddenButton="1"/>
    <filterColumn colId="2" hiddenButton="1"/>
    <filterColumn colId="3" hiddenButton="1"/>
    <filterColumn colId="4" hiddenButton="1"/>
    <filterColumn colId="5" hiddenButton="1"/>
  </autoFilter>
  <tableColumns count="6">
    <tableColumn id="1" xr3:uid="{9AB0C038-B9B2-4B28-9D1A-9DFB2892ACD0}" name="Particulars" dataDxfId="260"/>
    <tableColumn id="2" xr3:uid="{2A9EFF16-D38C-4683-A9B2-24CA43444A70}" name="2020" dataDxfId="259" dataCellStyle="Comma"/>
    <tableColumn id="3" xr3:uid="{A788912A-68C1-4685-B42E-2B020A1F59A9}" name="2021" dataDxfId="258" dataCellStyle="Comma"/>
    <tableColumn id="4" xr3:uid="{52459D7A-2D68-475D-BB9C-A6B8E6863A1F}" name="2022" dataDxfId="257" dataCellStyle="Comma"/>
    <tableColumn id="5" xr3:uid="{A6D5EE69-6A99-4263-AE01-930D4BFFFE7F}" name="2023" dataDxfId="256" dataCellStyle="Comma"/>
    <tableColumn id="6" xr3:uid="{9C2E2A40-377C-44CB-86EE-0C743112EA14}" name="2024" dataDxfId="255" dataCellStyle="Comma"/>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2657A6-76ED-4D41-98C6-7A8F521DD93F}" name="Table2" displayName="Table2" ref="A13:F22" totalsRowShown="0" headerRowDxfId="254" dataDxfId="253">
  <autoFilter ref="A13:F22" xr:uid="{D72657A6-76ED-4D41-98C6-7A8F521DD93F}">
    <filterColumn colId="0" hiddenButton="1"/>
    <filterColumn colId="1" hiddenButton="1"/>
    <filterColumn colId="2" hiddenButton="1"/>
    <filterColumn colId="3" hiddenButton="1"/>
    <filterColumn colId="4" hiddenButton="1"/>
    <filterColumn colId="5" hiddenButton="1"/>
  </autoFilter>
  <tableColumns count="6">
    <tableColumn id="1" xr3:uid="{58DBAD21-4007-43B3-A9AC-A93A0B94FC7E}" name="Particulars" dataDxfId="252"/>
    <tableColumn id="2" xr3:uid="{88FBF0AF-AE94-48A2-AA2F-CF065D761DDA}" name="2020" dataDxfId="251" dataCellStyle="Comma"/>
    <tableColumn id="3" xr3:uid="{C527A5FB-E2C3-4E8C-90A2-AAD375D3C2FE}" name="2021" dataDxfId="250" dataCellStyle="Comma"/>
    <tableColumn id="4" xr3:uid="{33B1B32F-03EE-4DDE-8609-741CBB637128}" name="2022" dataDxfId="249" dataCellStyle="Comma"/>
    <tableColumn id="5" xr3:uid="{CDC19E84-E6E8-4CEE-9980-05F60CD79C16}" name="2023" dataDxfId="248" dataCellStyle="Comma"/>
    <tableColumn id="6" xr3:uid="{4332CB39-438C-48FE-837C-25DB9B458484}" name="2024" dataDxfId="247" dataCellStyle="Comma"/>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B85C8D-7107-4864-88B0-E294E7540663}" name="Table3" displayName="Table3" ref="A25:F29" totalsRowShown="0" headerRowDxfId="246" dataDxfId="245">
  <autoFilter ref="A25:F29" xr:uid="{5AB85C8D-7107-4864-88B0-E294E7540663}">
    <filterColumn colId="0" hiddenButton="1"/>
    <filterColumn colId="1" hiddenButton="1"/>
    <filterColumn colId="2" hiddenButton="1"/>
    <filterColumn colId="3" hiddenButton="1"/>
    <filterColumn colId="4" hiddenButton="1"/>
    <filterColumn colId="5" hiddenButton="1"/>
  </autoFilter>
  <tableColumns count="6">
    <tableColumn id="1" xr3:uid="{F8E73571-84C4-47CD-A58E-0F070ADF7B6A}" name="Particulars" dataDxfId="244"/>
    <tableColumn id="2" xr3:uid="{F3EBCB9B-BECA-4CDB-AC6A-D3564CA6B5D4}" name="2020" dataDxfId="243" dataCellStyle="Comma"/>
    <tableColumn id="3" xr3:uid="{6D060A6C-F566-4D7A-ACE8-DEAEA801782F}" name="2021" dataDxfId="242" dataCellStyle="Comma"/>
    <tableColumn id="4" xr3:uid="{4E5009A8-8546-469E-9A4F-7D417C303E09}" name="2022" dataDxfId="241" dataCellStyle="Comma"/>
    <tableColumn id="5" xr3:uid="{2A0D6B49-17C9-4430-9E1B-0F00EB5EAD0B}" name="2023" dataDxfId="240" dataCellStyle="Comma"/>
    <tableColumn id="6" xr3:uid="{9F6B1CE1-68CF-468E-B456-1B69271CD836}" name="2024" dataDxfId="239"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38136E-68EB-450E-A127-B53456935055}" name="Table18" displayName="Table18" ref="H2:M10" totalsRowShown="0" headerRowDxfId="238" dataDxfId="237">
  <autoFilter ref="H2:M10" xr:uid="{F938136E-68EB-450E-A127-B53456935055}">
    <filterColumn colId="0" hiddenButton="1"/>
    <filterColumn colId="1" hiddenButton="1"/>
    <filterColumn colId="2" hiddenButton="1"/>
    <filterColumn colId="3" hiddenButton="1"/>
    <filterColumn colId="4" hiddenButton="1"/>
    <filterColumn colId="5" hiddenButton="1"/>
  </autoFilter>
  <tableColumns count="6">
    <tableColumn id="1" xr3:uid="{C3217530-E6ED-49E7-9465-00B9EF7CBA55}" name="Particulars" dataDxfId="236"/>
    <tableColumn id="2" xr3:uid="{8A28E47C-CB6A-4511-834C-0A0B6A2293F7}" name="2020" dataDxfId="235" dataCellStyle="Comma"/>
    <tableColumn id="3" xr3:uid="{F0D8E508-BCB6-4D44-9C46-8555E759B4C8}" name="2021" dataDxfId="234" dataCellStyle="Comma"/>
    <tableColumn id="4" xr3:uid="{206819DA-A7A8-4330-8DD9-89A701873280}" name="2022" dataDxfId="233" dataCellStyle="Comma"/>
    <tableColumn id="5" xr3:uid="{4B826AFB-F45F-43B1-97DD-6EA662514947}" name="2023" dataDxfId="232" dataCellStyle="Comma"/>
    <tableColumn id="6" xr3:uid="{2C36A818-98E0-427F-AD51-481EC79801C5}" name="2024" dataDxfId="231" dataCellStyle="Comma"/>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0AAEF4-3432-4087-A6D5-7E372E03D50C}" name="Table29" displayName="Table29" ref="H13:M22" totalsRowShown="0" headerRowDxfId="230" dataDxfId="229">
  <autoFilter ref="H13:M22" xr:uid="{280AAEF4-3432-4087-A6D5-7E372E03D50C}">
    <filterColumn colId="0" hiddenButton="1"/>
    <filterColumn colId="1" hiddenButton="1"/>
    <filterColumn colId="2" hiddenButton="1"/>
    <filterColumn colId="3" hiddenButton="1"/>
    <filterColumn colId="4" hiddenButton="1"/>
    <filterColumn colId="5" hiddenButton="1"/>
  </autoFilter>
  <tableColumns count="6">
    <tableColumn id="1" xr3:uid="{60C27376-B146-4860-B506-4BD95F88EB3A}" name="Particulars" dataDxfId="228"/>
    <tableColumn id="2" xr3:uid="{1384FEDA-171A-4BF2-9CDA-C90841B1FD45}" name="2020" dataDxfId="227" dataCellStyle="Comma"/>
    <tableColumn id="3" xr3:uid="{94EE1139-3D01-4E2C-B715-D12D5D20EA08}" name="2021" dataDxfId="226" dataCellStyle="Comma"/>
    <tableColumn id="4" xr3:uid="{59B0F689-9C04-4815-9512-8A61DCE30A60}" name="2022" dataDxfId="225" dataCellStyle="Comma"/>
    <tableColumn id="5" xr3:uid="{F889AA6E-FF34-485E-802F-50EAF61FFCA0}" name="2023" dataDxfId="224" dataCellStyle="Comma"/>
    <tableColumn id="6" xr3:uid="{4AEEDA8D-98CC-4C6D-BF9F-BDD549671733}" name="2024" dataDxfId="223" dataCellStyle="Comma"/>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E1CB24-D2D4-4B73-920F-309403B0D856}" name="Table310" displayName="Table310" ref="H25:M29" totalsRowShown="0" headerRowDxfId="222" dataDxfId="221">
  <autoFilter ref="H25:M29" xr:uid="{6FE1CB24-D2D4-4B73-920F-309403B0D856}">
    <filterColumn colId="0" hiddenButton="1"/>
    <filterColumn colId="1" hiddenButton="1"/>
    <filterColumn colId="2" hiddenButton="1"/>
    <filterColumn colId="3" hiddenButton="1"/>
    <filterColumn colId="4" hiddenButton="1"/>
    <filterColumn colId="5" hiddenButton="1"/>
  </autoFilter>
  <tableColumns count="6">
    <tableColumn id="1" xr3:uid="{3D6E4934-6144-4E56-B033-234AB8BDF09A}" name="Particulars" dataDxfId="220"/>
    <tableColumn id="2" xr3:uid="{A04C4954-743B-409F-B016-58039E82B604}" name="2020" dataDxfId="219" dataCellStyle="Comma"/>
    <tableColumn id="3" xr3:uid="{356743ED-BF92-45DB-ACE7-91ABB535AA7D}" name="2021" dataDxfId="218" dataCellStyle="Comma"/>
    <tableColumn id="4" xr3:uid="{8CADBC0D-0141-4BA8-8EA8-E2204F59AD56}" name="2022" dataDxfId="217" dataCellStyle="Comma"/>
    <tableColumn id="5" xr3:uid="{585ACF09-8B44-4C3E-AF6B-A4E40E751440}" name="2023" dataDxfId="216" dataCellStyle="Comma"/>
    <tableColumn id="6" xr3:uid="{CE838EEB-16A6-4E6C-96A0-1E2C9C9C1A6F}" name="2024" dataDxfId="215" dataCellStyle="Comma"/>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DB755EB-F8C5-4074-9093-016230FDDFB2}" name="Table124" displayName="Table124" ref="O2:T10" totalsRowShown="0" headerRowDxfId="214" dataDxfId="213">
  <autoFilter ref="O2:T10" xr:uid="{6DB755EB-F8C5-4074-9093-016230FDDFB2}">
    <filterColumn colId="0" hiddenButton="1"/>
    <filterColumn colId="1" hiddenButton="1"/>
    <filterColumn colId="2" hiddenButton="1"/>
    <filterColumn colId="3" hiddenButton="1"/>
    <filterColumn colId="4" hiddenButton="1"/>
    <filterColumn colId="5" hiddenButton="1"/>
  </autoFilter>
  <tableColumns count="6">
    <tableColumn id="1" xr3:uid="{8D40241F-2852-492B-BA59-5D424322EF3C}" name="Particulars" dataDxfId="212"/>
    <tableColumn id="2" xr3:uid="{A2023BE5-29F1-4BB5-9286-3511DE50CAF8}" name="2020" dataDxfId="211" dataCellStyle="Comma"/>
    <tableColumn id="3" xr3:uid="{B25E2F51-6962-4D44-9FC4-8B206015F3EB}" name="2021" dataDxfId="210" dataCellStyle="Comma"/>
    <tableColumn id="4" xr3:uid="{87322EB6-C894-4CA0-AF3F-89FA76F87EE8}" name="2022" dataDxfId="209" dataCellStyle="Comma"/>
    <tableColumn id="5" xr3:uid="{25A16741-7EA8-40E8-86C4-F362C9062029}" name="2023" dataDxfId="208" dataCellStyle="Comma"/>
    <tableColumn id="6" xr3:uid="{2CFA9691-0C81-4AD8-986A-E898B7BB9F62}" name="2024" dataDxfId="207" dataCellStyle="Comma"/>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907FD67-0622-4C14-A244-EEE6AEBDF356}" name="Table225" displayName="Table225" ref="O13:T22" totalsRowShown="0" headerRowDxfId="206" dataDxfId="205">
  <autoFilter ref="O13:T22" xr:uid="{B907FD67-0622-4C14-A244-EEE6AEBDF356}">
    <filterColumn colId="0" hiddenButton="1"/>
    <filterColumn colId="1" hiddenButton="1"/>
    <filterColumn colId="2" hiddenButton="1"/>
    <filterColumn colId="3" hiddenButton="1"/>
    <filterColumn colId="4" hiddenButton="1"/>
    <filterColumn colId="5" hiddenButton="1"/>
  </autoFilter>
  <tableColumns count="6">
    <tableColumn id="1" xr3:uid="{3974084B-AA21-4161-B6B3-D5504272941E}" name="Particulars" dataDxfId="204"/>
    <tableColumn id="2" xr3:uid="{8E079F58-4A62-4BCD-B608-7D51A18BE9CF}" name="2020" dataDxfId="203" dataCellStyle="Comma"/>
    <tableColumn id="3" xr3:uid="{BA3D601C-8AF8-4AA9-A008-7D9BBDF68877}" name="2021" dataDxfId="202" dataCellStyle="Comma"/>
    <tableColumn id="4" xr3:uid="{057B5830-592D-48C7-AF9C-2BD176859F2B}" name="2022" dataDxfId="201" dataCellStyle="Comma"/>
    <tableColumn id="5" xr3:uid="{B52089EA-1614-41DB-BCA9-0A2E6F13A313}" name="2023" dataDxfId="200" dataCellStyle="Comma"/>
    <tableColumn id="6" xr3:uid="{BE34C699-700B-45D5-9AF9-767DDDC410A9}" name="2024" dataDxfId="199" dataCellStyle="Comma"/>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5EF787D-81B1-493B-A354-A678732BE0C7}" name="Table326" displayName="Table326" ref="O25:T29" totalsRowShown="0" headerRowDxfId="198" dataDxfId="197">
  <autoFilter ref="O25:T29" xr:uid="{A5EF787D-81B1-493B-A354-A678732BE0C7}">
    <filterColumn colId="0" hiddenButton="1"/>
    <filterColumn colId="1" hiddenButton="1"/>
    <filterColumn colId="2" hiddenButton="1"/>
    <filterColumn colId="3" hiddenButton="1"/>
    <filterColumn colId="4" hiddenButton="1"/>
    <filterColumn colId="5" hiddenButton="1"/>
  </autoFilter>
  <tableColumns count="6">
    <tableColumn id="1" xr3:uid="{3A9D336F-3CA2-413E-A9E7-F4258B15EC88}" name="Particulars" dataDxfId="196"/>
    <tableColumn id="2" xr3:uid="{D9B53F59-2F23-4283-8D6E-18416AB81F38}" name="2020" dataDxfId="195" dataCellStyle="Comma"/>
    <tableColumn id="3" xr3:uid="{FB5DA24A-6D21-41AA-A254-BC16B1874E1C}" name="2021" dataDxfId="194" dataCellStyle="Comma"/>
    <tableColumn id="4" xr3:uid="{5278A4E6-B14B-48AD-B6F5-78A81CEAC283}" name="2022" dataDxfId="193" dataCellStyle="Comma"/>
    <tableColumn id="5" xr3:uid="{5F693330-AA32-4903-893E-C9EABC1158F1}" name="2023" dataDxfId="192" dataCellStyle="Comma"/>
    <tableColumn id="6" xr3:uid="{615DFDAB-9CD6-4D76-A32E-5739207D301C}" name="2024" dataDxfId="191" dataCellStyle="Comma"/>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7E9322F-C2CD-42E4-A367-0CC0FF808DAD}" name="Table1827" displayName="Table1827" ref="W2:AB10" totalsRowShown="0" headerRowDxfId="190" dataDxfId="189">
  <autoFilter ref="W2:AB10" xr:uid="{E7E9322F-C2CD-42E4-A367-0CC0FF808DAD}">
    <filterColumn colId="0" hiddenButton="1"/>
    <filterColumn colId="1" hiddenButton="1"/>
    <filterColumn colId="2" hiddenButton="1"/>
    <filterColumn colId="3" hiddenButton="1"/>
    <filterColumn colId="4" hiddenButton="1"/>
    <filterColumn colId="5" hiddenButton="1"/>
  </autoFilter>
  <tableColumns count="6">
    <tableColumn id="1" xr3:uid="{5C03899B-D511-405F-93FB-8D1306EE298E}" name="Particulars" dataDxfId="188"/>
    <tableColumn id="2" xr3:uid="{9EE27228-F4B4-48B0-87A9-112F1273B488}" name="2020" dataDxfId="187" dataCellStyle="Comma"/>
    <tableColumn id="3" xr3:uid="{F818C577-7CC7-4EA3-931D-B64D6A45393E}" name="2021" dataDxfId="186" dataCellStyle="Comma"/>
    <tableColumn id="4" xr3:uid="{C6CC4701-7E37-4C3C-B2B0-88D210693F12}" name="2022" dataDxfId="185" dataCellStyle="Comma"/>
    <tableColumn id="5" xr3:uid="{4ED3CC3A-3006-4E39-8463-0317B511B729}" name="2023" dataDxfId="184" dataCellStyle="Comma"/>
    <tableColumn id="6" xr3:uid="{475C4A1F-403B-4CE8-9C82-C6E574AD12DB}" name="2024" dataDxfId="183" dataCellStyle="Comma"/>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9FBA771-719B-49EE-B6A5-C23E7C24FB9F}" name="Table2928" displayName="Table2928" ref="W13:AB22" totalsRowShown="0" headerRowDxfId="182" dataDxfId="181">
  <autoFilter ref="W13:AB22" xr:uid="{69FBA771-719B-49EE-B6A5-C23E7C24FB9F}">
    <filterColumn colId="0" hiddenButton="1"/>
    <filterColumn colId="1" hiddenButton="1"/>
    <filterColumn colId="2" hiddenButton="1"/>
    <filterColumn colId="3" hiddenButton="1"/>
    <filterColumn colId="4" hiddenButton="1"/>
    <filterColumn colId="5" hiddenButton="1"/>
  </autoFilter>
  <tableColumns count="6">
    <tableColumn id="1" xr3:uid="{2AD9C183-8613-4E9C-AB94-4D2506296CF5}" name="Particulars" dataDxfId="180"/>
    <tableColumn id="2" xr3:uid="{B7069435-69BC-4C91-B14D-F9470A7CC5E5}" name="2020" dataDxfId="179" dataCellStyle="Comma"/>
    <tableColumn id="3" xr3:uid="{AC8F5434-E309-405A-BEAE-9504D48AB80C}" name="2021" dataDxfId="178" dataCellStyle="Comma"/>
    <tableColumn id="4" xr3:uid="{93B0A9A8-FA4C-4FEC-A507-C22A0BB67823}" name="2022" dataDxfId="177" dataCellStyle="Comma"/>
    <tableColumn id="5" xr3:uid="{61ABD85B-A600-469B-85AD-AB79ECB160D7}" name="2023" dataDxfId="176" dataCellStyle="Comma"/>
    <tableColumn id="6" xr3:uid="{A0CC5F8C-7205-496E-879F-FC746D40C573}" name="2024" dataDxfId="175" dataCellStyle="Comma"/>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14E4E79-4B6F-4339-BC9B-B75426BAFE9B}" name="Table31029" displayName="Table31029" ref="W25:AB29" totalsRowShown="0" headerRowDxfId="174" dataDxfId="173">
  <autoFilter ref="W25:AB29" xr:uid="{B14E4E79-4B6F-4339-BC9B-B75426BAFE9B}">
    <filterColumn colId="0" hiddenButton="1"/>
    <filterColumn colId="1" hiddenButton="1"/>
    <filterColumn colId="2" hiddenButton="1"/>
    <filterColumn colId="3" hiddenButton="1"/>
    <filterColumn colId="4" hiddenButton="1"/>
    <filterColumn colId="5" hiddenButton="1"/>
  </autoFilter>
  <tableColumns count="6">
    <tableColumn id="1" xr3:uid="{860AEE2B-052E-4086-BD32-C14226CC2536}" name="Particulars" dataDxfId="172"/>
    <tableColumn id="2" xr3:uid="{231EB663-B0BB-4A0A-92F0-B372FCD00F37}" name="2020" dataDxfId="171" dataCellStyle="Comma"/>
    <tableColumn id="3" xr3:uid="{685FC25E-F041-4275-A9B6-B2808B0650CE}" name="2021" dataDxfId="170" dataCellStyle="Comma"/>
    <tableColumn id="4" xr3:uid="{53759ADA-AF54-4A36-A3AA-7EA5B4420556}" name="2022" dataDxfId="169" dataCellStyle="Comma"/>
    <tableColumn id="5" xr3:uid="{E18A07F1-06EE-419E-8671-05D5E55F65E6}" name="2023" dataDxfId="168" dataCellStyle="Comma"/>
    <tableColumn id="6" xr3:uid="{5832C540-7AF0-4AA8-88EB-4C2132076DD0}" name="2024" dataDxfId="167" dataCellStyle="Comma"/>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F97E745-D28B-42CB-88CE-599DD85B448B}" name="Table11" displayName="Table11" ref="O32:T35" totalsRowShown="0" headerRowDxfId="54" dataDxfId="55">
  <autoFilter ref="O32:T35" xr:uid="{CF97E745-D28B-42CB-88CE-599DD85B448B}">
    <filterColumn colId="0" hiddenButton="1"/>
    <filterColumn colId="1" hiddenButton="1"/>
    <filterColumn colId="2" hiddenButton="1"/>
    <filterColumn colId="3" hiddenButton="1"/>
    <filterColumn colId="4" hiddenButton="1"/>
    <filterColumn colId="5" hiddenButton="1"/>
  </autoFilter>
  <tableColumns count="6">
    <tableColumn id="1" xr3:uid="{DED86E26-CC7A-4B8D-B80F-CF01017C0672}" name="Particulars" dataDxfId="51"/>
    <tableColumn id="2" xr3:uid="{10EA2AD2-D74C-461E-8965-7BB36CB47CA8}" name="2020" dataDxfId="50"/>
    <tableColumn id="3" xr3:uid="{E46676BC-4FD0-418B-B1C6-045A4134A790}" name="2021" dataDxfId="49"/>
    <tableColumn id="4" xr3:uid="{78275384-E0DD-47DE-93DF-4F502D854964}" name="2022" dataDxfId="48"/>
    <tableColumn id="5" xr3:uid="{94E8770B-DC7C-4403-A569-CDAFA4B51C97}" name="2023" dataDxfId="47"/>
    <tableColumn id="6" xr3:uid="{F31DB8D3-FF96-406E-9E53-10BBFF81FAA4}" name="2024" dataDxfId="46"/>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20A7828-8EB8-41A4-9CB6-6E95995667EA}" name="Table12" displayName="Table12" ref="O37:U41" totalsRowShown="0" headerRowDxfId="52" dataDxfId="53">
  <autoFilter ref="O37:U41" xr:uid="{720A7828-8EB8-41A4-9CB6-6E95995667E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D65B66-EC16-4E10-A699-7F624BA346D0}" name="Particulars" dataDxfId="45"/>
    <tableColumn id="2" xr3:uid="{82B3F2B1-6F2F-4C81-A76C-97D266D2E89E}" name="2025" dataDxfId="44"/>
    <tableColumn id="3" xr3:uid="{3FC9DFB5-32B6-4B78-B9DC-54C918186282}" name="2026" dataDxfId="43"/>
    <tableColumn id="4" xr3:uid="{E81FE21F-FEB2-4494-B114-BD2CD472DBEA}" name="2027" dataDxfId="42"/>
    <tableColumn id="5" xr3:uid="{C4CB9556-A808-493F-B7FB-7E98FA7309D3}" name="2028" dataDxfId="41"/>
    <tableColumn id="6" xr3:uid="{018883C8-B6D3-4B65-8D92-BA27A4645EE7}" name="2029" dataDxfId="40"/>
    <tableColumn id="7" xr3:uid="{5CB94F27-3910-43F3-A9D3-EB2202092C97}" name="2030" dataDxfId="39"/>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6ABB1E-383F-4D21-9E1A-8E9909F56799}" name="Table1111" displayName="Table1111" ref="W32:AB35" totalsRowShown="0" headerRowDxfId="38" dataDxfId="37">
  <autoFilter ref="W32:AB35" xr:uid="{6C6ABB1E-383F-4D21-9E1A-8E9909F56799}">
    <filterColumn colId="0" hiddenButton="1"/>
    <filterColumn colId="1" hiddenButton="1"/>
    <filterColumn colId="2" hiddenButton="1"/>
    <filterColumn colId="3" hiddenButton="1"/>
    <filterColumn colId="4" hiddenButton="1"/>
    <filterColumn colId="5" hiddenButton="1"/>
  </autoFilter>
  <tableColumns count="6">
    <tableColumn id="1" xr3:uid="{39EA9515-5524-49FA-BA4F-CA27D8E4C05A}" name="Particulars" dataDxfId="36"/>
    <tableColumn id="2" xr3:uid="{F753C4D6-E467-49C5-A71D-12AB20159D21}" name="2020" dataDxfId="35"/>
    <tableColumn id="3" xr3:uid="{E44FD04D-32BC-4304-9FD8-7AD9DE0D6CD9}" name="2021" dataDxfId="34"/>
    <tableColumn id="4" xr3:uid="{7A88CAE7-BCD6-4409-A01C-55F98D4D84BD}" name="2022" dataDxfId="33"/>
    <tableColumn id="5" xr3:uid="{46DF1801-2398-4DDC-A55B-33E6313DA3C9}" name="2023" dataDxfId="32"/>
    <tableColumn id="6" xr3:uid="{CB4E8466-A42A-4251-B393-A570AC7A8F37}" name="2024" dataDxfId="31"/>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F4AA46-B61E-4580-B16A-A2E75843D132}" name="Table1212" displayName="Table1212" ref="W37:AC41" totalsRowShown="0" headerRowDxfId="30" dataDxfId="29">
  <autoFilter ref="W37:AC41" xr:uid="{C8F4AA46-B61E-4580-B16A-A2E75843D13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A8C514E-7D52-4B99-B0B2-2DD30ED00DE6}" name="Particulars" dataDxfId="28"/>
    <tableColumn id="2" xr3:uid="{494C0A19-173F-41B2-8F44-511FAEBB03AA}" name="2025" dataDxfId="27"/>
    <tableColumn id="3" xr3:uid="{4042C8F4-208A-425C-BE29-9483EB8832B0}" name="2026" dataDxfId="26"/>
    <tableColumn id="4" xr3:uid="{85A61EE5-D656-4778-95DF-7574A432AFED}" name="2027" dataDxfId="25"/>
    <tableColumn id="5" xr3:uid="{1EA0364A-ED93-416F-8597-21D4B12F8EE7}" name="2028" dataDxfId="24"/>
    <tableColumn id="6" xr3:uid="{62FAB5B9-10C3-4D8C-BAFD-0DD601473D9F}" name="2029" dataDxfId="23"/>
    <tableColumn id="7" xr3:uid="{4B74E265-270D-4D80-B01F-535025887E93}" name="2030" dataDxfId="22"/>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616723E-959C-4E64-BCF7-50CB82F8FED0}" name="Table1113" displayName="Table1113" ref="AE32:AJ35" totalsRowShown="0" headerRowDxfId="21" dataDxfId="20">
  <autoFilter ref="AE32:AJ35" xr:uid="{B616723E-959C-4E64-BCF7-50CB82F8FED0}">
    <filterColumn colId="0" hiddenButton="1"/>
    <filterColumn colId="1" hiddenButton="1"/>
    <filterColumn colId="2" hiddenButton="1"/>
    <filterColumn colId="3" hiddenButton="1"/>
    <filterColumn colId="4" hiddenButton="1"/>
    <filterColumn colId="5" hiddenButton="1"/>
  </autoFilter>
  <tableColumns count="6">
    <tableColumn id="1" xr3:uid="{23E1B6A1-A4C2-498A-8439-7823313A0DEB}" name="Particulars" dataDxfId="19"/>
    <tableColumn id="2" xr3:uid="{6DF563FE-2853-45F9-975C-72304EEA09F4}" name="2020" dataDxfId="18"/>
    <tableColumn id="3" xr3:uid="{377555FA-9B53-46B7-85F3-05955A9304E6}" name="2021" dataDxfId="17"/>
    <tableColumn id="4" xr3:uid="{4B6C5B72-65F0-44EF-A134-A65E55C7D792}" name="2022" dataDxfId="16"/>
    <tableColumn id="5" xr3:uid="{B6DA5080-84B7-4A07-B359-5BFC97F8F669}" name="2023" dataDxfId="15"/>
    <tableColumn id="6" xr3:uid="{A903BC28-5D78-4711-BB04-DA3403E20DC9}" name="2024" dataDxfId="14"/>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D5B318-651B-49A2-9E93-0220F546EDF9}" name="Table19" displayName="Table19" ref="H2:M7" totalsRowShown="0" headerRowDxfId="166" dataDxfId="164" headerRowBorderDxfId="165" tableBorderDxfId="163" totalsRowBorderDxfId="162">
  <autoFilter ref="H2:M7" xr:uid="{6DD5B318-651B-49A2-9E93-0220F546EDF9}">
    <filterColumn colId="0" hiddenButton="1"/>
    <filterColumn colId="1" hiddenButton="1"/>
    <filterColumn colId="2" hiddenButton="1"/>
    <filterColumn colId="3" hiddenButton="1"/>
    <filterColumn colId="4" hiddenButton="1"/>
    <filterColumn colId="5" hiddenButton="1"/>
  </autoFilter>
  <tableColumns count="6">
    <tableColumn id="1" xr3:uid="{EFF11CE3-6971-492A-8AF7-856D9A48DDB4}" name="Current" dataDxfId="161"/>
    <tableColumn id="2" xr3:uid="{FC6967BD-0CF1-48F8-8FFC-96764F42A791}" name="2020" dataDxfId="160"/>
    <tableColumn id="3" xr3:uid="{23659BB1-5E6B-4F5C-BABD-3D0B9A1160FA}" name="2021" dataDxfId="159"/>
    <tableColumn id="4" xr3:uid="{E283B90E-AA4E-4090-A661-9A72CA1EE487}" name="2022" dataDxfId="158"/>
    <tableColumn id="5" xr3:uid="{D39CAAD2-2027-4BB4-BF80-4EEBB815B9C3}" name="2023" dataDxfId="157"/>
    <tableColumn id="6" xr3:uid="{A3A6F562-02C3-4100-AB33-AC0D95FD4113}" name="2024" dataDxfId="156"/>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4786294-A789-4DFD-959D-84D43669F2B2}" name="Table17" displayName="Table17" ref="H18:N20" totalsRowShown="0" headerRowDxfId="155" dataDxfId="154" dataCellStyle="Percent">
  <autoFilter ref="H18:N20" xr:uid="{44786294-A789-4DFD-959D-84D43669F2B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EE4823-1493-4DF1-A6E7-2BC071FBBAF1}" name="Year" dataDxfId="153"/>
    <tableColumn id="2" xr3:uid="{D88064DB-3850-4B29-BC1A-F7CF18B66CE9}" name="1">
      <calculatedColumnFormula>C2</calculatedColumnFormula>
    </tableColumn>
    <tableColumn id="3" xr3:uid="{54348D5C-F1AC-43CD-A23F-A13B08812F49}" name="2" dataDxfId="152" dataCellStyle="Percent"/>
    <tableColumn id="4" xr3:uid="{564CE677-1DD1-48B2-BFAB-DB2635512D27}" name="3" dataDxfId="151" dataCellStyle="Percent"/>
    <tableColumn id="5" xr3:uid="{1CD72B97-7271-4EDE-9573-929F957E9DF6}" name="4" dataDxfId="150" dataCellStyle="Percent"/>
    <tableColumn id="6" xr3:uid="{8D4EE483-C1EA-4682-AC84-29AC0CBE985F}" name="5" dataDxfId="149" dataCellStyle="Percent"/>
    <tableColumn id="7" xr3:uid="{8DFDB9DF-A4AD-47E8-9981-6D816A3EAC52}" name="6" dataDxfId="148" dataCellStyle="Percent"/>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62C919C-0070-436D-B789-574A1A4F8394}" name="Table8" displayName="Table8" ref="A12:B22" totalsRowShown="0" headerRowDxfId="147" dataDxfId="146">
  <autoFilter ref="A12:B22" xr:uid="{562C919C-0070-436D-B789-574A1A4F8394}">
    <filterColumn colId="0" hiddenButton="1"/>
    <filterColumn colId="1" hiddenButton="1"/>
  </autoFilter>
  <tableColumns count="2">
    <tableColumn id="1" xr3:uid="{F3867C92-4910-4AF3-ADD7-0A11D03BB7A4}" name="Metrics" dataDxfId="145"/>
    <tableColumn id="2" xr3:uid="{DE64A989-597E-40B1-AA0E-C890DC982077}" name="Value" dataDxfId="144"/>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FAC33DD-49AB-4D95-897E-538D471F7C09}" name="Table9" displayName="Table9" ref="A2:G9" totalsRowShown="0" headerRowDxfId="143" dataDxfId="142" headerRowCellStyle="Percent">
  <autoFilter ref="A2:G9" xr:uid="{FFAC33DD-49AB-4D95-897E-538D471F7C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162BEA-647E-4D2B-8712-D50F87CAB18C}" name="Particulars" dataDxfId="141"/>
    <tableColumn id="2" xr3:uid="{424F44C1-EA95-40F8-816C-1AAE02E4415B}" name="2025" dataDxfId="140"/>
    <tableColumn id="3" xr3:uid="{BF0027C5-B30A-466D-ACFA-2AC54384AD35}" name="2026" dataDxfId="139"/>
    <tableColumn id="4" xr3:uid="{101EE436-FCE1-475B-86EB-F99F4455C157}" name="2027" dataDxfId="138"/>
    <tableColumn id="5" xr3:uid="{1392FA71-B6F3-4B4F-AA7D-0B813DC0EED7}" name="2028" dataDxfId="137"/>
    <tableColumn id="6" xr3:uid="{1324B4A8-8DDB-4880-B49E-C272B8428274}" name="2029" dataDxfId="136"/>
    <tableColumn id="7" xr3:uid="{1C1A422A-ED20-449B-8A68-3261BFED7A83}" name="2030" dataDxfId="135"/>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C6824C-91FA-492D-9A4C-8A836F5D8906}" name="Table10" displayName="Table10" ref="I2:O9" totalsRowShown="0" headerRowDxfId="134" dataDxfId="133" tableBorderDxfId="132" headerRowCellStyle="Percent">
  <autoFilter ref="I2:O9" xr:uid="{86C6824C-91FA-492D-9A4C-8A836F5D89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FE8CEB8-3ECA-4700-9C06-5BC6796E0BCC}" name="Particulars" dataDxfId="131"/>
    <tableColumn id="2" xr3:uid="{708074EC-CDC8-442A-8316-827F531FC3FD}" name="2025" dataDxfId="130" dataCellStyle="Comma"/>
    <tableColumn id="3" xr3:uid="{4526E0CD-49C1-4CEF-B1C5-0AB9C0CECFF1}" name="2026" dataDxfId="129" dataCellStyle="Comma"/>
    <tableColumn id="4" xr3:uid="{3F4934A1-6C08-4A47-A813-CBAA9709137B}" name="2027" dataDxfId="128" dataCellStyle="Comma"/>
    <tableColumn id="5" xr3:uid="{2E014ED7-644A-4D1B-BC3A-B2BA66A3E8A6}" name="2028" dataDxfId="127" dataCellStyle="Comma"/>
    <tableColumn id="6" xr3:uid="{090CE4D7-D464-4FE4-AECD-3D883318588E}" name="2029" dataDxfId="126" dataCellStyle="Comma"/>
    <tableColumn id="7" xr3:uid="{096545C0-D3D8-4720-B2C4-A5AB0A49A169}" name="2030" dataDxfId="125" dataCellStyle="Comma"/>
  </tableColumns>
  <tableStyleInfo name="TableStyleMedium1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276A5DC-63ED-4007-A216-7F73ED3DB4AF}" name="Table814" displayName="Table814" ref="I12:J22" totalsRowShown="0" headerRowDxfId="124" dataDxfId="123" tableBorderDxfId="122">
  <autoFilter ref="I12:J22" xr:uid="{0276A5DC-63ED-4007-A216-7F73ED3DB4AF}">
    <filterColumn colId="0" hiddenButton="1"/>
    <filterColumn colId="1" hiddenButton="1"/>
  </autoFilter>
  <tableColumns count="2">
    <tableColumn id="1" xr3:uid="{829A82AC-0ABF-430F-87F7-881986131A91}" name="Metrics" dataDxfId="121"/>
    <tableColumn id="2" xr3:uid="{B8E21655-20D0-4BEA-B4EA-34B79E5F5E86}" name="Value" dataDxfId="120"/>
  </tableColumns>
  <tableStyleInfo name="TableStyleMedium1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7FB2626-4B0D-4EAB-9CC9-B63A7762F0ED}" name="Table840" displayName="Table840" ref="Q12:R22" totalsRowShown="0" headerRowDxfId="119" dataDxfId="118">
  <autoFilter ref="Q12:R22" xr:uid="{87FB2626-4B0D-4EAB-9CC9-B63A7762F0ED}">
    <filterColumn colId="0" hiddenButton="1"/>
    <filterColumn colId="1" hiddenButton="1"/>
  </autoFilter>
  <tableColumns count="2">
    <tableColumn id="1" xr3:uid="{BA91D271-D68C-4D7D-8A39-8F480AD491AB}" name="Metrics" dataDxfId="117"/>
    <tableColumn id="2" xr3:uid="{9AE37EB6-6956-4149-BFB0-64E9D600982F}" name="Value" dataDxfId="116"/>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D49EDC8-F6C7-49D4-A34F-157E0A1004EF}" name="Table941" displayName="Table941" ref="Q2:W9" totalsRowShown="0" headerRowDxfId="115" dataDxfId="114" headerRowCellStyle="Percent">
  <autoFilter ref="Q2:W9" xr:uid="{1D49EDC8-F6C7-49D4-A34F-157E0A1004E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6030910-C14A-4BBE-AB5D-E59292807FC1}" name="Particulars" dataDxfId="113"/>
    <tableColumn id="2" xr3:uid="{7DEDC883-EA0F-4AF5-9420-C022DAF9BB3C}" name="2025" dataDxfId="112"/>
    <tableColumn id="3" xr3:uid="{55514E54-A130-414F-857D-CBE1D661485D}" name="2026" dataDxfId="111"/>
    <tableColumn id="4" xr3:uid="{F6174968-19BA-49D9-A923-BB14685DB5A9}" name="2027" dataDxfId="110"/>
    <tableColumn id="5" xr3:uid="{54619B5B-193A-479A-913F-BAF508F27357}" name="2028" dataDxfId="109"/>
    <tableColumn id="6" xr3:uid="{3DEED6BE-5B14-4080-A9FB-566CCADE0CF4}" name="2029" dataDxfId="108"/>
    <tableColumn id="7" xr3:uid="{A0B60A3C-BBCD-4CE9-8530-53085A44D9E4}" name="2030" dataDxfId="107"/>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65C673-B702-4EAD-8B7A-58066E2E2561}" name="Table1042" displayName="Table1042" ref="Y2:AE9" totalsRowShown="0" headerRowDxfId="106" dataDxfId="105" tableBorderDxfId="104" headerRowCellStyle="Percent">
  <autoFilter ref="Y2:AE9" xr:uid="{5765C673-B702-4EAD-8B7A-58066E2E25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B20A569-68C4-4716-9F99-DC5EEB3AC00F}" name="Particulars" dataDxfId="103"/>
    <tableColumn id="2" xr3:uid="{503EAB4E-B43A-4801-813F-728F63C817A2}" name="2025" dataDxfId="102" dataCellStyle="Comma"/>
    <tableColumn id="3" xr3:uid="{8542F8B3-E101-4D6D-A713-F773CF63CA43}" name="2026" dataDxfId="101" dataCellStyle="Comma"/>
    <tableColumn id="4" xr3:uid="{1D672EF1-15AF-4EA1-97B4-9F6324407A1F}" name="2027" dataDxfId="100" dataCellStyle="Comma"/>
    <tableColumn id="5" xr3:uid="{C8B3353F-4627-4C2B-95FE-0B483AA5E23E}" name="2028" dataDxfId="99" dataCellStyle="Comma"/>
    <tableColumn id="6" xr3:uid="{8AFFE703-0F8A-491C-AC5F-C79809AA9BCA}" name="2029" dataDxfId="98" dataCellStyle="Comma"/>
    <tableColumn id="7" xr3:uid="{D8879B21-F5DB-4E08-A10B-029D4506A0F9}" name="2030" dataDxfId="97" dataCellStyle="Comma"/>
  </tableColumns>
  <tableStyleInfo name="TableStyleMedium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45A8E6D-6013-486E-9B4A-FAD314F08970}" name="Table81443" displayName="Table81443" ref="Y12:Z22" totalsRowShown="0" headerRowDxfId="96" dataDxfId="95" tableBorderDxfId="94">
  <autoFilter ref="Y12:Z22" xr:uid="{E45A8E6D-6013-486E-9B4A-FAD314F08970}">
    <filterColumn colId="0" hiddenButton="1"/>
    <filterColumn colId="1" hiddenButton="1"/>
  </autoFilter>
  <tableColumns count="2">
    <tableColumn id="1" xr3:uid="{210086D7-1DC6-4CD0-A70F-C8A806970F5C}" name="Metrics" dataDxfId="93"/>
    <tableColumn id="2" xr3:uid="{B142059E-80A9-47E6-B6CF-C9735EFD5C64}" name="Value" dataDxfId="92"/>
  </tableColumns>
  <tableStyleInfo name="TableStyleMedium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A548449-F006-46D0-9BD5-3F9C78650125}" name="Table84044" displayName="Table84044" ref="AG12:AH22" totalsRowShown="0" headerRowDxfId="91" dataDxfId="90">
  <autoFilter ref="AG12:AH22" xr:uid="{EA548449-F006-46D0-9BD5-3F9C78650125}">
    <filterColumn colId="0" hiddenButton="1"/>
    <filterColumn colId="1" hiddenButton="1"/>
  </autoFilter>
  <tableColumns count="2">
    <tableColumn id="1" xr3:uid="{F6037D49-E170-438F-AA88-1E377CF8FD7E}" name="Metrics" dataDxfId="89"/>
    <tableColumn id="2" xr3:uid="{DA227E1E-AD24-4B26-B7CC-1CA00DB1FD6D}" name="Value" dataDxfId="88"/>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61A254-5EA6-470F-8B48-B9AAB150C0CE}" name="Table94145" displayName="Table94145" ref="AG2:AM9" totalsRowShown="0" headerRowDxfId="87" dataDxfId="86" headerRowCellStyle="Percent">
  <autoFilter ref="AG2:AM9" xr:uid="{2061A254-5EA6-470F-8B48-B9AAB150C0C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D677DE4-BCCF-4F87-B7C6-0EACABA99E46}" name="Particulars" dataDxfId="85"/>
    <tableColumn id="2" xr3:uid="{7DD444F0-AC59-4CD2-9D49-1766586A69D5}" name="2025" dataDxfId="84"/>
    <tableColumn id="3" xr3:uid="{A9A024A2-2D44-4B06-92F8-B782455BA5FA}" name="2026" dataDxfId="83"/>
    <tableColumn id="4" xr3:uid="{E25288DD-865B-4198-B7D6-9CB745C4B37F}" name="2027" dataDxfId="82"/>
    <tableColumn id="5" xr3:uid="{0191160B-6375-4A2F-A6C2-A9CA72E58B15}" name="2028" dataDxfId="81"/>
    <tableColumn id="6" xr3:uid="{3E0FFDE7-C75F-42F5-92E1-7AE0BB18795A}" name="2029" dataDxfId="80"/>
    <tableColumn id="7" xr3:uid="{88DD4402-3125-44A3-8992-559208A6FF57}" name="2030" dataDxfId="79"/>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613EF4D-C336-4082-B440-4B64942FA025}" name="Table21" displayName="Table21" ref="A22:E27" totalsRowShown="0" headerRowDxfId="78" dataDxfId="77" tableBorderDxfId="76">
  <autoFilter ref="A22:E27" xr:uid="{5613EF4D-C336-4082-B440-4B64942FA025}">
    <filterColumn colId="0" hiddenButton="1"/>
    <filterColumn colId="1" hiddenButton="1"/>
    <filterColumn colId="2" hiddenButton="1"/>
    <filterColumn colId="3" hiddenButton="1"/>
    <filterColumn colId="4" hiddenButton="1"/>
  </autoFilter>
  <tableColumns count="5">
    <tableColumn id="1" xr3:uid="{A8C87AD9-4D87-4A1E-9FD6-185C6E513817}" name="Company" dataDxfId="75">
      <calculatedColumnFormula>H4</calculatedColumnFormula>
    </tableColumn>
    <tableColumn id="2" xr3:uid="{08EAAEF6-06E8-4BCB-B1DF-CCD0A388C3D8}" name="EBITDA" dataDxfId="74"/>
    <tableColumn id="3" xr3:uid="{1B58864F-E4D0-4D67-927A-9DB374D1E3B6}" name="Net Income" dataDxfId="73"/>
    <tableColumn id="4" xr3:uid="{6D6F4E78-5AC5-4402-8ADD-AABF99CE06C7}" name="Revenue" dataDxfId="72"/>
    <tableColumn id="5" xr3:uid="{F566BEDF-0287-493A-9F59-BEF7B823CA7A}" name="Book Value" dataDxfId="71"/>
  </tableColumns>
  <tableStyleInfo name="TableStyleDark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C86D63-0D8C-4E92-BA35-99349AC32BBD}" name="Table24" displayName="Table24" ref="H14:K19" totalsRowShown="0" headerRowDxfId="70" dataDxfId="69">
  <autoFilter ref="H14:K19" xr:uid="{D4C86D63-0D8C-4E92-BA35-99349AC32BBD}">
    <filterColumn colId="0" hiddenButton="1"/>
    <filterColumn colId="1" hiddenButton="1"/>
    <filterColumn colId="2" hiddenButton="1"/>
    <filterColumn colId="3" hiddenButton="1"/>
  </autoFilter>
  <tableColumns count="4">
    <tableColumn id="1" xr3:uid="{9EE128D9-40A7-4FC6-9649-3B5D52B8A059}" name="Company" dataDxfId="68">
      <calculatedColumnFormula>H4</calculatedColumnFormula>
    </tableColumn>
    <tableColumn id="2" xr3:uid="{6F82EE3F-F7F2-4E02-A58D-30C0A1318F7D}" name="Target Price" dataDxfId="67">
      <calculatedColumnFormula>AVERAGE(I4:L4)</calculatedColumnFormula>
    </tableColumn>
    <tableColumn id="3" xr3:uid="{21EE2108-6B4F-4E8C-9D30-51A7604840D1}" name="CMP" dataDxfId="66" dataCellStyle="Comma"/>
    <tableColumn id="4" xr3:uid="{B772C156-9D59-4B87-9D67-FE2B4FB7AC5F}" name="U/D" dataDxfId="65" dataCellStyle="Percent">
      <calculatedColumnFormula>(Table24[[#This Row],[Target Price]]-J15)/J15</calculatedColumnFormula>
    </tableColumn>
  </tableColumns>
  <tableStyleInfo name="TableStyleMedium13"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180DB0E-0E7A-4CE9-B8D7-3171412FD635}" name="Table45" displayName="Table45" ref="H3:M8" totalsRowShown="0" headerRowDxfId="64" dataDxfId="63" tableBorderDxfId="62" dataCellStyle="Comma">
  <autoFilter ref="H3:M8" xr:uid="{7180DB0E-0E7A-4CE9-B8D7-3171412FD635}">
    <filterColumn colId="0" hiddenButton="1"/>
    <filterColumn colId="1" hiddenButton="1"/>
    <filterColumn colId="2" hiddenButton="1"/>
    <filterColumn colId="3" hiddenButton="1"/>
    <filterColumn colId="4" hiddenButton="1"/>
    <filterColumn colId="5" hiddenButton="1"/>
  </autoFilter>
  <tableColumns count="6">
    <tableColumn id="1" xr3:uid="{F719F31F-5062-4490-B0B2-74B784B472BE}" name="Company" dataDxfId="61"/>
    <tableColumn id="2" xr3:uid="{7B14295A-0BE5-42B0-B859-46985F3B7D9C}" name="EV/EBITDA" dataDxfId="60" dataCellStyle="Comma">
      <calculatedColumnFormula>(B23*$B$20)/Relative!M4</calculatedColumnFormula>
    </tableColumn>
    <tableColumn id="3" xr3:uid="{0E5D5DFD-33D0-4FF6-94F3-7912C3C4C530}" name="P/E" dataDxfId="59" dataCellStyle="Comma">
      <calculatedColumnFormula>(C23*$C$20)/Relative!M4</calculatedColumnFormula>
    </tableColumn>
    <tableColumn id="4" xr3:uid="{98E9E828-99A8-47F6-81D3-C24410A5B7B5}" name="P/S" dataDxfId="58" dataCellStyle="Comma">
      <calculatedColumnFormula>(D23*$D$20)/Relative!M4</calculatedColumnFormula>
    </tableColumn>
    <tableColumn id="5" xr3:uid="{C772DAC0-3BC1-42E6-BA85-2E14DE6D4AFD}" name="P/B" dataDxfId="57" dataCellStyle="Comma">
      <calculatedColumnFormula>(E23*$E$20)/Relative!M4</calculatedColumnFormula>
    </tableColumn>
    <tableColumn id="6" xr3:uid="{3655213F-0A2D-486D-950B-3B2086D6A1E6}" name="Shares" dataDxfId="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H7" sqref="H7"/>
    </sheetView>
  </sheetViews>
  <sheetFormatPr defaultRowHeight="14.4" x14ac:dyDescent="0.3"/>
  <cols>
    <col min="1" max="1" width="8.88671875" style="1"/>
    <col min="2" max="3" width="22" style="2" customWidth="1"/>
    <col min="4" max="6" width="19.6640625" style="2" customWidth="1"/>
    <col min="7" max="16384" width="8.88671875" style="1"/>
  </cols>
  <sheetData>
    <row r="1" spans="1:6" ht="57.6" x14ac:dyDescent="0.3">
      <c r="A1" s="86" t="s">
        <v>0</v>
      </c>
      <c r="B1" s="87" t="e" vm="1">
        <v>#VALUE!</v>
      </c>
      <c r="C1" s="87" t="e" vm="2">
        <v>#VALUE!</v>
      </c>
      <c r="D1" s="87" t="e" vm="3">
        <v>#VALUE!</v>
      </c>
      <c r="E1" s="87" t="e" vm="4">
        <v>#VALUE!</v>
      </c>
      <c r="F1" s="88" t="e" vm="5">
        <v>#VALUE!</v>
      </c>
    </row>
    <row r="2" spans="1:6" ht="28.8" x14ac:dyDescent="0.3">
      <c r="A2" s="84" t="s">
        <v>1</v>
      </c>
      <c r="B2" s="85" t="str" cm="1">
        <f t="array" aca="1" ref="B2" ca="1">_FV(B1,"Official name",TRUE)</f>
        <v>EXXON MOBIL CORPORATION</v>
      </c>
      <c r="C2" s="85" t="str" cm="1">
        <f t="array" aca="1" ref="C2" ca="1">_FV(C1,"Official name",TRUE)</f>
        <v>CHEVRON CORPORATION</v>
      </c>
      <c r="D2" s="85" t="str" cm="1">
        <f t="array" aca="1" ref="D2" ca="1">_FV(D1,"Official name",TRUE)</f>
        <v>CONOCOPHILLIPS</v>
      </c>
      <c r="E2" s="85" t="str" cm="1">
        <f t="array" aca="1" ref="E2" ca="1">_FV(E1,"Official name",TRUE)</f>
        <v>MARATHON PETROLEUM CORPORATION</v>
      </c>
      <c r="F2" s="85" t="str" cm="1">
        <f t="array" aca="1" ref="F2" ca="1">_FV(F1,"Official name",TRUE)</f>
        <v>PHILLIPS 66</v>
      </c>
    </row>
    <row r="3" spans="1:6" ht="28.8" x14ac:dyDescent="0.3">
      <c r="A3" s="5" t="s">
        <v>2</v>
      </c>
      <c r="B3" s="6" cm="1">
        <f t="array" aca="1" ref="B3" ca="1">_FV(B1,"Price")</f>
        <v>119.03</v>
      </c>
      <c r="C3" s="6" cm="1">
        <f t="array" aca="1" ref="C3" ca="1">_FV(C1,"Price")</f>
        <v>153.59</v>
      </c>
      <c r="D3" s="6" cm="1">
        <f t="array" aca="1" ref="D3" ca="1">_FV(D1,"Price")</f>
        <v>89.66</v>
      </c>
      <c r="E3" s="6" cm="1">
        <f t="array" aca="1" ref="E3" ca="1">_FV(E1,"Price")</f>
        <v>199.61</v>
      </c>
      <c r="F3" s="6" cm="1">
        <f t="array" aca="1" ref="F3" ca="1">_FV(F1,"Price")</f>
        <v>138.41</v>
      </c>
    </row>
    <row r="4" spans="1:6" ht="28.8" x14ac:dyDescent="0.3">
      <c r="A4" s="5" t="s">
        <v>3</v>
      </c>
      <c r="B4" s="7" cm="1">
        <f t="array" aca="1" ref="B4" ca="1">_FV(B1,"Change (%)",TRUE)</f>
        <v>1.1472E-2</v>
      </c>
      <c r="C4" s="7" cm="1">
        <f t="array" aca="1" ref="C4" ca="1">_FV(C1,"Change (%)",TRUE)</f>
        <v>3.1350000000000002E-3</v>
      </c>
      <c r="D4" s="7" cm="1">
        <f t="array" aca="1" ref="D4" ca="1">_FV(D1,"Change (%)",TRUE)</f>
        <v>1.0595E-2</v>
      </c>
      <c r="E4" s="7" cm="1">
        <f t="array" aca="1" ref="E4" ca="1">_FV(E1,"Change (%)",TRUE)</f>
        <v>1.8574E-2</v>
      </c>
      <c r="F4" s="7" cm="1">
        <f t="array" aca="1" ref="F4" ca="1">_FV(F1,"Change (%)",TRUE)</f>
        <v>1.2880000000000001E-2</v>
      </c>
    </row>
    <row r="5" spans="1:6" ht="43.2" x14ac:dyDescent="0.3">
      <c r="A5" s="5" t="s">
        <v>4</v>
      </c>
      <c r="B5" s="8" cm="1">
        <f t="array" aca="1" ref="B5" ca="1">_FV(B1,"Shares outstanding",TRUE)</f>
        <v>4217166000</v>
      </c>
      <c r="C5" s="8" cm="1">
        <f t="array" aca="1" ref="C5" ca="1">_FV(C1,"Shares outstanding",TRUE)</f>
        <v>2013522000</v>
      </c>
      <c r="D5" s="8" cm="1">
        <f t="array" aca="1" ref="D5" ca="1">_FV(D1,"Shares outstanding",TRUE)</f>
        <v>1235718000</v>
      </c>
      <c r="E5" s="8" cm="1">
        <f t="array" aca="1" ref="E5" ca="1">_FV(E1,"Shares outstanding",TRUE)</f>
        <v>300602500</v>
      </c>
      <c r="F5" s="8" cm="1">
        <f t="array" aca="1" ref="F5" ca="1">_FV(F1,"Shares outstanding",TRUE)</f>
        <v>402921100</v>
      </c>
    </row>
    <row r="6" spans="1:6" x14ac:dyDescent="0.3">
      <c r="A6" s="5" t="s">
        <v>5</v>
      </c>
      <c r="B6" s="9">
        <f ca="1">B5/1000000</f>
        <v>4217.1660000000002</v>
      </c>
      <c r="C6" s="9">
        <f ca="1">C5/1000000</f>
        <v>2013.5219999999999</v>
      </c>
      <c r="D6" s="9">
        <f t="shared" ref="D6:F6" ca="1" si="0">D5/1000000</f>
        <v>1235.7180000000001</v>
      </c>
      <c r="E6" s="9">
        <f t="shared" ca="1" si="0"/>
        <v>300.60250000000002</v>
      </c>
      <c r="F6" s="9">
        <f t="shared" ca="1" si="0"/>
        <v>402.92110000000002</v>
      </c>
    </row>
    <row r="7" spans="1:6" ht="28.8" x14ac:dyDescent="0.3">
      <c r="A7" s="5" t="s">
        <v>6</v>
      </c>
      <c r="B7" s="10" cm="1">
        <f t="array" aca="1" ref="B7" ca="1">_FV(B1,"Market cap",TRUE)</f>
        <v>501969268980</v>
      </c>
      <c r="C7" s="10" cm="1">
        <f t="array" aca="1" ref="C7" ca="1">_FV(C1,"Market cap",TRUE)</f>
        <v>311733400000</v>
      </c>
      <c r="D7" s="10" cm="1">
        <f t="array" aca="1" ref="D7" ca="1">_FV(D1,"Market cap",TRUE)</f>
        <v>110794475880</v>
      </c>
      <c r="E7" s="10" cm="1">
        <f t="array" aca="1" ref="E7" ca="1">_FV(E1,"Market cap",TRUE)</f>
        <v>60003265025</v>
      </c>
      <c r="F7" s="10" cm="1">
        <f t="array" aca="1" ref="F7" ca="1">_FV(F1,"Market cap",TRUE)</f>
        <v>55768309451</v>
      </c>
    </row>
    <row r="8" spans="1:6" x14ac:dyDescent="0.3">
      <c r="A8" s="5" t="s">
        <v>5</v>
      </c>
      <c r="B8" s="11">
        <f ca="1">B7/1000000</f>
        <v>501969.26897999999</v>
      </c>
      <c r="C8" s="11">
        <f ca="1">C7/1000000</f>
        <v>311733.40000000002</v>
      </c>
      <c r="D8" s="11">
        <f t="shared" ref="D8:F8" ca="1" si="1">D7/1000000</f>
        <v>110794.47588</v>
      </c>
      <c r="E8" s="11">
        <f t="shared" ca="1" si="1"/>
        <v>60003.265025000001</v>
      </c>
      <c r="F8" s="11">
        <f t="shared" ca="1" si="1"/>
        <v>55768.309451000001</v>
      </c>
    </row>
    <row r="9" spans="1:6" x14ac:dyDescent="0.3">
      <c r="A9" s="5" t="s">
        <v>7</v>
      </c>
      <c r="B9" s="12" cm="1">
        <f t="array" aca="1" ref="B9" ca="1">_FV(B1,"Beta")</f>
        <v>0.36840000000000001</v>
      </c>
      <c r="C9" s="12" cm="1">
        <f t="array" aca="1" ref="C9" ca="1">_FV(C1,"Beta")</f>
        <v>0.67349999999999999</v>
      </c>
      <c r="D9" s="12" cm="1">
        <f t="array" aca="1" ref="D9" ca="1">_FV(D1,"Beta")</f>
        <v>0.3261</v>
      </c>
      <c r="E9" s="12" cm="1">
        <f t="array" aca="1" ref="E9" ca="1">_FV(E1,"Beta")</f>
        <v>0.70760000000000001</v>
      </c>
      <c r="F9" s="12" cm="1">
        <f t="array" aca="1" ref="F9" ca="1">_FV(F1,"Beta")</f>
        <v>0.90629999999999999</v>
      </c>
    </row>
    <row r="10" spans="1:6" x14ac:dyDescent="0.3">
      <c r="A10" s="5" t="s">
        <v>8</v>
      </c>
      <c r="B10" s="12" cm="1">
        <f t="array" aca="1" ref="B10" ca="1">_FV(B1,"P/E",TRUE)</f>
        <v>17.302499999999998</v>
      </c>
      <c r="C10" s="12" cm="1">
        <f t="array" aca="1" ref="C10" ca="1">_FV(C1,"P/E",TRUE)</f>
        <v>21.6919</v>
      </c>
      <c r="D10" s="12" cm="1">
        <f t="array" aca="1" ref="D10" ca="1">_FV(D1,"P/E",TRUE)</f>
        <v>12.6867</v>
      </c>
      <c r="E10" s="12" cm="1">
        <f t="array" aca="1" ref="E10" ca="1">_FV(E1,"P/E",TRUE)</f>
        <v>21.179500000000001</v>
      </c>
      <c r="F10" s="12" cm="1">
        <f t="array" aca="1" ref="F10" ca="1">_FV(F1,"P/E",TRUE)</f>
        <v>37.599600000000002</v>
      </c>
    </row>
    <row r="11" spans="1:6" x14ac:dyDescent="0.3">
      <c r="A11" s="5" t="s">
        <v>9</v>
      </c>
      <c r="B11" s="13" cm="1">
        <f t="array" aca="1" ref="B11" ca="1">_FV(B1,"Year incorporated",TRUE)</f>
        <v>1882</v>
      </c>
      <c r="C11" s="13" cm="1">
        <f t="array" aca="1" ref="C11" ca="1">_FV(C1,"Year incorporated",TRUE)</f>
        <v>1926</v>
      </c>
      <c r="D11" s="13" cm="1">
        <f t="array" aca="1" ref="D11" ca="1">_FV(D1,"Year incorporated",TRUE)</f>
        <v>2001</v>
      </c>
      <c r="E11" s="13" cm="1">
        <f t="array" aca="1" ref="E11" ca="1">_FV(E1,"Year incorporated",TRUE)</f>
        <v>2009</v>
      </c>
      <c r="F11" s="13" cm="1">
        <f t="array" aca="1" ref="F11" ca="1">_FV(F1,"Year incorporated",TRUE)</f>
        <v>2011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4D0C-9D9F-4F47-ACAC-58D79E07635C}">
  <dimension ref="A1:AK47"/>
  <sheetViews>
    <sheetView topLeftCell="AF22" workbookViewId="0">
      <selection activeCell="AE43" sqref="AE43:AK47"/>
    </sheetView>
  </sheetViews>
  <sheetFormatPr defaultRowHeight="14.4" x14ac:dyDescent="0.3"/>
  <cols>
    <col min="1" max="1" width="29.88671875" style="15" bestFit="1" customWidth="1"/>
    <col min="2" max="6" width="10.88671875" style="15" bestFit="1" customWidth="1"/>
    <col min="7" max="7" width="8.88671875" style="15"/>
    <col min="8" max="8" width="29.88671875" style="15" bestFit="1" customWidth="1"/>
    <col min="9" max="13" width="10.88671875" style="15" bestFit="1" customWidth="1"/>
    <col min="14" max="14" width="8.88671875" style="15"/>
    <col min="15" max="15" width="29.88671875" style="15" bestFit="1" customWidth="1"/>
    <col min="16" max="16" width="10" style="15" bestFit="1" customWidth="1"/>
    <col min="17" max="19" width="10" style="20" bestFit="1" customWidth="1"/>
    <col min="20" max="20" width="11" style="20" bestFit="1" customWidth="1"/>
    <col min="21" max="21" width="10.88671875" style="20" customWidth="1"/>
    <col min="22" max="22" width="8.88671875" style="20"/>
    <col min="23" max="23" width="29.88671875" style="20" bestFit="1" customWidth="1"/>
    <col min="24" max="25" width="10.88671875" style="15" bestFit="1" customWidth="1"/>
    <col min="26" max="26" width="10.88671875" style="20" bestFit="1" customWidth="1"/>
    <col min="27" max="27" width="11.6640625" style="20" bestFit="1" customWidth="1"/>
    <col min="28" max="28" width="10.88671875" style="20" bestFit="1" customWidth="1"/>
    <col min="29" max="29" width="10.88671875" style="20" customWidth="1"/>
    <col min="30" max="30" width="12.44140625" style="20" bestFit="1" customWidth="1"/>
    <col min="31" max="31" width="29.88671875" style="20" bestFit="1" customWidth="1"/>
    <col min="32" max="32" width="10.88671875" style="20" bestFit="1" customWidth="1"/>
    <col min="33" max="37" width="10.88671875" style="15" bestFit="1" customWidth="1"/>
    <col min="38" max="16384" width="8.88671875" style="15"/>
  </cols>
  <sheetData>
    <row r="1" spans="1:36" x14ac:dyDescent="0.3">
      <c r="A1" s="14" t="s">
        <v>10</v>
      </c>
      <c r="F1" s="16" t="s">
        <v>71</v>
      </c>
      <c r="H1" s="14" t="s">
        <v>10</v>
      </c>
      <c r="M1" s="16" t="s">
        <v>72</v>
      </c>
      <c r="O1" s="14" t="s">
        <v>10</v>
      </c>
      <c r="Q1" s="15"/>
      <c r="R1" s="15"/>
      <c r="S1" s="15"/>
      <c r="T1" s="16" t="s">
        <v>134</v>
      </c>
      <c r="U1" s="16"/>
      <c r="V1" s="15"/>
      <c r="W1" s="14" t="s">
        <v>10</v>
      </c>
      <c r="Z1" s="15"/>
      <c r="AA1" s="15"/>
      <c r="AB1" s="16" t="s">
        <v>135</v>
      </c>
      <c r="AC1" s="16"/>
      <c r="AE1" s="14" t="s">
        <v>10</v>
      </c>
      <c r="AF1" s="15"/>
      <c r="AJ1" s="16" t="s">
        <v>136</v>
      </c>
    </row>
    <row r="2" spans="1:36" ht="15" thickBot="1" x14ac:dyDescent="0.35">
      <c r="A2" s="15" t="s">
        <v>11</v>
      </c>
      <c r="B2" s="17" t="s">
        <v>12</v>
      </c>
      <c r="C2" s="17" t="s">
        <v>13</v>
      </c>
      <c r="D2" s="17" t="s">
        <v>14</v>
      </c>
      <c r="E2" s="17" t="s">
        <v>15</v>
      </c>
      <c r="F2" s="17" t="s">
        <v>16</v>
      </c>
      <c r="H2" s="15" t="s">
        <v>11</v>
      </c>
      <c r="I2" s="17" t="s">
        <v>12</v>
      </c>
      <c r="J2" s="17" t="s">
        <v>13</v>
      </c>
      <c r="K2" s="17" t="s">
        <v>14</v>
      </c>
      <c r="L2" s="17" t="s">
        <v>15</v>
      </c>
      <c r="M2" s="17" t="s">
        <v>16</v>
      </c>
      <c r="O2" s="15" t="s">
        <v>11</v>
      </c>
      <c r="P2" s="17" t="s">
        <v>12</v>
      </c>
      <c r="Q2" s="17" t="s">
        <v>13</v>
      </c>
      <c r="R2" s="17" t="s">
        <v>14</v>
      </c>
      <c r="S2" s="17" t="s">
        <v>15</v>
      </c>
      <c r="T2" s="17" t="s">
        <v>16</v>
      </c>
      <c r="U2" s="17"/>
      <c r="V2" s="15"/>
      <c r="W2" s="15" t="s">
        <v>11</v>
      </c>
      <c r="X2" s="17" t="s">
        <v>12</v>
      </c>
      <c r="Y2" s="17" t="s">
        <v>13</v>
      </c>
      <c r="Z2" s="17" t="s">
        <v>14</v>
      </c>
      <c r="AA2" s="17" t="s">
        <v>15</v>
      </c>
      <c r="AB2" s="17" t="s">
        <v>16</v>
      </c>
      <c r="AC2" s="17"/>
      <c r="AE2" s="110" t="s">
        <v>11</v>
      </c>
      <c r="AF2" s="111" t="s">
        <v>12</v>
      </c>
      <c r="AG2" s="111" t="s">
        <v>13</v>
      </c>
      <c r="AH2" s="111" t="s">
        <v>14</v>
      </c>
      <c r="AI2" s="111" t="s">
        <v>15</v>
      </c>
      <c r="AJ2" s="111" t="s">
        <v>16</v>
      </c>
    </row>
    <row r="3" spans="1:36" ht="15" thickTop="1" x14ac:dyDescent="0.3">
      <c r="A3" s="15" t="s">
        <v>17</v>
      </c>
      <c r="B3" s="18">
        <v>181502</v>
      </c>
      <c r="C3" s="18">
        <v>285640</v>
      </c>
      <c r="D3" s="18">
        <v>413680</v>
      </c>
      <c r="E3" s="18">
        <v>344582</v>
      </c>
      <c r="F3" s="18">
        <v>349585</v>
      </c>
      <c r="H3" s="15" t="s">
        <v>17</v>
      </c>
      <c r="I3" s="18">
        <v>94692</v>
      </c>
      <c r="J3" s="18">
        <v>162465</v>
      </c>
      <c r="K3" s="18">
        <v>246252</v>
      </c>
      <c r="L3" s="18">
        <v>200949</v>
      </c>
      <c r="M3" s="18">
        <v>202792</v>
      </c>
      <c r="O3" s="15" t="s">
        <v>17</v>
      </c>
      <c r="P3" s="18">
        <v>19256</v>
      </c>
      <c r="Q3" s="18">
        <v>48349</v>
      </c>
      <c r="R3" s="18">
        <v>82156</v>
      </c>
      <c r="S3" s="18">
        <v>58574</v>
      </c>
      <c r="T3" s="18">
        <v>56953</v>
      </c>
      <c r="U3" s="18"/>
      <c r="V3" s="15"/>
      <c r="W3" s="15" t="s">
        <v>17</v>
      </c>
      <c r="X3" s="18">
        <v>69032</v>
      </c>
      <c r="Y3" s="18">
        <v>120930</v>
      </c>
      <c r="Z3" s="18">
        <v>179952</v>
      </c>
      <c r="AA3" s="18">
        <v>150307</v>
      </c>
      <c r="AB3" s="18">
        <v>140412</v>
      </c>
      <c r="AC3" s="18"/>
      <c r="AE3" s="112" t="s">
        <v>17</v>
      </c>
      <c r="AF3" s="113">
        <v>65494</v>
      </c>
      <c r="AG3" s="113">
        <v>114852</v>
      </c>
      <c r="AH3" s="113">
        <v>175702</v>
      </c>
      <c r="AI3" s="113">
        <v>149890</v>
      </c>
      <c r="AJ3" s="113">
        <v>145496</v>
      </c>
    </row>
    <row r="4" spans="1:36" x14ac:dyDescent="0.3">
      <c r="A4" s="15" t="s">
        <v>18</v>
      </c>
      <c r="B4" s="18">
        <f>94007+30431</f>
        <v>124438</v>
      </c>
      <c r="C4" s="18">
        <f>155164+36035</f>
        <v>191199</v>
      </c>
      <c r="D4" s="18">
        <f>228959+42609</f>
        <v>271568</v>
      </c>
      <c r="E4" s="18">
        <f>36885+193029</f>
        <v>229914</v>
      </c>
      <c r="F4" s="18">
        <f>199454+39609</f>
        <v>239063</v>
      </c>
      <c r="H4" s="15" t="s">
        <v>18</v>
      </c>
      <c r="I4" s="18">
        <v>50488</v>
      </c>
      <c r="J4" s="18">
        <v>92249</v>
      </c>
      <c r="K4" s="18">
        <v>145416</v>
      </c>
      <c r="L4" s="18">
        <v>119196</v>
      </c>
      <c r="M4" s="18">
        <v>119206</v>
      </c>
      <c r="O4" s="15" t="s">
        <v>18</v>
      </c>
      <c r="P4" s="18">
        <v>8078</v>
      </c>
      <c r="Q4" s="18">
        <v>18158</v>
      </c>
      <c r="R4" s="18">
        <v>33971</v>
      </c>
      <c r="S4" s="18">
        <f>21975</f>
        <v>21975</v>
      </c>
      <c r="T4" s="18">
        <v>20012</v>
      </c>
      <c r="U4" s="18"/>
      <c r="V4" s="15"/>
      <c r="W4" s="15" t="s">
        <v>18</v>
      </c>
      <c r="X4" s="18">
        <v>65733</v>
      </c>
      <c r="Y4" s="18">
        <v>110008</v>
      </c>
      <c r="Z4" s="18">
        <v>151671</v>
      </c>
      <c r="AA4" s="18">
        <f>128566</f>
        <v>128566</v>
      </c>
      <c r="AB4" s="18">
        <v>126240</v>
      </c>
      <c r="AC4" s="18"/>
      <c r="AE4" s="114" t="s">
        <v>18</v>
      </c>
      <c r="AF4" s="115">
        <v>57707</v>
      </c>
      <c r="AG4" s="115">
        <v>102102</v>
      </c>
      <c r="AH4" s="115">
        <v>149932</v>
      </c>
      <c r="AI4" s="115">
        <v>128086</v>
      </c>
      <c r="AJ4" s="115">
        <v>129962</v>
      </c>
    </row>
    <row r="5" spans="1:36" x14ac:dyDescent="0.3">
      <c r="A5" s="15" t="s">
        <v>19</v>
      </c>
      <c r="B5" s="18">
        <f>10168+1285+1205+26122</f>
        <v>38780</v>
      </c>
      <c r="C5" s="18">
        <f>9574+1054+786+30239</f>
        <v>41653</v>
      </c>
      <c r="D5" s="18">
        <f>10095+1025+482+27919</f>
        <v>39521</v>
      </c>
      <c r="E5" s="18">
        <f>9919+751+714+29011</f>
        <v>40395</v>
      </c>
      <c r="F5" s="18">
        <f>9976+826+121+26288</f>
        <v>37211</v>
      </c>
      <c r="H5" s="15" t="s">
        <v>19</v>
      </c>
      <c r="I5" s="18">
        <f>20323+4213+1537+4499+880</f>
        <v>31452</v>
      </c>
      <c r="J5" s="18">
        <f>20726+4014+549+3963+688</f>
        <v>29940</v>
      </c>
      <c r="K5" s="18">
        <f>24714+4312+974+4032+295</f>
        <v>34327</v>
      </c>
      <c r="L5" s="18">
        <f>24887+4141+914+4220+212</f>
        <v>34374</v>
      </c>
      <c r="M5" s="18">
        <f>27464+4834+995+4716+195</f>
        <v>38204</v>
      </c>
      <c r="O5" s="15" t="s">
        <v>19</v>
      </c>
      <c r="P5" s="18">
        <f>22396-8078-5521-806</f>
        <v>7991</v>
      </c>
      <c r="Q5" s="18">
        <f>35637-7208-884-18158</f>
        <v>9387</v>
      </c>
      <c r="R5" s="18">
        <f>53928-7504-805-33971</f>
        <v>11648</v>
      </c>
      <c r="S5" s="18">
        <f>42286-21975-8270-780</f>
        <v>11261</v>
      </c>
      <c r="T5" s="18">
        <f>43281-20012-9599-783</f>
        <v>12887</v>
      </c>
      <c r="U5" s="18"/>
      <c r="V5" s="15"/>
      <c r="W5" s="15" t="s">
        <v>19</v>
      </c>
      <c r="X5" s="18">
        <f>81279-65733-3375</f>
        <v>12171</v>
      </c>
      <c r="Y5" s="18">
        <f>116630-110008-3364</f>
        <v>3258</v>
      </c>
      <c r="Z5" s="18">
        <f>158483-151671-3215</f>
        <v>3597</v>
      </c>
      <c r="AA5" s="18">
        <f>135793-3307-128566</f>
        <v>3920</v>
      </c>
      <c r="AB5" s="18">
        <f>133616-126240-3337</f>
        <v>4039</v>
      </c>
      <c r="AC5" s="18"/>
      <c r="AE5" s="116" t="s">
        <v>19</v>
      </c>
      <c r="AF5" s="117">
        <f>70458-57707-1395-499</f>
        <v>10857</v>
      </c>
      <c r="AG5" s="117">
        <f>113112-102102-1605-581</f>
        <v>8824</v>
      </c>
      <c r="AH5" s="117">
        <f>161063-149932-1629-619</f>
        <v>8883</v>
      </c>
      <c r="AI5" s="117">
        <f>140421-128086-1977-897</f>
        <v>9461</v>
      </c>
      <c r="AJ5" s="117">
        <f>142821-129962-2363-907</f>
        <v>9589</v>
      </c>
    </row>
    <row r="6" spans="1:36" x14ac:dyDescent="0.3">
      <c r="A6" s="14" t="s">
        <v>20</v>
      </c>
      <c r="B6" s="19">
        <f>B3-B4-B5</f>
        <v>18284</v>
      </c>
      <c r="C6" s="19">
        <f t="shared" ref="C6:F6" si="0">C3-C4-C5</f>
        <v>52788</v>
      </c>
      <c r="D6" s="19">
        <f t="shared" si="0"/>
        <v>102591</v>
      </c>
      <c r="E6" s="19">
        <f t="shared" si="0"/>
        <v>74273</v>
      </c>
      <c r="F6" s="19">
        <f t="shared" si="0"/>
        <v>73311</v>
      </c>
      <c r="G6" s="14"/>
      <c r="H6" s="14" t="s">
        <v>20</v>
      </c>
      <c r="I6" s="19">
        <f>I3-I4-I5</f>
        <v>12752</v>
      </c>
      <c r="J6" s="19">
        <f t="shared" ref="J6:M6" si="1">J3-J4-J5</f>
        <v>40276</v>
      </c>
      <c r="K6" s="19">
        <f t="shared" si="1"/>
        <v>66509</v>
      </c>
      <c r="L6" s="19">
        <f t="shared" si="1"/>
        <v>47379</v>
      </c>
      <c r="M6" s="19">
        <f t="shared" si="1"/>
        <v>45382</v>
      </c>
      <c r="O6" s="14" t="s">
        <v>20</v>
      </c>
      <c r="P6" s="19">
        <f>P3-P4-P5</f>
        <v>3187</v>
      </c>
      <c r="Q6" s="19">
        <f t="shared" ref="Q6:T6" si="2">Q3-Q4-Q5</f>
        <v>20804</v>
      </c>
      <c r="R6" s="19">
        <f t="shared" si="2"/>
        <v>36537</v>
      </c>
      <c r="S6" s="19">
        <f t="shared" si="2"/>
        <v>25338</v>
      </c>
      <c r="T6" s="19">
        <f t="shared" si="2"/>
        <v>24054</v>
      </c>
      <c r="U6" s="19"/>
      <c r="V6" s="14"/>
      <c r="W6" s="14" t="s">
        <v>20</v>
      </c>
      <c r="X6" s="19">
        <f>X3-X4-X5</f>
        <v>-8872</v>
      </c>
      <c r="Y6" s="19">
        <f t="shared" ref="Y6:AB6" si="3">Y3-Y4-Y5</f>
        <v>7664</v>
      </c>
      <c r="Z6" s="19">
        <f t="shared" si="3"/>
        <v>24684</v>
      </c>
      <c r="AA6" s="19">
        <f t="shared" si="3"/>
        <v>17821</v>
      </c>
      <c r="AB6" s="19">
        <f t="shared" si="3"/>
        <v>10133</v>
      </c>
      <c r="AC6" s="19"/>
      <c r="AE6" s="118" t="s">
        <v>20</v>
      </c>
      <c r="AF6" s="119">
        <f>AF3-AF4-AF5</f>
        <v>-3070</v>
      </c>
      <c r="AG6" s="119">
        <f t="shared" ref="AG6:AJ6" si="4">AG3-AG4-AG5</f>
        <v>3926</v>
      </c>
      <c r="AH6" s="119">
        <f t="shared" si="4"/>
        <v>16887</v>
      </c>
      <c r="AI6" s="119">
        <f t="shared" si="4"/>
        <v>12343</v>
      </c>
      <c r="AJ6" s="119">
        <f t="shared" si="4"/>
        <v>5945</v>
      </c>
    </row>
    <row r="7" spans="1:36" x14ac:dyDescent="0.3">
      <c r="A7" s="15" t="s">
        <v>21</v>
      </c>
      <c r="B7" s="18">
        <v>46009</v>
      </c>
      <c r="C7" s="18">
        <v>20607</v>
      </c>
      <c r="D7" s="18">
        <v>24040</v>
      </c>
      <c r="E7" s="18">
        <v>20641</v>
      </c>
      <c r="F7" s="18">
        <v>23442</v>
      </c>
      <c r="H7" s="15" t="s">
        <v>21</v>
      </c>
      <c r="I7" s="18">
        <v>19508</v>
      </c>
      <c r="J7" s="18">
        <v>17925</v>
      </c>
      <c r="K7" s="18">
        <v>16319</v>
      </c>
      <c r="L7" s="18">
        <v>17326</v>
      </c>
      <c r="M7" s="18">
        <v>17282</v>
      </c>
      <c r="O7" s="15" t="s">
        <v>21</v>
      </c>
      <c r="P7" s="18">
        <v>5521</v>
      </c>
      <c r="Q7" s="18">
        <v>7208</v>
      </c>
      <c r="R7" s="18">
        <v>7504</v>
      </c>
      <c r="S7" s="18">
        <v>8270</v>
      </c>
      <c r="T7" s="18">
        <v>9599</v>
      </c>
      <c r="U7" s="18"/>
      <c r="V7" s="15"/>
      <c r="W7" s="15" t="s">
        <v>21</v>
      </c>
      <c r="X7" s="18">
        <v>3375</v>
      </c>
      <c r="Y7" s="18">
        <v>3364</v>
      </c>
      <c r="Z7" s="18">
        <v>3215</v>
      </c>
      <c r="AA7" s="18">
        <v>3307</v>
      </c>
      <c r="AB7" s="18">
        <v>3337</v>
      </c>
      <c r="AC7" s="18"/>
      <c r="AE7" s="116" t="s">
        <v>21</v>
      </c>
      <c r="AF7" s="117">
        <v>1395</v>
      </c>
      <c r="AG7" s="117">
        <v>1605</v>
      </c>
      <c r="AH7" s="117">
        <v>1629</v>
      </c>
      <c r="AI7" s="117">
        <v>1977</v>
      </c>
      <c r="AJ7" s="117">
        <v>2363</v>
      </c>
    </row>
    <row r="8" spans="1:36" x14ac:dyDescent="0.3">
      <c r="A8" s="15" t="s">
        <v>22</v>
      </c>
      <c r="B8" s="18">
        <v>1158</v>
      </c>
      <c r="C8" s="18">
        <v>947</v>
      </c>
      <c r="D8" s="18">
        <v>798</v>
      </c>
      <c r="E8" s="18">
        <v>849</v>
      </c>
      <c r="F8" s="18">
        <v>996</v>
      </c>
      <c r="H8" s="15" t="s">
        <v>22</v>
      </c>
      <c r="I8" s="18">
        <v>697</v>
      </c>
      <c r="J8" s="18">
        <v>712</v>
      </c>
      <c r="K8" s="18">
        <v>516</v>
      </c>
      <c r="L8" s="18">
        <v>469</v>
      </c>
      <c r="M8" s="18">
        <v>594</v>
      </c>
      <c r="O8" s="15" t="s">
        <v>22</v>
      </c>
      <c r="P8" s="18">
        <v>806</v>
      </c>
      <c r="Q8" s="18">
        <v>884</v>
      </c>
      <c r="R8" s="18">
        <v>805</v>
      </c>
      <c r="S8" s="18">
        <v>780</v>
      </c>
      <c r="T8" s="18">
        <v>783</v>
      </c>
      <c r="U8" s="18"/>
      <c r="V8" s="15"/>
      <c r="W8" s="15" t="s">
        <v>22</v>
      </c>
      <c r="X8" s="18">
        <v>1365</v>
      </c>
      <c r="Y8" s="18">
        <v>1483</v>
      </c>
      <c r="Z8" s="18">
        <v>1000</v>
      </c>
      <c r="AA8" s="18">
        <v>525</v>
      </c>
      <c r="AB8" s="18">
        <v>839</v>
      </c>
      <c r="AC8" s="18"/>
      <c r="AE8" s="114" t="s">
        <v>22</v>
      </c>
      <c r="AF8" s="115">
        <v>499</v>
      </c>
      <c r="AG8" s="115">
        <v>581</v>
      </c>
      <c r="AH8" s="115">
        <v>619</v>
      </c>
      <c r="AI8" s="115">
        <v>897</v>
      </c>
      <c r="AJ8" s="115">
        <v>907</v>
      </c>
    </row>
    <row r="9" spans="1:36" x14ac:dyDescent="0.3">
      <c r="A9" s="15" t="s">
        <v>23</v>
      </c>
      <c r="B9" s="18">
        <v>-5632</v>
      </c>
      <c r="C9" s="18">
        <v>7636</v>
      </c>
      <c r="D9" s="18">
        <v>20176</v>
      </c>
      <c r="E9" s="18">
        <v>15429</v>
      </c>
      <c r="F9" s="18">
        <v>13810</v>
      </c>
      <c r="G9" s="14"/>
      <c r="H9" s="15" t="s">
        <v>23</v>
      </c>
      <c r="I9" s="18">
        <v>-1892</v>
      </c>
      <c r="J9" s="18">
        <v>5950</v>
      </c>
      <c r="K9" s="18">
        <v>14066</v>
      </c>
      <c r="L9" s="18">
        <v>8173</v>
      </c>
      <c r="M9" s="18">
        <v>9757</v>
      </c>
      <c r="O9" s="15" t="s">
        <v>23</v>
      </c>
      <c r="P9" s="18">
        <v>-485</v>
      </c>
      <c r="Q9" s="18">
        <v>4633</v>
      </c>
      <c r="R9" s="18">
        <v>9548</v>
      </c>
      <c r="S9" s="18">
        <v>5331</v>
      </c>
      <c r="T9" s="18">
        <v>4427</v>
      </c>
      <c r="U9" s="18"/>
      <c r="V9" s="14"/>
      <c r="W9" s="15" t="s">
        <v>23</v>
      </c>
      <c r="X9" s="18">
        <v>-2430</v>
      </c>
      <c r="Y9" s="18">
        <v>264</v>
      </c>
      <c r="Z9" s="18">
        <v>4491</v>
      </c>
      <c r="AA9" s="18">
        <v>2817</v>
      </c>
      <c r="AB9" s="18">
        <v>890</v>
      </c>
      <c r="AC9" s="18"/>
      <c r="AE9" s="116" t="s">
        <v>23</v>
      </c>
      <c r="AF9" s="117">
        <v>-1250</v>
      </c>
      <c r="AG9" s="117">
        <v>146</v>
      </c>
      <c r="AH9" s="117">
        <v>3248</v>
      </c>
      <c r="AI9" s="117">
        <v>2230</v>
      </c>
      <c r="AJ9" s="117">
        <v>500</v>
      </c>
    </row>
    <row r="10" spans="1:36" x14ac:dyDescent="0.3">
      <c r="A10" s="14" t="s">
        <v>24</v>
      </c>
      <c r="B10" s="19">
        <f>B6-B7-B8-B9</f>
        <v>-23251</v>
      </c>
      <c r="C10" s="19">
        <f t="shared" ref="C10:F10" si="5">C6-C7-C8-C9</f>
        <v>23598</v>
      </c>
      <c r="D10" s="19">
        <f t="shared" si="5"/>
        <v>57577</v>
      </c>
      <c r="E10" s="19">
        <f t="shared" si="5"/>
        <v>37354</v>
      </c>
      <c r="F10" s="19">
        <f t="shared" si="5"/>
        <v>35063</v>
      </c>
      <c r="G10" s="14"/>
      <c r="H10" s="14" t="s">
        <v>24</v>
      </c>
      <c r="I10" s="19">
        <f>I6-I7-I8-I9</f>
        <v>-5561</v>
      </c>
      <c r="J10" s="19">
        <f t="shared" ref="J10:M10" si="6">J6-J7-J8-J9</f>
        <v>15689</v>
      </c>
      <c r="K10" s="19">
        <f t="shared" si="6"/>
        <v>35608</v>
      </c>
      <c r="L10" s="19">
        <f t="shared" si="6"/>
        <v>21411</v>
      </c>
      <c r="M10" s="19">
        <f t="shared" si="6"/>
        <v>17749</v>
      </c>
      <c r="O10" s="14" t="s">
        <v>24</v>
      </c>
      <c r="P10" s="19">
        <f>P6-P7-P8-P9</f>
        <v>-2655</v>
      </c>
      <c r="Q10" s="19">
        <f t="shared" ref="Q10:T10" si="7">Q6-Q7-Q8-Q9</f>
        <v>8079</v>
      </c>
      <c r="R10" s="19">
        <f t="shared" si="7"/>
        <v>18680</v>
      </c>
      <c r="S10" s="19">
        <f t="shared" si="7"/>
        <v>10957</v>
      </c>
      <c r="T10" s="19">
        <f t="shared" si="7"/>
        <v>9245</v>
      </c>
      <c r="U10" s="19"/>
      <c r="V10" s="14"/>
      <c r="W10" s="14" t="s">
        <v>24</v>
      </c>
      <c r="X10" s="19">
        <f>X6-X7-X8-X9</f>
        <v>-11182</v>
      </c>
      <c r="Y10" s="19">
        <f t="shared" ref="Y10:AB10" si="8">Y6-Y7-Y8-Y9</f>
        <v>2553</v>
      </c>
      <c r="Z10" s="19">
        <f t="shared" si="8"/>
        <v>15978</v>
      </c>
      <c r="AA10" s="19">
        <f t="shared" si="8"/>
        <v>11172</v>
      </c>
      <c r="AB10" s="19">
        <f t="shared" si="8"/>
        <v>5067</v>
      </c>
      <c r="AC10" s="19"/>
      <c r="AE10" s="118" t="s">
        <v>24</v>
      </c>
      <c r="AF10" s="119">
        <f>AF6-AF7-AF8-AF9</f>
        <v>-3714</v>
      </c>
      <c r="AG10" s="119">
        <f t="shared" ref="AG10:AJ10" si="9">AG6-AG7-AG8-AG9</f>
        <v>1594</v>
      </c>
      <c r="AH10" s="119">
        <f t="shared" si="9"/>
        <v>11391</v>
      </c>
      <c r="AI10" s="119">
        <f t="shared" si="9"/>
        <v>7239</v>
      </c>
      <c r="AJ10" s="119">
        <f t="shared" si="9"/>
        <v>2175</v>
      </c>
    </row>
    <row r="11" spans="1:36" x14ac:dyDescent="0.3">
      <c r="Q11" s="15"/>
      <c r="R11" s="15"/>
      <c r="S11" s="15"/>
      <c r="T11" s="15"/>
      <c r="U11" s="15"/>
      <c r="V11" s="15"/>
      <c r="W11" s="15"/>
      <c r="Z11" s="15"/>
      <c r="AA11" s="15"/>
      <c r="AB11" s="15"/>
      <c r="AC11" s="15"/>
      <c r="AE11" s="15"/>
      <c r="AF11" s="15"/>
    </row>
    <row r="12" spans="1:36" x14ac:dyDescent="0.3">
      <c r="A12" s="14" t="s">
        <v>25</v>
      </c>
      <c r="H12" s="14" t="s">
        <v>25</v>
      </c>
      <c r="O12" s="14" t="s">
        <v>25</v>
      </c>
      <c r="Q12" s="15"/>
      <c r="R12" s="15"/>
      <c r="S12" s="15"/>
      <c r="T12" s="15"/>
      <c r="U12" s="15"/>
      <c r="V12" s="15"/>
      <c r="W12" s="14" t="s">
        <v>25</v>
      </c>
      <c r="Z12" s="15"/>
      <c r="AA12" s="15"/>
      <c r="AB12" s="15"/>
      <c r="AC12" s="15"/>
      <c r="AE12" s="14" t="s">
        <v>25</v>
      </c>
      <c r="AF12" s="15"/>
    </row>
    <row r="13" spans="1:36" ht="15" thickBot="1" x14ac:dyDescent="0.35">
      <c r="A13" s="15" t="s">
        <v>11</v>
      </c>
      <c r="B13" s="17" t="s">
        <v>12</v>
      </c>
      <c r="C13" s="17" t="s">
        <v>13</v>
      </c>
      <c r="D13" s="17" t="s">
        <v>14</v>
      </c>
      <c r="E13" s="17" t="s">
        <v>15</v>
      </c>
      <c r="F13" s="17" t="s">
        <v>16</v>
      </c>
      <c r="H13" s="15" t="s">
        <v>11</v>
      </c>
      <c r="I13" s="17" t="s">
        <v>12</v>
      </c>
      <c r="J13" s="17" t="s">
        <v>13</v>
      </c>
      <c r="K13" s="17" t="s">
        <v>14</v>
      </c>
      <c r="L13" s="17" t="s">
        <v>15</v>
      </c>
      <c r="M13" s="17" t="s">
        <v>16</v>
      </c>
      <c r="O13" s="15" t="s">
        <v>11</v>
      </c>
      <c r="P13" s="17" t="s">
        <v>12</v>
      </c>
      <c r="Q13" s="17" t="s">
        <v>13</v>
      </c>
      <c r="R13" s="17" t="s">
        <v>14</v>
      </c>
      <c r="S13" s="17" t="s">
        <v>15</v>
      </c>
      <c r="T13" s="17" t="s">
        <v>16</v>
      </c>
      <c r="U13" s="17"/>
      <c r="V13" s="15"/>
      <c r="W13" s="15" t="s">
        <v>11</v>
      </c>
      <c r="X13" s="17" t="s">
        <v>12</v>
      </c>
      <c r="Y13" s="17" t="s">
        <v>13</v>
      </c>
      <c r="Z13" s="17" t="s">
        <v>14</v>
      </c>
      <c r="AA13" s="17" t="s">
        <v>15</v>
      </c>
      <c r="AB13" s="17" t="s">
        <v>16</v>
      </c>
      <c r="AC13" s="17"/>
      <c r="AE13" s="110" t="s">
        <v>11</v>
      </c>
      <c r="AF13" s="111" t="s">
        <v>12</v>
      </c>
      <c r="AG13" s="111" t="s">
        <v>13</v>
      </c>
      <c r="AH13" s="111" t="s">
        <v>14</v>
      </c>
      <c r="AI13" s="111" t="s">
        <v>15</v>
      </c>
      <c r="AJ13" s="111" t="s">
        <v>16</v>
      </c>
    </row>
    <row r="14" spans="1:36" ht="15" thickTop="1" x14ac:dyDescent="0.3">
      <c r="A14" s="15" t="s">
        <v>26</v>
      </c>
      <c r="B14" s="18">
        <v>4364</v>
      </c>
      <c r="C14" s="18">
        <v>6802</v>
      </c>
      <c r="D14" s="18">
        <f>29640+25</f>
        <v>29665</v>
      </c>
      <c r="E14" s="18">
        <f>31539+29</f>
        <v>31568</v>
      </c>
      <c r="F14" s="18">
        <f>23029+158</f>
        <v>23187</v>
      </c>
      <c r="H14" s="15" t="s">
        <v>26</v>
      </c>
      <c r="I14" s="18">
        <v>5596</v>
      </c>
      <c r="J14" s="18">
        <v>5640</v>
      </c>
      <c r="K14" s="18">
        <v>17678</v>
      </c>
      <c r="L14" s="18">
        <v>8178</v>
      </c>
      <c r="M14" s="18">
        <v>6781</v>
      </c>
      <c r="O14" s="15" t="s">
        <v>26</v>
      </c>
      <c r="P14" s="18">
        <v>2991</v>
      </c>
      <c r="Q14" s="18">
        <v>5028</v>
      </c>
      <c r="R14" s="18">
        <v>6458</v>
      </c>
      <c r="S14" s="18">
        <v>5635</v>
      </c>
      <c r="T14" s="18">
        <v>5607</v>
      </c>
      <c r="U14" s="18"/>
      <c r="V14" s="15"/>
      <c r="W14" s="15" t="s">
        <v>26</v>
      </c>
      <c r="X14" s="18">
        <v>415</v>
      </c>
      <c r="Y14" s="18">
        <v>5291</v>
      </c>
      <c r="Z14" s="18">
        <v>8625</v>
      </c>
      <c r="AA14" s="18">
        <v>5443</v>
      </c>
      <c r="AB14" s="18">
        <v>3210</v>
      </c>
      <c r="AC14" s="18"/>
      <c r="AE14" s="112" t="s">
        <v>26</v>
      </c>
      <c r="AF14" s="113">
        <v>2514</v>
      </c>
      <c r="AG14" s="113">
        <v>3147</v>
      </c>
      <c r="AH14" s="113">
        <v>6133</v>
      </c>
      <c r="AI14" s="113">
        <v>3323</v>
      </c>
      <c r="AJ14" s="113">
        <v>1738</v>
      </c>
    </row>
    <row r="15" spans="1:36" s="14" customFormat="1" x14ac:dyDescent="0.3">
      <c r="A15" s="14" t="s">
        <v>27</v>
      </c>
      <c r="B15" s="19">
        <v>20581</v>
      </c>
      <c r="C15" s="19">
        <v>32383</v>
      </c>
      <c r="D15" s="19">
        <v>41749</v>
      </c>
      <c r="E15" s="19">
        <v>38015</v>
      </c>
      <c r="F15" s="19">
        <v>43681</v>
      </c>
      <c r="H15" s="14" t="s">
        <v>27</v>
      </c>
      <c r="I15" s="19">
        <v>11471</v>
      </c>
      <c r="J15" s="19">
        <v>18419</v>
      </c>
      <c r="K15" s="19">
        <v>20456</v>
      </c>
      <c r="L15" s="19">
        <v>19921</v>
      </c>
      <c r="M15" s="19">
        <v>20684</v>
      </c>
      <c r="O15" s="14" t="s">
        <v>139</v>
      </c>
      <c r="P15" s="19">
        <v>62618</v>
      </c>
      <c r="Q15" s="19">
        <v>90661</v>
      </c>
      <c r="R15" s="19">
        <v>93829</v>
      </c>
      <c r="S15" s="19">
        <v>95924</v>
      </c>
      <c r="T15" s="19">
        <v>122780</v>
      </c>
      <c r="U15" s="19"/>
      <c r="W15" s="14" t="s">
        <v>140</v>
      </c>
      <c r="X15" s="19">
        <v>85158</v>
      </c>
      <c r="Y15" s="19">
        <v>85373</v>
      </c>
      <c r="Z15" s="19">
        <v>89904</v>
      </c>
      <c r="AA15" s="19">
        <v>85987</v>
      </c>
      <c r="AB15" s="19">
        <v>78858</v>
      </c>
      <c r="AC15" s="19"/>
      <c r="AD15" s="68"/>
      <c r="AE15" s="118" t="s">
        <v>140</v>
      </c>
      <c r="AF15" s="119">
        <v>54721</v>
      </c>
      <c r="AG15" s="119">
        <v>55594</v>
      </c>
      <c r="AH15" s="119">
        <v>76442</v>
      </c>
      <c r="AI15" s="119">
        <v>75501</v>
      </c>
      <c r="AJ15" s="119">
        <v>72582</v>
      </c>
    </row>
    <row r="16" spans="1:36" x14ac:dyDescent="0.3">
      <c r="A16" s="15" t="s">
        <v>28</v>
      </c>
      <c r="B16" s="18">
        <f>14169+4681</f>
        <v>18850</v>
      </c>
      <c r="C16" s="18">
        <f>14519+4261</f>
        <v>18780</v>
      </c>
      <c r="D16" s="18">
        <f>20434+4001</f>
        <v>24435</v>
      </c>
      <c r="E16" s="18">
        <f>20528+4592</f>
        <v>25120</v>
      </c>
      <c r="F16" s="18">
        <f>19444+4080</f>
        <v>23524</v>
      </c>
      <c r="H16" s="15" t="s">
        <v>28</v>
      </c>
      <c r="I16" s="18">
        <v>5676</v>
      </c>
      <c r="J16" s="18">
        <v>6795</v>
      </c>
      <c r="K16" s="18">
        <v>8247</v>
      </c>
      <c r="L16" s="18">
        <v>8612</v>
      </c>
      <c r="M16" s="18">
        <v>9074</v>
      </c>
      <c r="O16" s="15" t="s">
        <v>28</v>
      </c>
      <c r="P16" s="18">
        <v>1002</v>
      </c>
      <c r="Q16" s="18">
        <v>1208</v>
      </c>
      <c r="R16" s="18">
        <v>1219</v>
      </c>
      <c r="S16" s="18">
        <v>1398</v>
      </c>
      <c r="T16" s="18">
        <v>1809</v>
      </c>
      <c r="U16" s="18"/>
      <c r="V16" s="15"/>
      <c r="W16" s="15" t="s">
        <v>28</v>
      </c>
      <c r="X16" s="18">
        <v>7999</v>
      </c>
      <c r="Y16" s="18">
        <v>8055</v>
      </c>
      <c r="Z16" s="18">
        <v>8827</v>
      </c>
      <c r="AA16" s="18">
        <v>9317</v>
      </c>
      <c r="AB16" s="18">
        <v>9568</v>
      </c>
      <c r="AC16" s="18"/>
      <c r="AE16" s="116" t="s">
        <v>28</v>
      </c>
      <c r="AF16" s="117">
        <v>3893</v>
      </c>
      <c r="AG16" s="117">
        <v>3394</v>
      </c>
      <c r="AH16" s="117">
        <v>3276</v>
      </c>
      <c r="AI16" s="117">
        <v>3750</v>
      </c>
      <c r="AJ16" s="117">
        <v>3995</v>
      </c>
    </row>
    <row r="17" spans="1:36" x14ac:dyDescent="0.3">
      <c r="A17" s="14" t="s">
        <v>29</v>
      </c>
      <c r="B17" s="19">
        <v>44893</v>
      </c>
      <c r="C17" s="19">
        <v>59154</v>
      </c>
      <c r="D17" s="19">
        <v>97631</v>
      </c>
      <c r="E17" s="19">
        <v>96609</v>
      </c>
      <c r="F17" s="19">
        <v>91990</v>
      </c>
      <c r="G17" s="14"/>
      <c r="H17" s="14" t="s">
        <v>29</v>
      </c>
      <c r="I17" s="19">
        <v>26078</v>
      </c>
      <c r="J17" s="19">
        <v>33738</v>
      </c>
      <c r="K17" s="19">
        <v>50343</v>
      </c>
      <c r="L17" s="19">
        <v>41128</v>
      </c>
      <c r="M17" s="19">
        <v>40911</v>
      </c>
      <c r="O17" s="14" t="s">
        <v>29</v>
      </c>
      <c r="P17" s="19">
        <v>12066</v>
      </c>
      <c r="Q17" s="19">
        <v>16050</v>
      </c>
      <c r="R17" s="19">
        <v>18749</v>
      </c>
      <c r="S17" s="19">
        <v>14330</v>
      </c>
      <c r="T17" s="19">
        <v>15647</v>
      </c>
      <c r="U17" s="19"/>
      <c r="V17" s="14"/>
      <c r="W17" s="14" t="s">
        <v>29</v>
      </c>
      <c r="X17" s="19">
        <v>28287</v>
      </c>
      <c r="Y17" s="19">
        <v>30496</v>
      </c>
      <c r="Z17" s="19">
        <v>35242</v>
      </c>
      <c r="AA17" s="19">
        <v>32131</v>
      </c>
      <c r="AB17" s="19">
        <v>24447</v>
      </c>
      <c r="AC17" s="19"/>
      <c r="AE17" s="118" t="s">
        <v>29</v>
      </c>
      <c r="AF17" s="119">
        <v>13276</v>
      </c>
      <c r="AG17" s="119">
        <v>14697</v>
      </c>
      <c r="AH17" s="119">
        <v>21922</v>
      </c>
      <c r="AI17" s="119">
        <v>19941</v>
      </c>
      <c r="AJ17" s="119">
        <v>17910</v>
      </c>
    </row>
    <row r="18" spans="1:36" x14ac:dyDescent="0.3">
      <c r="A18" s="15" t="s">
        <v>30</v>
      </c>
      <c r="B18" s="18">
        <v>227553</v>
      </c>
      <c r="C18" s="18">
        <v>216552</v>
      </c>
      <c r="D18" s="18">
        <v>204692</v>
      </c>
      <c r="E18" s="18">
        <v>214940</v>
      </c>
      <c r="F18" s="18">
        <v>294318</v>
      </c>
      <c r="H18" s="15" t="s">
        <v>30</v>
      </c>
      <c r="I18" s="18">
        <v>156618</v>
      </c>
      <c r="J18" s="18">
        <v>146961</v>
      </c>
      <c r="K18" s="18">
        <v>143591</v>
      </c>
      <c r="L18" s="18">
        <v>153619</v>
      </c>
      <c r="M18" s="18">
        <v>147799</v>
      </c>
      <c r="O18" s="15" t="s">
        <v>30</v>
      </c>
      <c r="P18" s="18">
        <v>39893</v>
      </c>
      <c r="Q18" s="18">
        <v>64911</v>
      </c>
      <c r="R18" s="18">
        <v>64866</v>
      </c>
      <c r="S18" s="18">
        <v>70044</v>
      </c>
      <c r="T18" s="18">
        <v>94356</v>
      </c>
      <c r="U18" s="18"/>
      <c r="V18" s="15"/>
      <c r="W18" s="15" t="s">
        <v>30</v>
      </c>
      <c r="X18" s="18">
        <v>39035</v>
      </c>
      <c r="Y18" s="18">
        <v>37440</v>
      </c>
      <c r="Z18" s="18">
        <v>35657</v>
      </c>
      <c r="AA18" s="18">
        <v>35112</v>
      </c>
      <c r="AB18" s="18">
        <v>35028</v>
      </c>
      <c r="AC18" s="18"/>
      <c r="AE18" s="116" t="s">
        <v>30</v>
      </c>
      <c r="AF18" s="117">
        <v>23716</v>
      </c>
      <c r="AG18" s="117">
        <v>22435</v>
      </c>
      <c r="AH18" s="117">
        <v>35163</v>
      </c>
      <c r="AI18" s="117">
        <v>35712</v>
      </c>
      <c r="AJ18" s="117">
        <v>35264</v>
      </c>
    </row>
    <row r="19" spans="1:36" x14ac:dyDescent="0.3">
      <c r="A19" s="15" t="s">
        <v>31</v>
      </c>
      <c r="B19" s="18">
        <v>35221</v>
      </c>
      <c r="C19" s="18">
        <v>50766</v>
      </c>
      <c r="D19" s="18">
        <v>63197</v>
      </c>
      <c r="E19" s="18">
        <v>58037</v>
      </c>
      <c r="F19" s="18">
        <v>61297</v>
      </c>
      <c r="H19" s="15" t="s">
        <v>31</v>
      </c>
      <c r="I19" s="18">
        <v>10950</v>
      </c>
      <c r="J19" s="18">
        <v>16454</v>
      </c>
      <c r="K19" s="18">
        <v>18955</v>
      </c>
      <c r="L19" s="18">
        <v>20423</v>
      </c>
      <c r="M19" s="18">
        <v>22079</v>
      </c>
      <c r="O19" s="15" t="s">
        <v>31</v>
      </c>
      <c r="P19" s="18">
        <v>2669</v>
      </c>
      <c r="Q19" s="18">
        <v>5002</v>
      </c>
      <c r="R19" s="18">
        <v>6113</v>
      </c>
      <c r="S19" s="18">
        <v>5083</v>
      </c>
      <c r="T19" s="18">
        <v>5987</v>
      </c>
      <c r="U19" s="18"/>
      <c r="V19" s="15"/>
      <c r="W19" s="15" t="s">
        <v>31</v>
      </c>
      <c r="X19" s="18">
        <v>7803</v>
      </c>
      <c r="Y19" s="18">
        <v>13700</v>
      </c>
      <c r="Z19" s="18">
        <v>15312</v>
      </c>
      <c r="AA19" s="18">
        <v>13761</v>
      </c>
      <c r="AB19" s="18">
        <v>13906</v>
      </c>
      <c r="AC19" s="18"/>
      <c r="AE19" s="114" t="s">
        <v>31</v>
      </c>
      <c r="AF19" s="115">
        <f>5171+378</f>
        <v>5549</v>
      </c>
      <c r="AG19" s="115">
        <v>7629</v>
      </c>
      <c r="AH19" s="115">
        <v>10748</v>
      </c>
      <c r="AI19" s="115">
        <v>10332</v>
      </c>
      <c r="AJ19" s="115">
        <v>9792</v>
      </c>
    </row>
    <row r="20" spans="1:36" x14ac:dyDescent="0.3">
      <c r="A20" s="14" t="s">
        <v>32</v>
      </c>
      <c r="B20" s="19">
        <v>56363</v>
      </c>
      <c r="C20" s="19">
        <v>56643</v>
      </c>
      <c r="D20" s="19">
        <v>69045</v>
      </c>
      <c r="E20" s="19">
        <v>65316</v>
      </c>
      <c r="F20" s="19">
        <v>70307</v>
      </c>
      <c r="G20" s="14"/>
      <c r="H20" s="14" t="s">
        <v>32</v>
      </c>
      <c r="I20" s="19">
        <v>22183</v>
      </c>
      <c r="J20" s="19">
        <v>26791</v>
      </c>
      <c r="K20" s="19">
        <v>34208</v>
      </c>
      <c r="L20" s="19">
        <v>32258</v>
      </c>
      <c r="M20" s="19">
        <v>38558</v>
      </c>
      <c r="O20" s="14" t="s">
        <v>32</v>
      </c>
      <c r="P20" s="19">
        <v>5366</v>
      </c>
      <c r="Q20" s="19">
        <v>12021</v>
      </c>
      <c r="R20" s="19">
        <v>12847</v>
      </c>
      <c r="S20" s="19">
        <v>10005</v>
      </c>
      <c r="T20" s="19">
        <v>12124</v>
      </c>
      <c r="U20" s="19"/>
      <c r="V20" s="14"/>
      <c r="W20" s="14" t="s">
        <v>32</v>
      </c>
      <c r="X20" s="19">
        <v>15663</v>
      </c>
      <c r="Y20" s="19">
        <v>17898</v>
      </c>
      <c r="Z20" s="19">
        <v>20020</v>
      </c>
      <c r="AA20" s="19">
        <v>20150</v>
      </c>
      <c r="AB20" s="19">
        <v>20827</v>
      </c>
      <c r="AC20" s="19"/>
      <c r="AE20" s="120" t="s">
        <v>32</v>
      </c>
      <c r="AF20" s="121">
        <v>9518</v>
      </c>
      <c r="AG20" s="121">
        <v>12801</v>
      </c>
      <c r="AH20" s="121">
        <v>15889</v>
      </c>
      <c r="AI20" s="121">
        <v>15856</v>
      </c>
      <c r="AJ20" s="121">
        <v>15087</v>
      </c>
    </row>
    <row r="21" spans="1:36" x14ac:dyDescent="0.3">
      <c r="A21" s="15" t="s">
        <v>33</v>
      </c>
      <c r="B21" s="18">
        <f>20458+47182</f>
        <v>67640</v>
      </c>
      <c r="C21" s="18">
        <f>4276+43428</f>
        <v>47704</v>
      </c>
      <c r="D21" s="18">
        <f>634+40559</f>
        <v>41193</v>
      </c>
      <c r="E21" s="18">
        <f>4090+37483</f>
        <v>41573</v>
      </c>
      <c r="F21" s="18">
        <f>4955+36755</f>
        <v>41710</v>
      </c>
      <c r="H21" s="15" t="s">
        <v>33</v>
      </c>
      <c r="I21" s="18">
        <f>1548+42767</f>
        <v>44315</v>
      </c>
      <c r="J21" s="18">
        <f>256+31113</f>
        <v>31369</v>
      </c>
      <c r="K21" s="18">
        <f>1964+21375</f>
        <v>23339</v>
      </c>
      <c r="L21" s="18">
        <f>529+20307</f>
        <v>20836</v>
      </c>
      <c r="M21" s="18">
        <f>4406+20135</f>
        <v>24541</v>
      </c>
      <c r="O21" s="15" t="s">
        <v>33</v>
      </c>
      <c r="P21" s="18">
        <f>619+14750</f>
        <v>15369</v>
      </c>
      <c r="Q21" s="18">
        <f>1200+18734</f>
        <v>19934</v>
      </c>
      <c r="R21" s="18">
        <f>417+16226</f>
        <v>16643</v>
      </c>
      <c r="S21" s="18">
        <f>1074+17863</f>
        <v>18937</v>
      </c>
      <c r="T21" s="18">
        <f>1035+23289</f>
        <v>24324</v>
      </c>
      <c r="U21" s="18"/>
      <c r="V21" s="15"/>
      <c r="W21" s="15" t="s">
        <v>33</v>
      </c>
      <c r="X21" s="18">
        <f>2854+28730</f>
        <v>31584</v>
      </c>
      <c r="Y21" s="18">
        <f>571+24968</f>
        <v>25539</v>
      </c>
      <c r="Z21" s="18">
        <f>1066+25634</f>
        <v>26700</v>
      </c>
      <c r="AA21" s="18">
        <f>1954+25329</f>
        <v>27283</v>
      </c>
      <c r="AB21" s="18">
        <f>3049+24432</f>
        <v>27481</v>
      </c>
      <c r="AC21" s="18"/>
      <c r="AE21" s="114" t="s">
        <v>33</v>
      </c>
      <c r="AF21" s="115">
        <f>987+14906</f>
        <v>15893</v>
      </c>
      <c r="AG21" s="115">
        <f>1489+12959</f>
        <v>14448</v>
      </c>
      <c r="AH21" s="115">
        <f>529+16661</f>
        <v>17190</v>
      </c>
      <c r="AI21" s="115">
        <f>1482+17877</f>
        <v>19359</v>
      </c>
      <c r="AJ21" s="115">
        <f>1831+18231</f>
        <v>20062</v>
      </c>
    </row>
    <row r="22" spans="1:36" x14ac:dyDescent="0.3">
      <c r="A22" s="15" t="s">
        <v>34</v>
      </c>
      <c r="B22" s="18">
        <v>164130</v>
      </c>
      <c r="C22" s="18">
        <v>175683</v>
      </c>
      <c r="D22" s="18">
        <v>202473</v>
      </c>
      <c r="E22" s="18">
        <f>212538</f>
        <v>212538</v>
      </c>
      <c r="F22" s="18">
        <v>270606</v>
      </c>
      <c r="H22" s="15" t="s">
        <v>34</v>
      </c>
      <c r="I22" s="18">
        <v>132726</v>
      </c>
      <c r="J22" s="18">
        <v>139940</v>
      </c>
      <c r="K22" s="18">
        <v>160242</v>
      </c>
      <c r="L22" s="18">
        <v>161929</v>
      </c>
      <c r="M22" s="18">
        <v>153157</v>
      </c>
      <c r="O22" s="15" t="s">
        <v>34</v>
      </c>
      <c r="P22" s="18">
        <v>29849</v>
      </c>
      <c r="Q22" s="18">
        <v>45406</v>
      </c>
      <c r="R22" s="18">
        <v>48003</v>
      </c>
      <c r="S22" s="18">
        <v>49279</v>
      </c>
      <c r="T22" s="18">
        <v>64796</v>
      </c>
      <c r="U22" s="18"/>
      <c r="V22" s="15"/>
      <c r="W22" s="15" t="s">
        <v>34</v>
      </c>
      <c r="X22" s="18">
        <v>29252</v>
      </c>
      <c r="Y22" s="18">
        <v>32616</v>
      </c>
      <c r="Z22" s="18">
        <v>34119</v>
      </c>
      <c r="AA22" s="18">
        <v>30504</v>
      </c>
      <c r="AB22" s="18">
        <v>24303</v>
      </c>
      <c r="AC22" s="18"/>
      <c r="AE22" s="116" t="s">
        <v>34</v>
      </c>
      <c r="AF22" s="117">
        <v>21523</v>
      </c>
      <c r="AG22" s="117">
        <v>21637</v>
      </c>
      <c r="AH22" s="117">
        <v>34106</v>
      </c>
      <c r="AI22" s="117">
        <v>31650</v>
      </c>
      <c r="AJ22" s="117">
        <v>28463</v>
      </c>
    </row>
    <row r="23" spans="1:36" x14ac:dyDescent="0.3">
      <c r="Q23" s="15"/>
      <c r="R23" s="15"/>
      <c r="S23" s="15"/>
      <c r="T23" s="15"/>
      <c r="U23" s="15"/>
      <c r="V23" s="15"/>
      <c r="W23" s="15"/>
      <c r="Z23" s="15"/>
      <c r="AA23" s="15"/>
      <c r="AB23" s="15"/>
      <c r="AC23" s="15"/>
      <c r="AE23" s="15"/>
      <c r="AF23" s="15"/>
    </row>
    <row r="24" spans="1:36" x14ac:dyDescent="0.3">
      <c r="A24" s="14" t="s">
        <v>35</v>
      </c>
      <c r="H24" s="14" t="s">
        <v>35</v>
      </c>
      <c r="O24" s="14" t="s">
        <v>35</v>
      </c>
      <c r="Q24" s="15"/>
      <c r="R24" s="15"/>
      <c r="S24" s="15"/>
      <c r="T24" s="15"/>
      <c r="U24" s="15"/>
      <c r="V24" s="15"/>
      <c r="W24" s="14" t="s">
        <v>35</v>
      </c>
      <c r="Z24" s="15"/>
      <c r="AA24" s="15"/>
      <c r="AB24" s="15"/>
      <c r="AC24" s="15"/>
      <c r="AE24" s="14" t="s">
        <v>35</v>
      </c>
      <c r="AF24" s="15"/>
    </row>
    <row r="25" spans="1:36" ht="15" thickBot="1" x14ac:dyDescent="0.35">
      <c r="A25" s="15" t="s">
        <v>11</v>
      </c>
      <c r="B25" s="17" t="s">
        <v>12</v>
      </c>
      <c r="C25" s="17" t="s">
        <v>13</v>
      </c>
      <c r="D25" s="17" t="s">
        <v>14</v>
      </c>
      <c r="E25" s="17" t="s">
        <v>15</v>
      </c>
      <c r="F25" s="17" t="s">
        <v>16</v>
      </c>
      <c r="H25" s="15" t="s">
        <v>11</v>
      </c>
      <c r="I25" s="17" t="s">
        <v>12</v>
      </c>
      <c r="J25" s="17" t="s">
        <v>13</v>
      </c>
      <c r="K25" s="17" t="s">
        <v>14</v>
      </c>
      <c r="L25" s="17" t="s">
        <v>15</v>
      </c>
      <c r="M25" s="17" t="s">
        <v>16</v>
      </c>
      <c r="O25" s="15" t="s">
        <v>11</v>
      </c>
      <c r="P25" s="17" t="s">
        <v>12</v>
      </c>
      <c r="Q25" s="17" t="s">
        <v>13</v>
      </c>
      <c r="R25" s="17" t="s">
        <v>14</v>
      </c>
      <c r="S25" s="17" t="s">
        <v>15</v>
      </c>
      <c r="T25" s="17" t="s">
        <v>16</v>
      </c>
      <c r="U25" s="17"/>
      <c r="V25" s="15"/>
      <c r="W25" s="15" t="s">
        <v>11</v>
      </c>
      <c r="X25" s="17" t="s">
        <v>12</v>
      </c>
      <c r="Y25" s="17" t="s">
        <v>13</v>
      </c>
      <c r="Z25" s="17" t="s">
        <v>14</v>
      </c>
      <c r="AA25" s="17" t="s">
        <v>15</v>
      </c>
      <c r="AB25" s="17" t="s">
        <v>16</v>
      </c>
      <c r="AC25" s="17"/>
      <c r="AE25" s="110" t="s">
        <v>11</v>
      </c>
      <c r="AF25" s="111" t="s">
        <v>12</v>
      </c>
      <c r="AG25" s="111" t="s">
        <v>13</v>
      </c>
      <c r="AH25" s="111" t="s">
        <v>14</v>
      </c>
      <c r="AI25" s="111" t="s">
        <v>15</v>
      </c>
      <c r="AJ25" s="111" t="s">
        <v>16</v>
      </c>
    </row>
    <row r="26" spans="1:36" ht="15" thickTop="1" x14ac:dyDescent="0.3">
      <c r="A26" s="15" t="s">
        <v>36</v>
      </c>
      <c r="B26" s="18">
        <v>14668</v>
      </c>
      <c r="C26" s="18">
        <v>48129</v>
      </c>
      <c r="D26" s="18">
        <v>76797</v>
      </c>
      <c r="E26" s="18">
        <v>55369</v>
      </c>
      <c r="F26" s="18">
        <v>55022</v>
      </c>
      <c r="H26" s="15" t="s">
        <v>36</v>
      </c>
      <c r="I26" s="18">
        <v>10577</v>
      </c>
      <c r="J26" s="18">
        <v>29187</v>
      </c>
      <c r="K26" s="18">
        <v>49602</v>
      </c>
      <c r="L26" s="18">
        <v>35609</v>
      </c>
      <c r="M26" s="18">
        <v>31492</v>
      </c>
      <c r="O26" s="15" t="s">
        <v>36</v>
      </c>
      <c r="P26" s="18">
        <v>4802</v>
      </c>
      <c r="Q26" s="18">
        <v>16996</v>
      </c>
      <c r="R26" s="18">
        <v>28314</v>
      </c>
      <c r="S26" s="18">
        <v>19965</v>
      </c>
      <c r="T26" s="18">
        <v>20124</v>
      </c>
      <c r="U26" s="18"/>
      <c r="V26" s="15"/>
      <c r="W26" s="15" t="s">
        <v>36</v>
      </c>
      <c r="X26" s="18">
        <v>2419</v>
      </c>
      <c r="Y26" s="18">
        <v>4360</v>
      </c>
      <c r="Z26" s="18">
        <v>16361</v>
      </c>
      <c r="AA26" s="18">
        <v>14117</v>
      </c>
      <c r="AB26" s="18">
        <v>8665</v>
      </c>
      <c r="AC26" s="18"/>
      <c r="AE26" s="112" t="s">
        <v>36</v>
      </c>
      <c r="AF26" s="113">
        <v>2111</v>
      </c>
      <c r="AG26" s="113">
        <v>6017</v>
      </c>
      <c r="AH26" s="113">
        <v>10813</v>
      </c>
      <c r="AI26" s="113">
        <v>7029</v>
      </c>
      <c r="AJ26" s="113">
        <v>4191</v>
      </c>
    </row>
    <row r="27" spans="1:36" x14ac:dyDescent="0.3">
      <c r="A27" s="15" t="s">
        <v>37</v>
      </c>
      <c r="B27" s="18">
        <v>17282</v>
      </c>
      <c r="C27" s="18">
        <v>12076</v>
      </c>
      <c r="D27" s="18">
        <v>18407</v>
      </c>
      <c r="E27" s="18">
        <v>21919</v>
      </c>
      <c r="F27" s="18">
        <v>24306</v>
      </c>
      <c r="H27" s="15" t="s">
        <v>37</v>
      </c>
      <c r="I27" s="18">
        <v>8922</v>
      </c>
      <c r="J27" s="18">
        <v>8056</v>
      </c>
      <c r="K27" s="18">
        <v>11974</v>
      </c>
      <c r="L27" s="18">
        <v>15829</v>
      </c>
      <c r="M27" s="18">
        <v>16448</v>
      </c>
      <c r="O27" s="15" t="s">
        <v>37</v>
      </c>
      <c r="P27" s="18">
        <v>4715</v>
      </c>
      <c r="Q27" s="18">
        <v>5324</v>
      </c>
      <c r="R27" s="18">
        <v>10159</v>
      </c>
      <c r="S27" s="18">
        <v>11248</v>
      </c>
      <c r="T27" s="18">
        <v>12118</v>
      </c>
      <c r="U27" s="18"/>
      <c r="V27" s="15"/>
      <c r="W27" s="15" t="s">
        <v>37</v>
      </c>
      <c r="X27" s="18">
        <v>2787</v>
      </c>
      <c r="Y27" s="18">
        <v>1464</v>
      </c>
      <c r="Z27" s="18">
        <v>2420</v>
      </c>
      <c r="AA27" s="18">
        <v>1890</v>
      </c>
      <c r="AB27" s="18">
        <v>2533</v>
      </c>
      <c r="AC27" s="18"/>
      <c r="AE27" s="114" t="s">
        <v>37</v>
      </c>
      <c r="AF27" s="115">
        <v>2928</v>
      </c>
      <c r="AG27" s="115">
        <v>1860</v>
      </c>
      <c r="AH27" s="115">
        <v>2194</v>
      </c>
      <c r="AI27" s="115">
        <v>2155</v>
      </c>
      <c r="AJ27" s="115">
        <v>1859</v>
      </c>
    </row>
    <row r="28" spans="1:36" x14ac:dyDescent="0.3">
      <c r="A28" s="15" t="s">
        <v>38</v>
      </c>
      <c r="B28" s="18">
        <f>14865+188</f>
        <v>15053</v>
      </c>
      <c r="C28" s="18">
        <f>14924+224</f>
        <v>15148</v>
      </c>
      <c r="D28" s="18">
        <f>14939+267</f>
        <v>15206</v>
      </c>
      <c r="E28" s="18">
        <f>14941+531</f>
        <v>15472</v>
      </c>
      <c r="F28" s="18">
        <f>16704+658</f>
        <v>17362</v>
      </c>
      <c r="H28" s="15" t="s">
        <v>38</v>
      </c>
      <c r="I28" s="18">
        <v>9651</v>
      </c>
      <c r="J28" s="18">
        <v>10179</v>
      </c>
      <c r="K28" s="18">
        <v>10968</v>
      </c>
      <c r="L28" s="18">
        <v>11336</v>
      </c>
      <c r="M28" s="18">
        <v>11801</v>
      </c>
      <c r="O28" s="15" t="s">
        <v>38</v>
      </c>
      <c r="P28" s="18">
        <v>1831</v>
      </c>
      <c r="Q28" s="18">
        <v>2359</v>
      </c>
      <c r="R28" s="18">
        <v>5726</v>
      </c>
      <c r="S28" s="18">
        <v>5583</v>
      </c>
      <c r="T28" s="18">
        <v>3646</v>
      </c>
      <c r="U28" s="18"/>
      <c r="V28" s="15"/>
      <c r="W28" s="15" t="s">
        <v>38</v>
      </c>
      <c r="X28" s="18">
        <v>1510</v>
      </c>
      <c r="Y28" s="18">
        <v>1484</v>
      </c>
      <c r="Z28" s="18">
        <v>1279</v>
      </c>
      <c r="AA28" s="18">
        <v>1261</v>
      </c>
      <c r="AB28" s="18">
        <v>1154</v>
      </c>
      <c r="AC28" s="18"/>
      <c r="AE28" s="116" t="s">
        <v>38</v>
      </c>
      <c r="AF28" s="117">
        <v>1575</v>
      </c>
      <c r="AG28" s="117">
        <v>1585</v>
      </c>
      <c r="AH28" s="117">
        <v>1793</v>
      </c>
      <c r="AI28" s="117">
        <v>1882</v>
      </c>
      <c r="AJ28" s="117">
        <v>1882</v>
      </c>
    </row>
    <row r="29" spans="1:36" x14ac:dyDescent="0.3">
      <c r="A29" s="15" t="s">
        <v>39</v>
      </c>
      <c r="B29" s="18">
        <f>8+28742</f>
        <v>28750</v>
      </c>
      <c r="C29" s="18">
        <f>8+29396</f>
        <v>29404</v>
      </c>
      <c r="D29" s="18">
        <f>5+8075</f>
        <v>8080</v>
      </c>
      <c r="E29" s="18">
        <f>15+879</f>
        <v>894</v>
      </c>
      <c r="F29" s="18">
        <f>1150+4743</f>
        <v>5893</v>
      </c>
      <c r="H29" s="15" t="s">
        <v>39</v>
      </c>
      <c r="I29" s="18">
        <v>5489</v>
      </c>
      <c r="J29" s="18">
        <v>7364</v>
      </c>
      <c r="K29" s="18">
        <v>8742</v>
      </c>
      <c r="L29" s="18">
        <v>4340</v>
      </c>
      <c r="M29" s="18">
        <v>1778</v>
      </c>
      <c r="O29" s="15" t="s">
        <v>39</v>
      </c>
      <c r="P29" s="18">
        <v>254</v>
      </c>
      <c r="Q29" s="18">
        <v>505</v>
      </c>
      <c r="R29" s="18">
        <v>6267</v>
      </c>
      <c r="S29" s="18">
        <v>1379</v>
      </c>
      <c r="T29" s="18">
        <v>4981</v>
      </c>
      <c r="U29" s="18"/>
      <c r="V29" s="15"/>
      <c r="W29" s="15" t="s">
        <v>39</v>
      </c>
      <c r="X29" s="18">
        <f>1031+15380</f>
        <v>16411</v>
      </c>
      <c r="Y29" s="18">
        <f>8437+17400</f>
        <v>25837</v>
      </c>
      <c r="Z29" s="18">
        <f>2280</f>
        <v>2280</v>
      </c>
      <c r="AA29" s="18">
        <v>1079</v>
      </c>
      <c r="AB29" s="18">
        <v>1984</v>
      </c>
      <c r="AC29" s="18"/>
      <c r="AE29" s="114" t="s">
        <v>39</v>
      </c>
      <c r="AF29" s="115">
        <v>1051</v>
      </c>
      <c r="AG29" s="115">
        <v>2954</v>
      </c>
      <c r="AH29" s="115">
        <v>2883</v>
      </c>
      <c r="AI29" s="115">
        <v>4252</v>
      </c>
      <c r="AJ29" s="115">
        <v>4140</v>
      </c>
    </row>
    <row r="32" spans="1:36" x14ac:dyDescent="0.3">
      <c r="O32" s="15" t="s">
        <v>11</v>
      </c>
      <c r="P32" s="20" t="s">
        <v>12</v>
      </c>
      <c r="Q32" s="20" t="s">
        <v>13</v>
      </c>
      <c r="R32" s="20" t="s">
        <v>14</v>
      </c>
      <c r="S32" s="20" t="s">
        <v>15</v>
      </c>
      <c r="T32" s="20" t="s">
        <v>16</v>
      </c>
      <c r="U32" s="15"/>
      <c r="W32" s="15" t="s">
        <v>11</v>
      </c>
      <c r="X32" s="20" t="s">
        <v>12</v>
      </c>
      <c r="Y32" s="20" t="s">
        <v>13</v>
      </c>
      <c r="Z32" s="20" t="s">
        <v>14</v>
      </c>
      <c r="AA32" s="20" t="s">
        <v>15</v>
      </c>
      <c r="AB32" s="20" t="s">
        <v>16</v>
      </c>
      <c r="AC32" s="15"/>
      <c r="AE32" s="15" t="s">
        <v>11</v>
      </c>
      <c r="AF32" s="20" t="s">
        <v>12</v>
      </c>
      <c r="AG32" s="20" t="s">
        <v>13</v>
      </c>
      <c r="AH32" s="20" t="s">
        <v>14</v>
      </c>
      <c r="AI32" s="20" t="s">
        <v>15</v>
      </c>
      <c r="AJ32" s="20" t="s">
        <v>16</v>
      </c>
    </row>
    <row r="33" spans="15:37" x14ac:dyDescent="0.3">
      <c r="O33" s="39" t="s">
        <v>17</v>
      </c>
      <c r="P33" s="48">
        <f>P3</f>
        <v>19256</v>
      </c>
      <c r="Q33" s="48">
        <f t="shared" ref="Q33:T33" si="10">Q3</f>
        <v>48349</v>
      </c>
      <c r="R33" s="48">
        <f t="shared" si="10"/>
        <v>82156</v>
      </c>
      <c r="S33" s="48">
        <f t="shared" si="10"/>
        <v>58574</v>
      </c>
      <c r="T33" s="48">
        <f t="shared" si="10"/>
        <v>56953</v>
      </c>
      <c r="W33" s="39" t="s">
        <v>17</v>
      </c>
      <c r="X33" s="48">
        <f>X3</f>
        <v>69032</v>
      </c>
      <c r="Y33" s="48">
        <f t="shared" ref="Y33:AB33" si="11">Y3</f>
        <v>120930</v>
      </c>
      <c r="Z33" s="48">
        <f t="shared" si="11"/>
        <v>179952</v>
      </c>
      <c r="AA33" s="48">
        <f t="shared" si="11"/>
        <v>150307</v>
      </c>
      <c r="AB33" s="48">
        <f t="shared" si="11"/>
        <v>140412</v>
      </c>
      <c r="AE33" s="39" t="s">
        <v>17</v>
      </c>
      <c r="AF33" s="48">
        <f>AF3</f>
        <v>65494</v>
      </c>
      <c r="AG33" s="48">
        <f t="shared" ref="AG33:AJ33" si="12">AG3</f>
        <v>114852</v>
      </c>
      <c r="AH33" s="48">
        <f t="shared" si="12"/>
        <v>175702</v>
      </c>
      <c r="AI33" s="48">
        <f t="shared" si="12"/>
        <v>149890</v>
      </c>
      <c r="AJ33" s="48">
        <f t="shared" si="12"/>
        <v>145496</v>
      </c>
      <c r="AK33" s="20"/>
    </row>
    <row r="34" spans="15:37" x14ac:dyDescent="0.3">
      <c r="O34" s="39" t="s">
        <v>130</v>
      </c>
      <c r="P34" s="48">
        <f>P6</f>
        <v>3187</v>
      </c>
      <c r="Q34" s="48">
        <f t="shared" ref="Q34:T34" si="13">Q6</f>
        <v>20804</v>
      </c>
      <c r="R34" s="48">
        <f t="shared" si="13"/>
        <v>36537</v>
      </c>
      <c r="S34" s="48">
        <f t="shared" si="13"/>
        <v>25338</v>
      </c>
      <c r="T34" s="48">
        <f t="shared" si="13"/>
        <v>24054</v>
      </c>
      <c r="W34" s="39" t="s">
        <v>130</v>
      </c>
      <c r="X34" s="48">
        <f>X6</f>
        <v>-8872</v>
      </c>
      <c r="Y34" s="48">
        <f t="shared" ref="Y34:AB34" si="14">Y6</f>
        <v>7664</v>
      </c>
      <c r="Z34" s="48">
        <f t="shared" si="14"/>
        <v>24684</v>
      </c>
      <c r="AA34" s="48">
        <f t="shared" si="14"/>
        <v>17821</v>
      </c>
      <c r="AB34" s="48">
        <f t="shared" si="14"/>
        <v>10133</v>
      </c>
      <c r="AE34" s="39" t="s">
        <v>130</v>
      </c>
      <c r="AF34" s="48">
        <f>AF6</f>
        <v>-3070</v>
      </c>
      <c r="AG34" s="48">
        <f t="shared" ref="AG34:AJ34" si="15">AG6</f>
        <v>3926</v>
      </c>
      <c r="AH34" s="48">
        <f t="shared" si="15"/>
        <v>16887</v>
      </c>
      <c r="AI34" s="48">
        <f t="shared" si="15"/>
        <v>12343</v>
      </c>
      <c r="AJ34" s="48">
        <f t="shared" si="15"/>
        <v>5945</v>
      </c>
      <c r="AK34" s="20"/>
    </row>
    <row r="35" spans="15:37" x14ac:dyDescent="0.3">
      <c r="O35" s="39" t="s">
        <v>110</v>
      </c>
      <c r="P35" s="48">
        <f>P10</f>
        <v>-2655</v>
      </c>
      <c r="Q35" s="48">
        <f t="shared" ref="Q35:T35" si="16">Q10</f>
        <v>8079</v>
      </c>
      <c r="R35" s="48">
        <f t="shared" si="16"/>
        <v>18680</v>
      </c>
      <c r="S35" s="48">
        <f t="shared" si="16"/>
        <v>10957</v>
      </c>
      <c r="T35" s="48">
        <f t="shared" si="16"/>
        <v>9245</v>
      </c>
      <c r="W35" s="39" t="s">
        <v>110</v>
      </c>
      <c r="X35" s="48">
        <f>X10</f>
        <v>-11182</v>
      </c>
      <c r="Y35" s="48">
        <f t="shared" ref="Y35:AB35" si="17">Y10</f>
        <v>2553</v>
      </c>
      <c r="Z35" s="48">
        <f t="shared" si="17"/>
        <v>15978</v>
      </c>
      <c r="AA35" s="48">
        <f t="shared" si="17"/>
        <v>11172</v>
      </c>
      <c r="AB35" s="48">
        <f t="shared" si="17"/>
        <v>5067</v>
      </c>
      <c r="AE35" s="39" t="s">
        <v>110</v>
      </c>
      <c r="AF35" s="48">
        <f>AF10</f>
        <v>-3714</v>
      </c>
      <c r="AG35" s="48">
        <f t="shared" ref="AG35:AJ35" si="18">AG10</f>
        <v>1594</v>
      </c>
      <c r="AH35" s="48">
        <f t="shared" si="18"/>
        <v>11391</v>
      </c>
      <c r="AI35" s="48">
        <f t="shared" si="18"/>
        <v>7239</v>
      </c>
      <c r="AJ35" s="48">
        <f t="shared" si="18"/>
        <v>2175</v>
      </c>
      <c r="AK35" s="20"/>
    </row>
    <row r="36" spans="15:37" x14ac:dyDescent="0.3">
      <c r="W36" s="15"/>
      <c r="Y36" s="20"/>
      <c r="AE36" s="15"/>
      <c r="AF36" s="15"/>
      <c r="AG36" s="20"/>
      <c r="AH36" s="20"/>
      <c r="AI36" s="20"/>
      <c r="AJ36" s="20"/>
      <c r="AK36" s="20"/>
    </row>
    <row r="37" spans="15:37" x14ac:dyDescent="0.3">
      <c r="O37" s="15" t="s">
        <v>11</v>
      </c>
      <c r="P37" s="20" t="s">
        <v>48</v>
      </c>
      <c r="Q37" s="20" t="s">
        <v>49</v>
      </c>
      <c r="R37" s="20" t="s">
        <v>50</v>
      </c>
      <c r="S37" s="20" t="s">
        <v>51</v>
      </c>
      <c r="T37" s="20" t="s">
        <v>52</v>
      </c>
      <c r="U37" s="20" t="s">
        <v>53</v>
      </c>
      <c r="W37" s="15" t="s">
        <v>11</v>
      </c>
      <c r="X37" s="20" t="s">
        <v>48</v>
      </c>
      <c r="Y37" s="20" t="s">
        <v>49</v>
      </c>
      <c r="Z37" s="20" t="s">
        <v>50</v>
      </c>
      <c r="AA37" s="20" t="s">
        <v>51</v>
      </c>
      <c r="AB37" s="20" t="s">
        <v>52</v>
      </c>
      <c r="AC37" s="20" t="s">
        <v>53</v>
      </c>
    </row>
    <row r="38" spans="15:37" x14ac:dyDescent="0.3">
      <c r="O38" s="39" t="s">
        <v>17</v>
      </c>
      <c r="P38" s="48">
        <f>DCF!R3</f>
        <v>59333.351812828063</v>
      </c>
      <c r="Q38" s="48">
        <f>DCF!S3</f>
        <v>61813.190478900622</v>
      </c>
      <c r="R38" s="48">
        <f>DCF!T3</f>
        <v>64396.674053306488</v>
      </c>
      <c r="S38" s="48">
        <f>DCF!U3</f>
        <v>67088.134377132912</v>
      </c>
      <c r="T38" s="48">
        <f>DCF!V3</f>
        <v>69892.084340854941</v>
      </c>
      <c r="U38" s="48">
        <f>DCF!W3</f>
        <v>72813.225451298393</v>
      </c>
      <c r="W38" s="39" t="s">
        <v>17</v>
      </c>
      <c r="X38" s="48">
        <f>DCF!Z3</f>
        <v>145754.43172017677</v>
      </c>
      <c r="Y38" s="48">
        <f>DCF!AA3</f>
        <v>151300.13365005606</v>
      </c>
      <c r="Z38" s="48">
        <f>DCF!AB3</f>
        <v>157056.83986661193</v>
      </c>
      <c r="AA38" s="48">
        <f>DCF!AC3</f>
        <v>163032.57871495903</v>
      </c>
      <c r="AB38" s="48">
        <f>DCF!AD3</f>
        <v>169235.68400474207</v>
      </c>
      <c r="AC38" s="48">
        <f>DCF!AE3</f>
        <v>175674.80663252849</v>
      </c>
    </row>
    <row r="39" spans="15:37" x14ac:dyDescent="0.3">
      <c r="O39" s="39" t="s">
        <v>130</v>
      </c>
      <c r="P39" s="48">
        <f>DCF!R4</f>
        <v>25739.849446570275</v>
      </c>
      <c r="Q39" s="48">
        <f>DCF!S4</f>
        <v>26815.646986507854</v>
      </c>
      <c r="R39" s="48">
        <f>DCF!T4</f>
        <v>27936.40750687537</v>
      </c>
      <c r="S39" s="48">
        <f>DCF!U4</f>
        <v>29104.01023636977</v>
      </c>
      <c r="T39" s="48">
        <f>DCF!V4</f>
        <v>30320.412946090226</v>
      </c>
      <c r="U39" s="48">
        <f>DCF!W4</f>
        <v>31587.655232219513</v>
      </c>
      <c r="W39" s="39" t="s">
        <v>130</v>
      </c>
      <c r="X39" s="48">
        <f>DCF!Z4</f>
        <v>14856.776343498574</v>
      </c>
      <c r="Y39" s="48">
        <f>DCF!AA4</f>
        <v>15422.050773013703</v>
      </c>
      <c r="Z39" s="48">
        <f>DCF!AB4</f>
        <v>16008.832908728065</v>
      </c>
      <c r="AA39" s="48">
        <f>DCF!AC4</f>
        <v>16617.941081352903</v>
      </c>
      <c r="AB39" s="48">
        <f>DCF!AD4</f>
        <v>17250.224757655847</v>
      </c>
      <c r="AC39" s="48">
        <f>DCF!AE4</f>
        <v>17906.565725133551</v>
      </c>
    </row>
    <row r="40" spans="15:37" x14ac:dyDescent="0.3">
      <c r="O40" s="39" t="s">
        <v>24</v>
      </c>
      <c r="P40" s="48">
        <f>DCF!R5</f>
        <v>20334.481062790517</v>
      </c>
      <c r="Q40" s="48">
        <f>DCF!S5</f>
        <v>21184.361119341207</v>
      </c>
      <c r="R40" s="48">
        <f>DCF!T5</f>
        <v>22069.761930431545</v>
      </c>
      <c r="S40" s="48">
        <f>DCF!U5</f>
        <v>22992.168086732119</v>
      </c>
      <c r="T40" s="48">
        <f>DCF!V5</f>
        <v>23953.126227411278</v>
      </c>
      <c r="U40" s="48">
        <f>DCF!W5</f>
        <v>24954.247633453415</v>
      </c>
      <c r="W40" s="39" t="s">
        <v>24</v>
      </c>
      <c r="X40" s="48">
        <f>DCF!Z5</f>
        <v>11736.853311363873</v>
      </c>
      <c r="Y40" s="48">
        <f>DCF!AA5</f>
        <v>12183.420110680827</v>
      </c>
      <c r="Z40" s="48">
        <f>DCF!AB5</f>
        <v>12646.977997895172</v>
      </c>
      <c r="AA40" s="48">
        <f>DCF!AC5</f>
        <v>13128.173454268794</v>
      </c>
      <c r="AB40" s="48">
        <f>DCF!AD5</f>
        <v>13627.677558548121</v>
      </c>
      <c r="AC40" s="48">
        <f>DCF!AE5</f>
        <v>14146.186922855506</v>
      </c>
    </row>
    <row r="41" spans="15:37" x14ac:dyDescent="0.3">
      <c r="O41" s="39" t="s">
        <v>80</v>
      </c>
      <c r="P41" s="48">
        <f>DCF!R9</f>
        <v>18348.266464740042</v>
      </c>
      <c r="Q41" s="48">
        <f>DCF!S9</f>
        <v>19732.492273346983</v>
      </c>
      <c r="R41" s="48">
        <f>DCF!T9</f>
        <v>20557.212195993332</v>
      </c>
      <c r="S41" s="48">
        <f>DCF!U9</f>
        <v>21416.401304862462</v>
      </c>
      <c r="T41" s="48">
        <f>DCF!V9</f>
        <v>22311.50024030542</v>
      </c>
      <c r="U41" s="48">
        <f>DCF!W9</f>
        <v>23244.009854266489</v>
      </c>
      <c r="W41" s="39" t="s">
        <v>80</v>
      </c>
      <c r="X41" s="48">
        <f>DCF!Z9</f>
        <v>5873.4362197220653</v>
      </c>
      <c r="Y41" s="48">
        <f>DCF!AA9</f>
        <v>13036.931592577759</v>
      </c>
      <c r="Z41" s="48">
        <f>DCF!AB9</f>
        <v>13532.964103146389</v>
      </c>
      <c r="AA41" s="48">
        <f>DCF!AC9</f>
        <v>14047.869785656874</v>
      </c>
      <c r="AB41" s="48">
        <f>DCF!AD9</f>
        <v>14582.366731386632</v>
      </c>
      <c r="AC41" s="48">
        <f>DCF!AE9</f>
        <v>15137.200353733801</v>
      </c>
    </row>
    <row r="43" spans="15:37" x14ac:dyDescent="0.3">
      <c r="AE43" s="122" t="s">
        <v>11</v>
      </c>
      <c r="AF43" s="123" t="s">
        <v>48</v>
      </c>
      <c r="AG43" s="123" t="s">
        <v>49</v>
      </c>
      <c r="AH43" s="123" t="s">
        <v>50</v>
      </c>
      <c r="AI43" s="123" t="s">
        <v>51</v>
      </c>
      <c r="AJ43" s="123" t="s">
        <v>52</v>
      </c>
      <c r="AK43" s="124" t="s">
        <v>53</v>
      </c>
    </row>
    <row r="44" spans="15:37" x14ac:dyDescent="0.3">
      <c r="AE44" s="125" t="s">
        <v>17</v>
      </c>
      <c r="AF44" s="126">
        <f>DCF!AH3</f>
        <v>154358.01202750092</v>
      </c>
      <c r="AG44" s="126">
        <f>DCF!AI3</f>
        <v>163759.80011190768</v>
      </c>
      <c r="AH44" s="126">
        <f>DCF!AJ3</f>
        <v>173734.24145883729</v>
      </c>
      <c r="AI44" s="126">
        <f>DCF!AK3</f>
        <v>184316.21579075683</v>
      </c>
      <c r="AJ44" s="126">
        <f>DCF!AL3</f>
        <v>195542.72731822936</v>
      </c>
      <c r="AK44" s="127">
        <f>DCF!AM3</f>
        <v>207453.03414030335</v>
      </c>
    </row>
    <row r="45" spans="15:37" x14ac:dyDescent="0.3">
      <c r="AE45" s="128" t="s">
        <v>130</v>
      </c>
      <c r="AF45" s="129">
        <v>27280.482193638698</v>
      </c>
      <c r="AG45" s="129">
        <v>28942.10836422793</v>
      </c>
      <c r="AH45" s="134">
        <v>30704.942479427129</v>
      </c>
      <c r="AI45" s="129">
        <v>32575.149011265854</v>
      </c>
      <c r="AJ45" s="129">
        <v>34559.267903437962</v>
      </c>
      <c r="AK45" s="130">
        <v>36664.237440895304</v>
      </c>
    </row>
    <row r="46" spans="15:37" x14ac:dyDescent="0.3">
      <c r="AE46" s="125" t="s">
        <v>24</v>
      </c>
      <c r="AF46" s="126">
        <v>21551.580932974572</v>
      </c>
      <c r="AG46" s="126">
        <v>22864.265607740064</v>
      </c>
      <c r="AH46" s="126">
        <v>24256.904558747432</v>
      </c>
      <c r="AI46" s="126">
        <v>25734.367718900026</v>
      </c>
      <c r="AJ46" s="126">
        <v>27301.82164371599</v>
      </c>
      <c r="AK46" s="127">
        <v>28964.747578307291</v>
      </c>
    </row>
    <row r="47" spans="15:37" x14ac:dyDescent="0.3">
      <c r="AE47" s="131" t="s">
        <v>80</v>
      </c>
      <c r="AF47" s="132">
        <v>20247.643051774143</v>
      </c>
      <c r="AG47" s="132">
        <v>22394.56826629136</v>
      </c>
      <c r="AH47" s="132">
        <v>23758.598434313601</v>
      </c>
      <c r="AI47" s="132">
        <v>25205.710279872597</v>
      </c>
      <c r="AJ47" s="132">
        <v>26740.964222674709</v>
      </c>
      <c r="AK47" s="133">
        <v>28369.728907396722</v>
      </c>
    </row>
  </sheetData>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307B-3CF9-460E-B5D1-5A1CEFE5C9A9}">
  <dimension ref="A1:N26"/>
  <sheetViews>
    <sheetView topLeftCell="A3" workbookViewId="0">
      <selection activeCell="B25" sqref="B25:F25"/>
    </sheetView>
  </sheetViews>
  <sheetFormatPr defaultRowHeight="14.4" x14ac:dyDescent="0.3"/>
  <cols>
    <col min="1" max="1" width="27" bestFit="1" customWidth="1"/>
    <col min="2" max="3" width="10.88671875" bestFit="1" customWidth="1"/>
    <col min="4" max="4" width="10.88671875" style="94" bestFit="1" customWidth="1"/>
    <col min="5" max="6" width="9.88671875" style="94" bestFit="1" customWidth="1"/>
    <col min="8" max="8" width="20.6640625" bestFit="1" customWidth="1"/>
    <col min="9" max="14" width="10.5546875" bestFit="1" customWidth="1"/>
  </cols>
  <sheetData>
    <row r="1" spans="1:14" x14ac:dyDescent="0.3">
      <c r="A1" s="15" t="s">
        <v>40</v>
      </c>
      <c r="B1" s="20"/>
      <c r="C1" s="20"/>
      <c r="D1" s="20"/>
      <c r="E1" s="20"/>
      <c r="F1" s="20"/>
      <c r="G1" s="15"/>
      <c r="H1" s="15"/>
      <c r="I1" s="15"/>
      <c r="J1" s="15"/>
      <c r="K1" s="15"/>
      <c r="L1" s="15"/>
      <c r="M1" s="15"/>
      <c r="N1" s="15"/>
    </row>
    <row r="2" spans="1:14" x14ac:dyDescent="0.3">
      <c r="A2" s="91" t="s">
        <v>41</v>
      </c>
      <c r="B2" s="92" t="s">
        <v>71</v>
      </c>
      <c r="C2" s="92" t="s">
        <v>72</v>
      </c>
      <c r="D2" s="92" t="s">
        <v>141</v>
      </c>
      <c r="E2" s="92" t="s">
        <v>135</v>
      </c>
      <c r="F2" s="93" t="s">
        <v>136</v>
      </c>
      <c r="G2" s="15"/>
      <c r="H2" s="33" t="s">
        <v>42</v>
      </c>
      <c r="I2" s="34" t="s">
        <v>12</v>
      </c>
      <c r="J2" s="34" t="s">
        <v>13</v>
      </c>
      <c r="K2" s="34" t="s">
        <v>14</v>
      </c>
      <c r="L2" s="34" t="s">
        <v>15</v>
      </c>
      <c r="M2" s="35" t="s">
        <v>16</v>
      </c>
      <c r="N2" s="15"/>
    </row>
    <row r="3" spans="1:14" x14ac:dyDescent="0.3">
      <c r="A3" s="89" t="s">
        <v>43</v>
      </c>
      <c r="B3" s="90">
        <f>(Table1[[#This Row],[2024]]/Table1[[#This Row],[2020]])^(1/5)-1</f>
        <v>0.14007723800913618</v>
      </c>
      <c r="C3" s="90">
        <f>(Table18[[#This Row],[2024]]/Table18[[#This Row],[2020]])^(1/5)-1</f>
        <v>0.16452148572836967</v>
      </c>
      <c r="D3" s="22">
        <f>(Table124[[#This Row],[2024]]/Table124[[#This Row],[2021]])^(1/4)-1</f>
        <v>4.1795020680702732E-2</v>
      </c>
      <c r="E3" s="22">
        <f>(Table1827[[#This Row],[2024]]/Table1827[[#This Row],[2021]])^(1/4)-1</f>
        <v>3.8048255990775548E-2</v>
      </c>
      <c r="F3" s="22">
        <f>(Financials!$AJ3/Financials!$AG3)^(1/4)-1</f>
        <v>6.0908973631583763E-2</v>
      </c>
      <c r="G3" s="15"/>
      <c r="H3" s="23" t="s">
        <v>73</v>
      </c>
      <c r="I3" s="24">
        <f>Financials!B17-Financials!B20</f>
        <v>-11470</v>
      </c>
      <c r="J3" s="24">
        <f>Financials!C17-Financials!C20</f>
        <v>2511</v>
      </c>
      <c r="K3" s="24">
        <f>Financials!D17-Financials!D20</f>
        <v>28586</v>
      </c>
      <c r="L3" s="24">
        <f>Financials!E17-Financials!E20</f>
        <v>31293</v>
      </c>
      <c r="M3" s="24">
        <f>Financials!F17-Financials!F20</f>
        <v>21683</v>
      </c>
      <c r="N3" s="15"/>
    </row>
    <row r="4" spans="1:14" x14ac:dyDescent="0.3">
      <c r="A4" s="21" t="s">
        <v>44</v>
      </c>
      <c r="B4" s="22">
        <f>AVERAGE(Financials!B6:F6)/AVERAGE(Financials!B3:F3)</f>
        <v>0.2039677737431817</v>
      </c>
      <c r="C4" s="22">
        <f>AVERAGE(Financials!I6:M6)/AVERAGE(Financials!I3:M3)</f>
        <v>0.23402744860276689</v>
      </c>
      <c r="D4" s="22">
        <f>AVERAGE(Financials!Q6:T6)/AVERAGE(Financials!Q3:T3)</f>
        <v>0.43381755218833323</v>
      </c>
      <c r="E4" s="22">
        <f>AVERAGE(Financials!Y6:AB6)/AVERAGE(Financials!Y3:AB3)</f>
        <v>0.10193018605445224</v>
      </c>
      <c r="F4" s="22">
        <f>AVERAGE(Financials!AG6:AJ60)/AVERAGE(Financials!AG3:AJ3)</f>
        <v>0.17902793140392165</v>
      </c>
      <c r="G4" s="15"/>
      <c r="H4" s="25" t="s">
        <v>74</v>
      </c>
      <c r="I4" s="26">
        <f>Financials!I17-Financials!I20</f>
        <v>3895</v>
      </c>
      <c r="J4" s="26">
        <f>Financials!J17-Financials!J20</f>
        <v>6947</v>
      </c>
      <c r="K4" s="26">
        <f>Financials!K17-Financials!K20</f>
        <v>16135</v>
      </c>
      <c r="L4" s="26">
        <f>Financials!L17-Financials!L20</f>
        <v>8870</v>
      </c>
      <c r="M4" s="26">
        <f>Financials!M17-Financials!M20</f>
        <v>2353</v>
      </c>
      <c r="N4" s="15"/>
    </row>
    <row r="5" spans="1:14" x14ac:dyDescent="0.3">
      <c r="A5" s="21" t="s">
        <v>45</v>
      </c>
      <c r="B5" s="22">
        <f>AVERAGE(Financials!B7:F7)/AVERAGE(Financials!B3:F3)</f>
        <v>8.5549168914830512E-2</v>
      </c>
      <c r="C5" s="22">
        <f>AVERAGE(Financials!I7:M7)/AVERAGE(Financials!I3:M3)</f>
        <v>9.7403957449153949E-2</v>
      </c>
      <c r="D5" s="22">
        <f>AVERAGE(Financials!P7:T7)/AVERAGE(Financials!P3:T3)</f>
        <v>0.1436250414643708</v>
      </c>
      <c r="E5" s="22">
        <f>AVERAGE(Financials!X7:AB7)/AVERAGE(Financials!X3:AB3)</f>
        <v>2.5124388276092775E-2</v>
      </c>
      <c r="F5" s="22">
        <f>AVERAGE(Financials!AF7:AJ7)/AVERAGE(Financials!AF3:AJ3)</f>
        <v>1.3768087020327462E-2</v>
      </c>
      <c r="G5" s="15"/>
      <c r="H5" s="25" t="s">
        <v>142</v>
      </c>
      <c r="I5" s="26">
        <f>Financials!P17-Financials!P20</f>
        <v>6700</v>
      </c>
      <c r="J5" s="26">
        <f>Financials!Q17-Financials!Q20</f>
        <v>4029</v>
      </c>
      <c r="K5" s="26">
        <f>Financials!R17-Financials!R20</f>
        <v>5902</v>
      </c>
      <c r="L5" s="26">
        <f>Financials!S17-Financials!S20</f>
        <v>4325</v>
      </c>
      <c r="M5" s="26">
        <f>Financials!T17-Financials!T20</f>
        <v>3523</v>
      </c>
      <c r="N5" s="15"/>
    </row>
    <row r="6" spans="1:14" x14ac:dyDescent="0.3">
      <c r="A6" s="21" t="s">
        <v>46</v>
      </c>
      <c r="B6" s="22">
        <f>AVERAGE(Financials!B27:F27)/AVERAGE(Financials!B3:F3)</f>
        <v>5.9676607265193603E-2</v>
      </c>
      <c r="C6" s="22">
        <f>AVERAGE(Financials!I27:M27)/AVERAGE(Financials!I3:M3)</f>
        <v>6.749600396847269E-2</v>
      </c>
      <c r="D6" s="22">
        <f>AVERAGE(Financials!P27:T27)/AVERAGE(Financials!P3:T3)</f>
        <v>0.16421398630921866</v>
      </c>
      <c r="E6" s="22">
        <f>AVERAGE(Financials!X27:AB27)/AVERAGE(Financials!X3:AB3)</f>
        <v>1.6792984909927297E-2</v>
      </c>
      <c r="F6" s="22">
        <f>AVERAGE(Financials!AF27:AJ27)/AVERAGE(Financials!AF3:AJ3)</f>
        <v>1.6879683897371028E-2</v>
      </c>
      <c r="G6" s="15"/>
      <c r="H6" s="25" t="s">
        <v>143</v>
      </c>
      <c r="I6" s="26">
        <f>Financials!X17-Financials!X20</f>
        <v>12624</v>
      </c>
      <c r="J6" s="26">
        <f>Financials!Y17-Financials!Y20</f>
        <v>12598</v>
      </c>
      <c r="K6" s="26">
        <f>Financials!Z17-Financials!Z20</f>
        <v>15222</v>
      </c>
      <c r="L6" s="26">
        <f>Financials!AA17-Financials!AA20</f>
        <v>11981</v>
      </c>
      <c r="M6" s="26">
        <f>Financials!AB17-Financials!AB20</f>
        <v>3620</v>
      </c>
    </row>
    <row r="7" spans="1:14" x14ac:dyDescent="0.3">
      <c r="A7" s="21" t="s">
        <v>54</v>
      </c>
      <c r="B7" s="22">
        <f>AVERAGE(I3:M3)/AVERAGE(Financials!B3:F3)</f>
        <v>4.6097464807690725E-2</v>
      </c>
      <c r="C7" s="22">
        <f>AVERAGE(I4:M4)/AVERAGE(Financials!I3:M3)</f>
        <v>4.2109904646420108E-2</v>
      </c>
      <c r="D7" s="22">
        <f>AVERAGE(J5:M5)/AVERAGE(Financials!Q3:T3)</f>
        <v>7.2262957664043698E-2</v>
      </c>
      <c r="E7" s="22">
        <f>AVERAGE(J6:M6)/AVERAGE(Financials!Y3:AB3)</f>
        <v>7.3395751528479505E-2</v>
      </c>
      <c r="F7" s="22">
        <f>AVERAGE(Table19[[#This Row],[2021]:[2024]])/AVERAGE(Financials!AG3:AJ3)</f>
        <v>2.5321705294057414E-2</v>
      </c>
      <c r="G7" s="15"/>
      <c r="H7" s="25" t="s">
        <v>144</v>
      </c>
      <c r="I7" s="26">
        <f>Financials!AF17-Financials!AF20</f>
        <v>3758</v>
      </c>
      <c r="J7" s="26">
        <f>Financials!AG17-Financials!AG20</f>
        <v>1896</v>
      </c>
      <c r="K7" s="26">
        <f>Financials!AH17-Financials!AH20</f>
        <v>6033</v>
      </c>
      <c r="L7" s="26">
        <f>Financials!AI17-Financials!AI20</f>
        <v>4085</v>
      </c>
      <c r="M7" s="26">
        <f>Financials!AJ17-Financials!AJ20</f>
        <v>2823</v>
      </c>
    </row>
    <row r="8" spans="1:14" x14ac:dyDescent="0.3">
      <c r="A8" s="21" t="s">
        <v>55</v>
      </c>
      <c r="B8" s="27">
        <v>6</v>
      </c>
      <c r="C8" s="27">
        <v>6</v>
      </c>
      <c r="D8" s="27">
        <v>6</v>
      </c>
      <c r="E8" s="27">
        <v>6</v>
      </c>
      <c r="F8" s="27">
        <v>6</v>
      </c>
      <c r="G8" s="15"/>
    </row>
    <row r="9" spans="1:14" x14ac:dyDescent="0.3">
      <c r="A9" s="21" t="s">
        <v>56</v>
      </c>
      <c r="B9" s="22">
        <v>4.4999999999999998E-2</v>
      </c>
      <c r="C9" s="22">
        <v>4.4999999999999998E-2</v>
      </c>
      <c r="D9" s="22">
        <v>4.4999999999999998E-2</v>
      </c>
      <c r="E9" s="22">
        <v>4.4999999999999998E-2</v>
      </c>
      <c r="F9" s="22">
        <v>4.4999999999999998E-2</v>
      </c>
      <c r="G9" s="15"/>
      <c r="H9" s="32" t="s">
        <v>47</v>
      </c>
      <c r="I9" s="96" t="s">
        <v>48</v>
      </c>
      <c r="J9" s="96" t="s">
        <v>49</v>
      </c>
      <c r="K9" s="96" t="s">
        <v>50</v>
      </c>
      <c r="L9" s="96" t="s">
        <v>51</v>
      </c>
      <c r="M9" s="96" t="s">
        <v>52</v>
      </c>
      <c r="N9" s="97" t="s">
        <v>53</v>
      </c>
    </row>
    <row r="10" spans="1:14" x14ac:dyDescent="0.3">
      <c r="A10" s="21" t="s">
        <v>57</v>
      </c>
      <c r="B10" s="22">
        <v>0.06</v>
      </c>
      <c r="C10" s="22">
        <v>0.06</v>
      </c>
      <c r="D10" s="22">
        <v>0.06</v>
      </c>
      <c r="E10" s="22">
        <v>0.06</v>
      </c>
      <c r="F10" s="22">
        <v>0.06</v>
      </c>
      <c r="G10" s="15"/>
      <c r="H10" s="39" t="str">
        <f>H3</f>
        <v>WC-Exxon</v>
      </c>
      <c r="I10" s="98">
        <f>DCF!B3*'Assumptions &amp; WACC'!$B$7</f>
        <v>18372.32443681316</v>
      </c>
      <c r="J10" s="98">
        <f>DCF!C3*'Assumptions &amp; WACC'!$B$7</f>
        <v>20577.003369230741</v>
      </c>
      <c r="K10" s="98">
        <f>DCF!D3*'Assumptions &amp; WACC'!$B$7</f>
        <v>22634.703706153818</v>
      </c>
      <c r="L10" s="98">
        <f>DCF!E3*'Assumptions &amp; WACC'!$B$7</f>
        <v>24445.480002646123</v>
      </c>
      <c r="M10" s="98">
        <f>DCF!F3*'Assumptions &amp; WACC'!$B$7</f>
        <v>25667.754002778431</v>
      </c>
      <c r="N10" s="98">
        <f>DCF!G3*'Assumptions &amp; WACC'!$B$7</f>
        <v>26437.786622861782</v>
      </c>
    </row>
    <row r="11" spans="1:14" x14ac:dyDescent="0.3">
      <c r="A11" s="21" t="s">
        <v>7</v>
      </c>
      <c r="B11" s="28">
        <f ca="1">'Company Profile'!B9</f>
        <v>0.36840000000000001</v>
      </c>
      <c r="C11" s="28">
        <f ca="1">'Company Profile'!C9</f>
        <v>0.67349999999999999</v>
      </c>
      <c r="D11" s="28">
        <f ca="1">'Company Profile'!D9</f>
        <v>0.3261</v>
      </c>
      <c r="E11" s="28">
        <f ca="1">'Company Profile'!E9</f>
        <v>0.70760000000000001</v>
      </c>
      <c r="F11" s="28">
        <f ca="1">'Company Profile'!F9</f>
        <v>0.90629999999999999</v>
      </c>
      <c r="G11" s="15"/>
      <c r="H11" s="39" t="str">
        <f>H4</f>
        <v>WC-Chevron</v>
      </c>
      <c r="I11" s="98">
        <f>DCF!J3*'Assumptions &amp; WACC'!$C$7</f>
        <v>9944.4915298596843</v>
      </c>
      <c r="J11" s="98">
        <f>DCF!K3*'Assumptions &amp; WACC'!$C$7</f>
        <v>11137.830513442848</v>
      </c>
      <c r="K11" s="98">
        <f>DCF!L3*'Assumptions &amp; WACC'!$C$7</f>
        <v>12251.613564787134</v>
      </c>
      <c r="L11" s="98">
        <f>DCF!M3*'Assumptions &amp; WACC'!$C$7</f>
        <v>13231.742649970105</v>
      </c>
      <c r="M11" s="98">
        <f>DCF!N3*'Assumptions &amp; WACC'!$C$7</f>
        <v>13893.329782468611</v>
      </c>
      <c r="N11" s="98">
        <f>DCF!O3*'Assumptions &amp; WACC'!$C$7</f>
        <v>14310.12967594267</v>
      </c>
    </row>
    <row r="12" spans="1:14" x14ac:dyDescent="0.3">
      <c r="A12" s="29" t="s">
        <v>58</v>
      </c>
      <c r="B12" s="30">
        <f ca="1">B9+(B10*B11)</f>
        <v>6.7103999999999997E-2</v>
      </c>
      <c r="C12" s="30">
        <f ca="1">C9+(C10*C11)</f>
        <v>8.5409999999999986E-2</v>
      </c>
      <c r="D12" s="30">
        <f t="shared" ref="D12:F12" ca="1" si="0">D9+(D10*D11)</f>
        <v>6.4565999999999998E-2</v>
      </c>
      <c r="E12" s="30">
        <f t="shared" ca="1" si="0"/>
        <v>8.7456000000000006E-2</v>
      </c>
      <c r="F12" s="30">
        <f t="shared" ca="1" si="0"/>
        <v>9.9377999999999994E-2</v>
      </c>
      <c r="G12" s="15"/>
      <c r="H12" s="39" t="str">
        <f>H6</f>
        <v>WC-MP</v>
      </c>
      <c r="I12" s="98">
        <f>DCF!R3*'Assumptions &amp; WACC'!$D$7</f>
        <v>4287.6034901162047</v>
      </c>
      <c r="J12" s="98">
        <f>DCF!S3*'Assumptions &amp; WACC'!$D$7</f>
        <v>4466.8039666562645</v>
      </c>
      <c r="K12" s="98">
        <f>DCF!T3*'Assumptions &amp; WACC'!$D$7</f>
        <v>4653.4941308193083</v>
      </c>
      <c r="L12" s="98">
        <f>DCF!U3*'Assumptions &amp; WACC'!$D$7</f>
        <v>4847.9870142544305</v>
      </c>
      <c r="M12" s="98">
        <f>DCF!V3*'Assumptions &amp; WACC'!$D$7</f>
        <v>5050.6087317749716</v>
      </c>
      <c r="N12" s="98">
        <f>DCF!W3*'Assumptions &amp; WACC'!$D$7</f>
        <v>5261.6990281696444</v>
      </c>
    </row>
    <row r="13" spans="1:14" x14ac:dyDescent="0.3">
      <c r="A13" s="21" t="s">
        <v>59</v>
      </c>
      <c r="B13" s="22">
        <f>AVERAGE(Financials!B8:F8)/AVERAGE(Financials!B21:F21)</f>
        <v>1.9798181969810692E-2</v>
      </c>
      <c r="C13" s="22">
        <f>AVERAGE(Financials!I8:M8)/AVERAGE(Financials!I21:M21)</f>
        <v>2.0692520775623269E-2</v>
      </c>
      <c r="D13" s="22">
        <f>AVERAGE(Financials!P8:T8)/AVERAGE(Financials!P21:T21)</f>
        <v>4.2622916382198783E-2</v>
      </c>
      <c r="E13" s="22">
        <f>AVERAGE(Financials!X8:AB8)/AVERAGE(Financials!X21:AB21)</f>
        <v>3.7608145064111351E-2</v>
      </c>
      <c r="F13" s="22">
        <f>AVERAGE(Financials!AF8:AJ8)/AVERAGE(Financials!AF21:AJ21)</f>
        <v>4.0286594902934951E-2</v>
      </c>
      <c r="G13" s="15"/>
      <c r="H13" s="39" t="str">
        <f>H7</f>
        <v>WC-Phillips66</v>
      </c>
      <c r="I13" s="98">
        <f>DCF!Z3*'Assumptions &amp; WACC'!$E$7</f>
        <v>10697.756054708825</v>
      </c>
      <c r="J13" s="98">
        <f>DCF!AA3*'Assumptions &amp; WACC'!$E$7</f>
        <v>11104.787015605256</v>
      </c>
      <c r="K13" s="98">
        <f>DCF!AB3*'Assumptions &amp; WACC'!$E$7</f>
        <v>11527.304794698044</v>
      </c>
      <c r="L13" s="98">
        <f>DCF!AC3*'Assumptions &amp; WACC'!$E$7</f>
        <v>11965.89863841041</v>
      </c>
      <c r="M13" s="98">
        <f>DCF!AD3*'Assumptions &amp; WACC'!$E$7</f>
        <v>12421.180212964322</v>
      </c>
      <c r="N13" s="98">
        <f>DCF!AE3*'Assumptions &amp; WACC'!$E$7</f>
        <v>12893.784457414744</v>
      </c>
    </row>
    <row r="14" spans="1:14" x14ac:dyDescent="0.3">
      <c r="A14" s="21" t="s">
        <v>60</v>
      </c>
      <c r="B14" s="22">
        <v>0.21</v>
      </c>
      <c r="C14" s="22">
        <v>0.21</v>
      </c>
      <c r="D14" s="22">
        <v>0.21</v>
      </c>
      <c r="E14" s="22">
        <v>0.21</v>
      </c>
      <c r="F14" s="22">
        <v>0.21</v>
      </c>
      <c r="G14" s="15"/>
      <c r="H14" s="39" t="str">
        <f>H5</f>
        <v>WC-Conoco</v>
      </c>
      <c r="I14" s="98">
        <f>DCF!AH3*'Assumptions &amp; WACC'!$F$7</f>
        <v>3908.608090336948</v>
      </c>
      <c r="J14" s="98">
        <f>DCF!AI3*'Assumptions &amp; WACC'!$F$7</f>
        <v>4146.6773974474763</v>
      </c>
      <c r="K14" s="98">
        <f>DCF!AJ3*'Assumptions &amp; WACC'!$F$7</f>
        <v>4399.247261707289</v>
      </c>
      <c r="L14" s="98">
        <f>DCF!AK3*'Assumptions &amp; WACC'!$F$7</f>
        <v>4667.2008971694358</v>
      </c>
      <c r="M14" s="98">
        <f>DCF!AL3*'Assumptions &amp; WACC'!$F$7</f>
        <v>4951.4753135484334</v>
      </c>
      <c r="N14" s="98">
        <f>DCF!AM3*'Assumptions &amp; WACC'!$F$7</f>
        <v>5253.0645928587928</v>
      </c>
    </row>
    <row r="15" spans="1:14" x14ac:dyDescent="0.3">
      <c r="A15" s="29" t="s">
        <v>61</v>
      </c>
      <c r="B15" s="30">
        <f>B13*(1-B14)</f>
        <v>1.5640563756150447E-2</v>
      </c>
      <c r="C15" s="30">
        <f>C13*(1-C14)</f>
        <v>1.6347091412742383E-2</v>
      </c>
      <c r="D15" s="30">
        <f t="shared" ref="D15:F15" si="1">D13*(1-D14)</f>
        <v>3.3672103941937037E-2</v>
      </c>
      <c r="E15" s="30">
        <f t="shared" si="1"/>
        <v>2.971043460064797E-2</v>
      </c>
      <c r="F15" s="30">
        <f t="shared" si="1"/>
        <v>3.1826409973318613E-2</v>
      </c>
      <c r="G15" s="15"/>
    </row>
    <row r="16" spans="1:14" x14ac:dyDescent="0.3">
      <c r="A16" s="21" t="s">
        <v>33</v>
      </c>
      <c r="B16" s="31">
        <f>Financials!F21</f>
        <v>41710</v>
      </c>
      <c r="C16" s="31">
        <f>Financials!M21</f>
        <v>24541</v>
      </c>
      <c r="D16" s="31">
        <f>Financials!T21</f>
        <v>24324</v>
      </c>
      <c r="E16" s="31">
        <f>Financials!AB21</f>
        <v>27481</v>
      </c>
      <c r="F16" s="31">
        <f>Financials!AJ21</f>
        <v>20062</v>
      </c>
      <c r="G16" s="15"/>
    </row>
    <row r="17" spans="1:14" x14ac:dyDescent="0.3">
      <c r="A17" s="21" t="s">
        <v>6</v>
      </c>
      <c r="B17" s="31">
        <f ca="1">'Company Profile'!B8</f>
        <v>501969.26897999999</v>
      </c>
      <c r="C17" s="31">
        <f ca="1">'Company Profile'!C8</f>
        <v>311733.40000000002</v>
      </c>
      <c r="D17" s="31">
        <f ca="1">'Company Profile'!D8</f>
        <v>110794.47588</v>
      </c>
      <c r="E17" s="31">
        <f ca="1">'Company Profile'!E8</f>
        <v>60003.265025000001</v>
      </c>
      <c r="F17" s="31">
        <f ca="1">'Company Profile'!F8</f>
        <v>55768.309451000001</v>
      </c>
      <c r="G17" s="15"/>
      <c r="H17" s="15"/>
      <c r="I17" s="15"/>
      <c r="J17" s="15"/>
      <c r="K17" s="15"/>
      <c r="L17" s="15"/>
      <c r="M17" s="15"/>
      <c r="N17" s="15"/>
    </row>
    <row r="18" spans="1:14" x14ac:dyDescent="0.3">
      <c r="A18" s="21" t="s">
        <v>62</v>
      </c>
      <c r="B18" s="31">
        <f ca="1">B16+B17</f>
        <v>543679.26897999994</v>
      </c>
      <c r="C18" s="31">
        <f ca="1">C16+C17</f>
        <v>336274.4</v>
      </c>
      <c r="D18" s="31">
        <f t="shared" ref="D18:F18" ca="1" si="2">D16+D17</f>
        <v>135118.47587999998</v>
      </c>
      <c r="E18" s="31">
        <f t="shared" ca="1" si="2"/>
        <v>87484.265025000001</v>
      </c>
      <c r="F18" s="31">
        <f t="shared" ca="1" si="2"/>
        <v>75830.309451000008</v>
      </c>
      <c r="G18" s="15"/>
      <c r="H18" s="54" t="s">
        <v>9</v>
      </c>
      <c r="I18" s="55" t="s">
        <v>95</v>
      </c>
      <c r="J18" s="55" t="s">
        <v>96</v>
      </c>
      <c r="K18" s="55" t="s">
        <v>97</v>
      </c>
      <c r="L18" s="55" t="s">
        <v>98</v>
      </c>
      <c r="M18" s="55" t="s">
        <v>99</v>
      </c>
      <c r="N18" s="55" t="s">
        <v>100</v>
      </c>
    </row>
    <row r="19" spans="1:14" x14ac:dyDescent="0.3">
      <c r="A19" s="21" t="s">
        <v>63</v>
      </c>
      <c r="B19" s="22">
        <f ca="1">B16/B18</f>
        <v>7.6718025460585232E-2</v>
      </c>
      <c r="C19" s="22">
        <f ca="1">C16/C18</f>
        <v>7.2979090885300815E-2</v>
      </c>
      <c r="D19" s="22">
        <f t="shared" ref="D19:F19" ca="1" si="3">D16/D18</f>
        <v>0.18001979256783787</v>
      </c>
      <c r="E19" s="22">
        <f t="shared" ca="1" si="3"/>
        <v>0.31412505999961104</v>
      </c>
      <c r="F19" s="22">
        <f t="shared" ca="1" si="3"/>
        <v>0.26456439575739371</v>
      </c>
      <c r="G19" s="15"/>
      <c r="H19" s="15" t="s">
        <v>93</v>
      </c>
      <c r="I19" s="52">
        <f>B3</f>
        <v>0.14007723800913618</v>
      </c>
      <c r="J19" s="52">
        <v>0.12</v>
      </c>
      <c r="K19" s="52">
        <v>0.1</v>
      </c>
      <c r="L19" s="52">
        <v>0.08</v>
      </c>
      <c r="M19" s="52">
        <v>0.05</v>
      </c>
      <c r="N19" s="52">
        <v>0.03</v>
      </c>
    </row>
    <row r="20" spans="1:14" x14ac:dyDescent="0.3">
      <c r="A20" s="21" t="s">
        <v>64</v>
      </c>
      <c r="B20" s="22">
        <f ca="1">B17/B18</f>
        <v>0.92328197453941485</v>
      </c>
      <c r="C20" s="22">
        <f ca="1">C17/C18</f>
        <v>0.92702090911469914</v>
      </c>
      <c r="D20" s="22">
        <f t="shared" ref="D20:F20" ca="1" si="4">D17/D18</f>
        <v>0.81998020743216227</v>
      </c>
      <c r="E20" s="22">
        <f t="shared" ca="1" si="4"/>
        <v>0.68587494000038896</v>
      </c>
      <c r="F20" s="22">
        <f t="shared" ca="1" si="4"/>
        <v>0.73543560424260612</v>
      </c>
      <c r="G20" s="15"/>
      <c r="H20" s="15" t="s">
        <v>94</v>
      </c>
      <c r="I20" s="53">
        <f>C3</f>
        <v>0.16452148572836967</v>
      </c>
      <c r="J20" s="52">
        <v>0.12</v>
      </c>
      <c r="K20" s="52">
        <v>0.1</v>
      </c>
      <c r="L20" s="52">
        <v>0.08</v>
      </c>
      <c r="M20" s="52">
        <v>0.05</v>
      </c>
      <c r="N20" s="52">
        <v>0.03</v>
      </c>
    </row>
    <row r="21" spans="1:14" x14ac:dyDescent="0.3">
      <c r="A21" s="29" t="s">
        <v>65</v>
      </c>
      <c r="B21" s="30">
        <f ca="1">(B12*B20)+(B15*B19)</f>
        <v>6.3155826787955144E-2</v>
      </c>
      <c r="C21" s="30">
        <f ca="1">(C12*C20)+(C15*C19)</f>
        <v>8.0369851717407292E-2</v>
      </c>
      <c r="D21" s="30">
        <f t="shared" ref="D21:F21" ca="1" si="5">(D12*D20)+(D15*D19)</f>
        <v>5.9004487240015169E-2</v>
      </c>
      <c r="E21" s="30">
        <f t="shared" ca="1" si="5"/>
        <v>6.9316670804217079E-2</v>
      </c>
      <c r="F21" s="30">
        <f t="shared" ca="1" si="5"/>
        <v>8.1506254402139836E-2</v>
      </c>
      <c r="G21" s="15"/>
      <c r="H21" s="15"/>
      <c r="I21" s="15"/>
      <c r="J21" s="15"/>
      <c r="K21" s="15"/>
      <c r="L21" s="15"/>
      <c r="M21" s="15"/>
      <c r="N21" s="15"/>
    </row>
    <row r="22" spans="1:14" x14ac:dyDescent="0.3">
      <c r="A22" s="21" t="s">
        <v>66</v>
      </c>
      <c r="B22" s="27">
        <v>2030</v>
      </c>
      <c r="C22" s="27">
        <v>2030</v>
      </c>
      <c r="D22" s="27">
        <v>2030</v>
      </c>
      <c r="E22" s="27">
        <v>2030</v>
      </c>
      <c r="F22" s="27">
        <v>2030</v>
      </c>
      <c r="G22" s="15"/>
      <c r="H22" s="15"/>
      <c r="I22" s="15"/>
      <c r="J22" s="15"/>
      <c r="K22" s="15"/>
      <c r="L22" s="15"/>
      <c r="M22" s="15"/>
      <c r="N22" s="15"/>
    </row>
    <row r="23" spans="1:14" x14ac:dyDescent="0.3">
      <c r="A23" s="21" t="s">
        <v>67</v>
      </c>
      <c r="B23" s="22">
        <f ca="1">1/(1+B21)^5</f>
        <v>0.73623317196490501</v>
      </c>
      <c r="C23" s="22">
        <f ca="1">1/(1+C21)^5</f>
        <v>0.67941904672126796</v>
      </c>
      <c r="D23" s="22">
        <f t="shared" ref="D23:F23" ca="1" si="6">1/(1+D21)^5</f>
        <v>0.75077706716787784</v>
      </c>
      <c r="E23" s="22">
        <f t="shared" ca="1" si="6"/>
        <v>0.71526720326134285</v>
      </c>
      <c r="F23" s="22">
        <f t="shared" ca="1" si="6"/>
        <v>0.67585701108518903</v>
      </c>
      <c r="G23" s="15"/>
      <c r="H23" s="109"/>
      <c r="I23" s="15"/>
      <c r="J23" s="15"/>
      <c r="K23" s="15"/>
      <c r="L23" s="15"/>
      <c r="M23" s="15"/>
      <c r="N23" s="15"/>
    </row>
    <row r="24" spans="1:14" x14ac:dyDescent="0.3">
      <c r="A24" s="21" t="s">
        <v>68</v>
      </c>
      <c r="B24" s="31">
        <f>Financials!F14</f>
        <v>23187</v>
      </c>
      <c r="C24" s="31">
        <f>Financials!M14</f>
        <v>6781</v>
      </c>
      <c r="D24" s="95">
        <f>Financials!T14</f>
        <v>5607</v>
      </c>
      <c r="E24" s="95">
        <f>Financials!AB14</f>
        <v>3210</v>
      </c>
      <c r="F24" s="95">
        <f>Financials!AJ14</f>
        <v>1738</v>
      </c>
      <c r="G24" s="15"/>
      <c r="H24" s="15"/>
      <c r="I24" s="15"/>
      <c r="J24" s="15"/>
      <c r="K24" s="15"/>
      <c r="L24" s="15"/>
      <c r="M24" s="15"/>
      <c r="N24" s="15"/>
    </row>
    <row r="25" spans="1:14" x14ac:dyDescent="0.3">
      <c r="A25" s="21" t="s">
        <v>69</v>
      </c>
      <c r="B25" s="22">
        <v>2.5000000000000001E-3</v>
      </c>
      <c r="C25" s="22">
        <v>2.5000000000000001E-3</v>
      </c>
      <c r="D25" s="22">
        <v>2.5000000000000001E-3</v>
      </c>
      <c r="E25" s="22">
        <v>2.5000000000000001E-3</v>
      </c>
      <c r="F25" s="22">
        <v>2.5000000000000001E-3</v>
      </c>
      <c r="G25" s="15"/>
      <c r="H25" s="15"/>
      <c r="I25" s="15"/>
      <c r="J25" s="15"/>
      <c r="K25" s="15"/>
      <c r="L25" s="15"/>
      <c r="M25" s="15"/>
      <c r="N25" s="15"/>
    </row>
    <row r="26" spans="1:14" x14ac:dyDescent="0.3">
      <c r="A26" s="21" t="s">
        <v>70</v>
      </c>
      <c r="B26" s="31">
        <f ca="1">'Company Profile'!B6</f>
        <v>4217.1660000000002</v>
      </c>
      <c r="C26" s="31">
        <f ca="1">'Company Profile'!C6</f>
        <v>2013.5219999999999</v>
      </c>
      <c r="D26" s="31">
        <f ca="1">'Company Profile'!D6</f>
        <v>1235.7180000000001</v>
      </c>
      <c r="E26" s="31">
        <f ca="1">'Company Profile'!E6</f>
        <v>300.60250000000002</v>
      </c>
      <c r="F26" s="31">
        <f ca="1">'Company Profile'!F6</f>
        <v>402.92110000000002</v>
      </c>
      <c r="G26" s="15"/>
      <c r="H26" s="15"/>
      <c r="I26" s="15"/>
      <c r="J26" s="15"/>
      <c r="K26" s="15"/>
      <c r="L26" s="15"/>
      <c r="M26" s="15"/>
      <c r="N26" s="15"/>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6014-9BDD-4312-A61C-98986898EFE3}">
  <dimension ref="A1:AM22"/>
  <sheetViews>
    <sheetView tabSelected="1" topLeftCell="AH1" workbookViewId="0">
      <selection activeCell="AK18" sqref="AK18"/>
    </sheetView>
  </sheetViews>
  <sheetFormatPr defaultRowHeight="14.4" x14ac:dyDescent="0.3"/>
  <cols>
    <col min="1" max="1" width="22.77734375" bestFit="1" customWidth="1"/>
    <col min="2" max="2" width="14.44140625" bestFit="1" customWidth="1"/>
    <col min="3" max="7" width="10.88671875" bestFit="1" customWidth="1"/>
    <col min="9" max="9" width="22.77734375" bestFit="1" customWidth="1"/>
    <col min="10" max="10" width="12.33203125" bestFit="1" customWidth="1"/>
    <col min="11" max="15" width="10.88671875" bestFit="1" customWidth="1"/>
    <col min="17" max="17" width="22.77734375" bestFit="1" customWidth="1"/>
    <col min="18" max="18" width="14.44140625" bestFit="1" customWidth="1"/>
    <col min="19" max="23" width="10.88671875" bestFit="1" customWidth="1"/>
    <col min="25" max="25" width="22.77734375" bestFit="1" customWidth="1"/>
    <col min="26" max="26" width="12.33203125" bestFit="1" customWidth="1"/>
    <col min="27" max="31" width="10.88671875" bestFit="1" customWidth="1"/>
    <col min="33" max="33" width="22.77734375" bestFit="1" customWidth="1"/>
    <col min="34" max="34" width="14.44140625" bestFit="1" customWidth="1"/>
    <col min="35" max="39" width="10.88671875" bestFit="1" customWidth="1"/>
  </cols>
  <sheetData>
    <row r="1" spans="1:39" x14ac:dyDescent="0.3">
      <c r="A1" s="14" t="s">
        <v>75</v>
      </c>
      <c r="B1" s="15"/>
      <c r="C1" s="15"/>
      <c r="D1" s="15"/>
      <c r="E1" s="15"/>
      <c r="F1" s="15"/>
      <c r="G1" s="16" t="s">
        <v>71</v>
      </c>
      <c r="H1" s="15"/>
      <c r="I1" s="15"/>
      <c r="J1" s="17"/>
      <c r="K1" s="17"/>
      <c r="L1" s="17"/>
      <c r="M1" s="17"/>
      <c r="N1" s="17"/>
      <c r="O1" s="16" t="s">
        <v>72</v>
      </c>
      <c r="Q1" s="14" t="s">
        <v>75</v>
      </c>
      <c r="R1" s="15"/>
      <c r="S1" s="15"/>
      <c r="T1" s="15"/>
      <c r="U1" s="15"/>
      <c r="V1" s="15"/>
      <c r="W1" s="16" t="s">
        <v>141</v>
      </c>
      <c r="X1" s="15"/>
      <c r="Y1" s="15"/>
      <c r="Z1" s="17"/>
      <c r="AA1" s="17"/>
      <c r="AB1" s="17"/>
      <c r="AC1" s="17"/>
      <c r="AD1" s="17"/>
      <c r="AE1" s="16" t="s">
        <v>135</v>
      </c>
      <c r="AG1" s="14" t="s">
        <v>75</v>
      </c>
      <c r="AH1" s="15"/>
      <c r="AI1" s="15"/>
      <c r="AJ1" s="15"/>
      <c r="AK1" s="15"/>
      <c r="AL1" s="15"/>
      <c r="AM1" s="16" t="s">
        <v>136</v>
      </c>
    </row>
    <row r="2" spans="1:39" x14ac:dyDescent="0.3">
      <c r="A2" s="15" t="s">
        <v>11</v>
      </c>
      <c r="B2" s="36" t="s">
        <v>48</v>
      </c>
      <c r="C2" s="36" t="s">
        <v>49</v>
      </c>
      <c r="D2" s="36" t="s">
        <v>50</v>
      </c>
      <c r="E2" s="36" t="s">
        <v>51</v>
      </c>
      <c r="F2" s="36" t="s">
        <v>52</v>
      </c>
      <c r="G2" s="36" t="s">
        <v>53</v>
      </c>
      <c r="H2" s="15"/>
      <c r="I2" s="15" t="s">
        <v>11</v>
      </c>
      <c r="J2" s="37" t="s">
        <v>48</v>
      </c>
      <c r="K2" s="37" t="s">
        <v>49</v>
      </c>
      <c r="L2" s="37" t="s">
        <v>50</v>
      </c>
      <c r="M2" s="37" t="s">
        <v>51</v>
      </c>
      <c r="N2" s="37" t="s">
        <v>52</v>
      </c>
      <c r="O2" s="37" t="s">
        <v>53</v>
      </c>
      <c r="Q2" s="15" t="s">
        <v>11</v>
      </c>
      <c r="R2" s="36" t="s">
        <v>48</v>
      </c>
      <c r="S2" s="36" t="s">
        <v>49</v>
      </c>
      <c r="T2" s="36" t="s">
        <v>50</v>
      </c>
      <c r="U2" s="36" t="s">
        <v>51</v>
      </c>
      <c r="V2" s="36" t="s">
        <v>52</v>
      </c>
      <c r="W2" s="36" t="s">
        <v>53</v>
      </c>
      <c r="X2" s="15"/>
      <c r="Y2" s="15" t="s">
        <v>11</v>
      </c>
      <c r="Z2" s="37" t="s">
        <v>48</v>
      </c>
      <c r="AA2" s="37" t="s">
        <v>49</v>
      </c>
      <c r="AB2" s="37" t="s">
        <v>50</v>
      </c>
      <c r="AC2" s="37" t="s">
        <v>51</v>
      </c>
      <c r="AD2" s="37" t="s">
        <v>52</v>
      </c>
      <c r="AE2" s="37" t="s">
        <v>53</v>
      </c>
      <c r="AG2" s="15" t="s">
        <v>11</v>
      </c>
      <c r="AH2" s="36" t="s">
        <v>48</v>
      </c>
      <c r="AI2" s="36" t="s">
        <v>49</v>
      </c>
      <c r="AJ2" s="36" t="s">
        <v>50</v>
      </c>
      <c r="AK2" s="36" t="s">
        <v>51</v>
      </c>
      <c r="AL2" s="36" t="s">
        <v>52</v>
      </c>
      <c r="AM2" s="36" t="s">
        <v>53</v>
      </c>
    </row>
    <row r="3" spans="1:39" x14ac:dyDescent="0.3">
      <c r="A3" s="15" t="s">
        <v>17</v>
      </c>
      <c r="B3" s="38">
        <f>Table1[[#This Row],[2024]]*(1+'Assumptions &amp; WACC'!B3)</f>
        <v>398553.90124942386</v>
      </c>
      <c r="C3" s="38">
        <f>Table9[[#This Row],[2025]]*(1+'Assumptions &amp; WACC'!J19)</f>
        <v>446380.36939935473</v>
      </c>
      <c r="D3" s="38">
        <f>Table9[[#This Row],[2026]]*(1+'Assumptions &amp; WACC'!K19)</f>
        <v>491018.40633929026</v>
      </c>
      <c r="E3" s="38">
        <f>Table9[[#This Row],[2027]]*(1+'Assumptions &amp; WACC'!L19)</f>
        <v>530299.87884643348</v>
      </c>
      <c r="F3" s="38">
        <f>Table9[[#This Row],[2028]]*(1+'Assumptions &amp; WACC'!M19)</f>
        <v>556814.87278875522</v>
      </c>
      <c r="G3" s="38">
        <f>Table9[[#This Row],[2029]]*(1+'Assumptions &amp; WACC'!N19)</f>
        <v>573519.31897241785</v>
      </c>
      <c r="H3" s="15"/>
      <c r="I3" s="39" t="s">
        <v>17</v>
      </c>
      <c r="J3" s="40">
        <f>Table18[[#This Row],[2024]]*(1+'Assumptions &amp; WACC'!C3)</f>
        <v>236155.64113382754</v>
      </c>
      <c r="K3" s="40">
        <f>J3*(1+'Assumptions &amp; WACC'!J20)</f>
        <v>264494.31806988688</v>
      </c>
      <c r="L3" s="40">
        <f>K3*(1+'Assumptions &amp; WACC'!K20)</f>
        <v>290943.7498768756</v>
      </c>
      <c r="M3" s="40">
        <f>L3*(1+'Assumptions &amp; WACC'!L20)</f>
        <v>314219.24986702565</v>
      </c>
      <c r="N3" s="40">
        <f>M3*(1+'Assumptions &amp; WACC'!M20)</f>
        <v>329930.21236037696</v>
      </c>
      <c r="O3" s="40">
        <f>N3*(1+'Assumptions &amp; WACC'!N20)</f>
        <v>339828.1187311883</v>
      </c>
      <c r="Q3" s="15" t="s">
        <v>17</v>
      </c>
      <c r="R3" s="38">
        <f>Table124[[#This Row],[2024]]*(1+'Assumptions &amp; WACC'!D3)</f>
        <v>59333.351812828063</v>
      </c>
      <c r="S3" s="38">
        <f>Table941[[#This Row],[2025]]*(1+'Assumptions &amp; WACC'!$D$3)</f>
        <v>61813.190478900622</v>
      </c>
      <c r="T3" s="38">
        <f>Table941[[#This Row],[2026]]*(1+'Assumptions &amp; WACC'!$D$3)</f>
        <v>64396.674053306488</v>
      </c>
      <c r="U3" s="38">
        <f>Table941[[#This Row],[2027]]*(1+'Assumptions &amp; WACC'!$D$3)</f>
        <v>67088.134377132912</v>
      </c>
      <c r="V3" s="38">
        <f>Table941[[#This Row],[2028]]*(1+'Assumptions &amp; WACC'!$D$3)</f>
        <v>69892.084340854941</v>
      </c>
      <c r="W3" s="38">
        <f>Table941[[#This Row],[2029]]*(1+'Assumptions &amp; WACC'!$D$3)</f>
        <v>72813.225451298393</v>
      </c>
      <c r="X3" s="15"/>
      <c r="Y3" s="39" t="s">
        <v>17</v>
      </c>
      <c r="Z3" s="40">
        <f>Table1827[[#This Row],[2024]]*(1+'Assumptions &amp; WACC'!E3)</f>
        <v>145754.43172017677</v>
      </c>
      <c r="AA3" s="40">
        <f>Table1042[[#This Row],[2025]]*(1+'Assumptions &amp; WACC'!$E$3)</f>
        <v>151300.13365005606</v>
      </c>
      <c r="AB3" s="40">
        <f>Table1042[[#This Row],[2026]]*(1+'Assumptions &amp; WACC'!$E$3)</f>
        <v>157056.83986661193</v>
      </c>
      <c r="AC3" s="40">
        <f>Table1042[[#This Row],[2027]]*(1+'Assumptions &amp; WACC'!$E$3)</f>
        <v>163032.57871495903</v>
      </c>
      <c r="AD3" s="40">
        <f>Table1042[[#This Row],[2028]]*(1+'Assumptions &amp; WACC'!$E$3)</f>
        <v>169235.68400474207</v>
      </c>
      <c r="AE3" s="40">
        <f>Table1042[[#This Row],[2029]]*(1+'Assumptions &amp; WACC'!$E$3)</f>
        <v>175674.80663252849</v>
      </c>
      <c r="AG3" s="15" t="s">
        <v>17</v>
      </c>
      <c r="AH3" s="38">
        <f>Financials!$AJ3*(1+'Assumptions &amp; WACC'!F3)</f>
        <v>154358.01202750092</v>
      </c>
      <c r="AI3" s="38">
        <f>Table94145[[#This Row],[2025]]*(1+'Assumptions &amp; WACC'!$F$3)</f>
        <v>163759.80011190768</v>
      </c>
      <c r="AJ3" s="38">
        <f>Table94145[[#This Row],[2026]]*(1+'Assumptions &amp; WACC'!$F$3)</f>
        <v>173734.24145883729</v>
      </c>
      <c r="AK3" s="38">
        <f>Table94145[[#This Row],[2027]]*(1+'Assumptions &amp; WACC'!$F$3)</f>
        <v>184316.21579075683</v>
      </c>
      <c r="AL3" s="38">
        <f>Table94145[[#This Row],[2028]]*(1+'Assumptions &amp; WACC'!$F$3)</f>
        <v>195542.72731822936</v>
      </c>
      <c r="AM3" s="38">
        <f>Table94145[[#This Row],[2029]]*(1+'Assumptions &amp; WACC'!$F$3)</f>
        <v>207453.03414030335</v>
      </c>
    </row>
    <row r="4" spans="1:39" x14ac:dyDescent="0.3">
      <c r="A4" s="15" t="s">
        <v>76</v>
      </c>
      <c r="B4" s="51">
        <f>B3*'Assumptions &amp; WACC'!$B$4</f>
        <v>81292.151954504865</v>
      </c>
      <c r="C4" s="51">
        <f>C3*'Assumptions &amp; WACC'!$B$4</f>
        <v>91047.210189045451</v>
      </c>
      <c r="D4" s="51">
        <f>D3*'Assumptions &amp; WACC'!$B$4</f>
        <v>100151.93120795001</v>
      </c>
      <c r="E4" s="51">
        <f>E3*'Assumptions &amp; WACC'!$B$4</f>
        <v>108164.08570458602</v>
      </c>
      <c r="F4" s="51">
        <f>F3*'Assumptions &amp; WACC'!$B$4</f>
        <v>113572.28998981533</v>
      </c>
      <c r="G4" s="51">
        <f>G3*'Assumptions &amp; WACC'!$B$4</f>
        <v>116979.45868950977</v>
      </c>
      <c r="H4" s="15"/>
      <c r="I4" s="39" t="s">
        <v>76</v>
      </c>
      <c r="J4" s="40">
        <f>J3*'Assumptions &amp; WACC'!$C$4</f>
        <v>55266.902167700289</v>
      </c>
      <c r="K4" s="40">
        <f>K3*'Assumptions &amp; WACC'!$C$4</f>
        <v>61898.930427824329</v>
      </c>
      <c r="L4" s="40">
        <f>L3*'Assumptions &amp; WACC'!$C$4</f>
        <v>68088.823470606774</v>
      </c>
      <c r="M4" s="40">
        <f>M3*'Assumptions &amp; WACC'!$C$4</f>
        <v>73535.929348255318</v>
      </c>
      <c r="N4" s="40">
        <f>N3*'Assumptions &amp; WACC'!$C$4</f>
        <v>77212.725815668091</v>
      </c>
      <c r="O4" s="40">
        <f>O3*'Assumptions &amp; WACC'!$C$4</f>
        <v>79529.107590138141</v>
      </c>
      <c r="Q4" s="15" t="s">
        <v>76</v>
      </c>
      <c r="R4" s="51">
        <f>R3*'Assumptions &amp; WACC'!$D$4</f>
        <v>25739.849446570275</v>
      </c>
      <c r="S4" s="51">
        <f>S3*'Assumptions &amp; WACC'!$D$4</f>
        <v>26815.646986507854</v>
      </c>
      <c r="T4" s="51">
        <f>T3*'Assumptions &amp; WACC'!$D$4</f>
        <v>27936.40750687537</v>
      </c>
      <c r="U4" s="51">
        <f>U3*'Assumptions &amp; WACC'!$D$4</f>
        <v>29104.01023636977</v>
      </c>
      <c r="V4" s="51">
        <f>V3*'Assumptions &amp; WACC'!$D$4</f>
        <v>30320.412946090226</v>
      </c>
      <c r="W4" s="51">
        <f>W3*'Assumptions &amp; WACC'!$D$4</f>
        <v>31587.655232219513</v>
      </c>
      <c r="X4" s="15"/>
      <c r="Y4" s="39" t="s">
        <v>76</v>
      </c>
      <c r="Z4" s="40">
        <f>Z3*'Assumptions &amp; WACC'!$E$4</f>
        <v>14856.776343498574</v>
      </c>
      <c r="AA4" s="40">
        <f>AA3*'Assumptions &amp; WACC'!$E$4</f>
        <v>15422.050773013703</v>
      </c>
      <c r="AB4" s="40">
        <f>AB3*'Assumptions &amp; WACC'!$E$4</f>
        <v>16008.832908728065</v>
      </c>
      <c r="AC4" s="40">
        <f>AC3*'Assumptions &amp; WACC'!$E$4</f>
        <v>16617.941081352903</v>
      </c>
      <c r="AD4" s="40">
        <f>AD3*'Assumptions &amp; WACC'!$E$4</f>
        <v>17250.224757655847</v>
      </c>
      <c r="AE4" s="40">
        <f>AE3*'Assumptions &amp; WACC'!$E$4</f>
        <v>17906.565725133551</v>
      </c>
      <c r="AG4" s="15" t="s">
        <v>76</v>
      </c>
      <c r="AH4" s="51">
        <f>AH3*'Assumptions &amp; WACC'!$F$4</f>
        <v>27634.395588905147</v>
      </c>
      <c r="AI4" s="51">
        <f>AI3*'Assumptions &amp; WACC'!$F$4</f>
        <v>29317.578261154529</v>
      </c>
      <c r="AJ4" s="51">
        <f>AJ3*'Assumptions &amp; WACC'!$F$4</f>
        <v>31103.281862405081</v>
      </c>
      <c r="AK4" s="51">
        <f>AK3*'Assumptions &amp; WACC'!$F$4</f>
        <v>32997.750837218031</v>
      </c>
      <c r="AL4" s="51">
        <f>AL3*'Assumptions &amp; WACC'!$F$4</f>
        <v>35007.60997286372</v>
      </c>
      <c r="AM4" s="51">
        <f>AM3*'Assumptions &amp; WACC'!$F$4</f>
        <v>37139.887565605641</v>
      </c>
    </row>
    <row r="5" spans="1:39" s="83" customFormat="1" x14ac:dyDescent="0.3">
      <c r="A5" s="14" t="s">
        <v>77</v>
      </c>
      <c r="B5" s="81">
        <f>B4*(1-'Assumptions &amp; WACC'!$B$14)</f>
        <v>64220.800044058844</v>
      </c>
      <c r="C5" s="81">
        <f>C4*(1-'Assumptions &amp; WACC'!$B$14)</f>
        <v>71927.29604934591</v>
      </c>
      <c r="D5" s="81">
        <f>D4*(1-'Assumptions &amp; WACC'!$B$14)</f>
        <v>79120.025654280515</v>
      </c>
      <c r="E5" s="81">
        <f>E4*(1-'Assumptions &amp; WACC'!$B$14)</f>
        <v>85449.627706622952</v>
      </c>
      <c r="F5" s="81">
        <f>F4*(1-'Assumptions &amp; WACC'!$B$14)</f>
        <v>89722.109091954117</v>
      </c>
      <c r="G5" s="81">
        <f>G4*(1-'Assumptions &amp; WACC'!$B$14)</f>
        <v>92413.772364712728</v>
      </c>
      <c r="H5" s="14"/>
      <c r="I5" s="73" t="s">
        <v>77</v>
      </c>
      <c r="J5" s="82">
        <f>J4*(1-'Assumptions &amp; WACC'!$C$14)</f>
        <v>43660.852712483233</v>
      </c>
      <c r="K5" s="82">
        <f>K4*(1-'Assumptions &amp; WACC'!$C$14)</f>
        <v>48900.155037981225</v>
      </c>
      <c r="L5" s="82">
        <f>L4*(1-'Assumptions &amp; WACC'!$C$14)</f>
        <v>53790.170541779356</v>
      </c>
      <c r="M5" s="82">
        <f>M4*(1-'Assumptions &amp; WACC'!$C$14)</f>
        <v>58093.384185121708</v>
      </c>
      <c r="N5" s="82">
        <f>N4*(1-'Assumptions &amp; WACC'!$C$14)</f>
        <v>60998.053394377792</v>
      </c>
      <c r="O5" s="82">
        <f>O4*(1-'Assumptions &amp; WACC'!$C$14)</f>
        <v>62827.994996209134</v>
      </c>
      <c r="Q5" s="14" t="s">
        <v>77</v>
      </c>
      <c r="R5" s="81">
        <f>R4*(1-'Assumptions &amp; WACC'!$B$14)</f>
        <v>20334.481062790517</v>
      </c>
      <c r="S5" s="81">
        <f>S4*(1-'Assumptions &amp; WACC'!$B$14)</f>
        <v>21184.361119341207</v>
      </c>
      <c r="T5" s="81">
        <f>T4*(1-'Assumptions &amp; WACC'!$B$14)</f>
        <v>22069.761930431545</v>
      </c>
      <c r="U5" s="81">
        <f>U4*(1-'Assumptions &amp; WACC'!$B$14)</f>
        <v>22992.168086732119</v>
      </c>
      <c r="V5" s="81">
        <f>V4*(1-'Assumptions &amp; WACC'!$B$14)</f>
        <v>23953.126227411278</v>
      </c>
      <c r="W5" s="81">
        <f>W4*(1-'Assumptions &amp; WACC'!$B$14)</f>
        <v>24954.247633453415</v>
      </c>
      <c r="X5" s="14"/>
      <c r="Y5" s="73" t="s">
        <v>77</v>
      </c>
      <c r="Z5" s="82">
        <f>Z4*(1-'Assumptions &amp; WACC'!$C$14)</f>
        <v>11736.853311363873</v>
      </c>
      <c r="AA5" s="82">
        <f>AA4*(1-'Assumptions &amp; WACC'!$C$14)</f>
        <v>12183.420110680827</v>
      </c>
      <c r="AB5" s="82">
        <f>AB4*(1-'Assumptions &amp; WACC'!$C$14)</f>
        <v>12646.977997895172</v>
      </c>
      <c r="AC5" s="82">
        <f>AC4*(1-'Assumptions &amp; WACC'!$C$14)</f>
        <v>13128.173454268794</v>
      </c>
      <c r="AD5" s="82">
        <f>AD4*(1-'Assumptions &amp; WACC'!$C$14)</f>
        <v>13627.677558548121</v>
      </c>
      <c r="AE5" s="82">
        <f>AE4*(1-'Assumptions &amp; WACC'!$C$14)</f>
        <v>14146.186922855506</v>
      </c>
      <c r="AG5" s="14" t="s">
        <v>77</v>
      </c>
      <c r="AH5" s="81">
        <f>AH4*(1-'Assumptions &amp; WACC'!$B$14)</f>
        <v>21831.172515235066</v>
      </c>
      <c r="AI5" s="81">
        <f>AI4*(1-'Assumptions &amp; WACC'!$B$14)</f>
        <v>23160.886826312078</v>
      </c>
      <c r="AJ5" s="81">
        <f>AJ4*(1-'Assumptions &amp; WACC'!$B$14)</f>
        <v>24571.592671300015</v>
      </c>
      <c r="AK5" s="81">
        <f>AK4*(1-'Assumptions &amp; WACC'!$B$14)</f>
        <v>26068.223161402246</v>
      </c>
      <c r="AL5" s="81">
        <f>AL4*(1-'Assumptions &amp; WACC'!$B$14)</f>
        <v>27656.011878562342</v>
      </c>
      <c r="AM5" s="81">
        <f>AM4*(1-'Assumptions &amp; WACC'!$B$14)</f>
        <v>29340.511176828459</v>
      </c>
    </row>
    <row r="6" spans="1:39" x14ac:dyDescent="0.3">
      <c r="A6" s="15" t="s">
        <v>78</v>
      </c>
      <c r="B6" s="51">
        <f>B3*'Assumptions &amp; WACC'!$B$5</f>
        <v>34095.955019651643</v>
      </c>
      <c r="C6" s="51">
        <f>C3*'Assumptions &amp; WACC'!$B$5</f>
        <v>38187.469622009841</v>
      </c>
      <c r="D6" s="51">
        <f>D3*'Assumptions &amp; WACC'!$B$5</f>
        <v>42006.21658421083</v>
      </c>
      <c r="E6" s="51">
        <f>E3*'Assumptions &amp; WACC'!$B$5</f>
        <v>45366.713910947692</v>
      </c>
      <c r="F6" s="51">
        <f>F3*'Assumptions &amp; WACC'!$B$5</f>
        <v>47635.049606495086</v>
      </c>
      <c r="G6" s="51">
        <f>G3*'Assumptions &amp; WACC'!$B$5</f>
        <v>49064.101094689933</v>
      </c>
      <c r="H6" s="15"/>
      <c r="I6" s="39" t="s">
        <v>78</v>
      </c>
      <c r="J6" s="40">
        <f>J3*'Assumptions &amp; WACC'!$C$5</f>
        <v>23002.494020377006</v>
      </c>
      <c r="K6" s="40">
        <f>K3*'Assumptions &amp; WACC'!$C$5</f>
        <v>25762.793302822254</v>
      </c>
      <c r="L6" s="40">
        <f>L3*'Assumptions &amp; WACC'!$C$5</f>
        <v>28339.072633104483</v>
      </c>
      <c r="M6" s="40">
        <f>M3*'Assumptions &amp; WACC'!$C$5</f>
        <v>30606.198443752837</v>
      </c>
      <c r="N6" s="40">
        <f>N3*'Assumptions &amp; WACC'!$C$5</f>
        <v>32136.508365940485</v>
      </c>
      <c r="O6" s="40">
        <f>O3*'Assumptions &amp; WACC'!$C$5</f>
        <v>33100.603616918699</v>
      </c>
      <c r="Q6" s="15" t="s">
        <v>78</v>
      </c>
      <c r="R6" s="51">
        <f>R3*'Assumptions &amp; WACC'!$D$5</f>
        <v>8521.7551143375313</v>
      </c>
      <c r="S6" s="51">
        <f>S3*'Assumptions &amp; WACC'!$D$5</f>
        <v>8877.9220455771519</v>
      </c>
      <c r="T6" s="51">
        <f>T3*'Assumptions &amp; WACC'!$D$5</f>
        <v>9248.9749810737158</v>
      </c>
      <c r="U6" s="51">
        <f>U3*'Assumptions &amp; WACC'!$D$5</f>
        <v>9635.5360816829943</v>
      </c>
      <c r="V6" s="51">
        <f>V3*'Assumptions &amp; WACC'!$D$5</f>
        <v>10038.253511486591</v>
      </c>
      <c r="W6" s="51">
        <f>W3*'Assumptions &amp; WACC'!$D$5</f>
        <v>10457.802524597311</v>
      </c>
      <c r="X6" s="15"/>
      <c r="Y6" s="39" t="s">
        <v>78</v>
      </c>
      <c r="Z6" s="40">
        <f>Z3*'Assumptions &amp; WACC'!$E$5</f>
        <v>3661.9909354989741</v>
      </c>
      <c r="AA6" s="40">
        <f>AA3*'Assumptions &amp; WACC'!$E$5</f>
        <v>3801.3233040487385</v>
      </c>
      <c r="AB6" s="40">
        <f>AB3*'Assumptions &amp; WACC'!$E$5</f>
        <v>3945.9570262248853</v>
      </c>
      <c r="AC6" s="40">
        <f>AC3*'Assumptions &amp; WACC'!$E$5</f>
        <v>4096.0938092872893</v>
      </c>
      <c r="AD6" s="40">
        <f>AD3*'Assumptions &amp; WACC'!$E$5</f>
        <v>4251.9430351052833</v>
      </c>
      <c r="AE6" s="40">
        <f>AE3*'Assumptions &amp; WACC'!$E$5</f>
        <v>4413.7220521631643</v>
      </c>
      <c r="AG6" s="15" t="s">
        <v>78</v>
      </c>
      <c r="AH6" s="51">
        <f>AH3*'Assumptions &amp; WACC'!$F$5</f>
        <v>2125.2145418793857</v>
      </c>
      <c r="AI6" s="51">
        <f>AI3*'Assumptions &amp; WACC'!$F$5</f>
        <v>2254.6591783721756</v>
      </c>
      <c r="AJ6" s="51">
        <f>AJ3*'Assumptions &amp; WACC'!$F$5</f>
        <v>2391.9881548158551</v>
      </c>
      <c r="AK6" s="51">
        <f>AK3*'Assumptions &amp; WACC'!$F$5</f>
        <v>2537.6816982645946</v>
      </c>
      <c r="AL6" s="51">
        <f>AL3*'Assumptions &amp; WACC'!$F$5</f>
        <v>2692.249285909546</v>
      </c>
      <c r="AM6" s="51">
        <f>AM3*'Assumptions &amp; WACC'!$F$5</f>
        <v>2856.2314266746603</v>
      </c>
    </row>
    <row r="7" spans="1:39" x14ac:dyDescent="0.3">
      <c r="A7" s="15" t="s">
        <v>37</v>
      </c>
      <c r="B7" s="51">
        <f>B3*'Assumptions &amp; WACC'!$B$6</f>
        <v>23784.344638872622</v>
      </c>
      <c r="C7" s="51">
        <f>C3*'Assumptions &amp; WACC'!$B$6</f>
        <v>26638.465995537335</v>
      </c>
      <c r="D7" s="51">
        <f>D3*'Assumptions &amp; WACC'!$B$6</f>
        <v>29302.312595091073</v>
      </c>
      <c r="E7" s="51">
        <f>E3*'Assumptions &amp; WACC'!$B$6</f>
        <v>31646.49760269836</v>
      </c>
      <c r="F7" s="51">
        <f>F3*'Assumptions &amp; WACC'!$B$6</f>
        <v>33228.822482833282</v>
      </c>
      <c r="G7" s="51">
        <f>G3*'Assumptions &amp; WACC'!$B$6</f>
        <v>34225.68715731828</v>
      </c>
      <c r="H7" s="15"/>
      <c r="I7" s="39" t="s">
        <v>37</v>
      </c>
      <c r="J7" s="40">
        <f>J3*'Assumptions &amp; WACC'!$C$6</f>
        <v>15939.562091146036</v>
      </c>
      <c r="K7" s="40">
        <f>K3*'Assumptions &amp; WACC'!$C$6</f>
        <v>17852.309542083563</v>
      </c>
      <c r="L7" s="40">
        <f>L3*'Assumptions &amp; WACC'!$C$6</f>
        <v>19637.54049629192</v>
      </c>
      <c r="M7" s="40">
        <f>M3*'Assumptions &amp; WACC'!$C$6</f>
        <v>21208.543735995274</v>
      </c>
      <c r="N7" s="40">
        <f>N3*'Assumptions &amp; WACC'!$C$6</f>
        <v>22268.970922795041</v>
      </c>
      <c r="O7" s="40">
        <f>O3*'Assumptions &amp; WACC'!$C$6</f>
        <v>22937.040050478892</v>
      </c>
      <c r="Q7" s="15" t="s">
        <v>37</v>
      </c>
      <c r="R7" s="51">
        <f>R3*'Assumptions &amp; WACC'!$D$6</f>
        <v>9743.3662222718012</v>
      </c>
      <c r="S7" s="51">
        <f>S3*'Assumptions &amp; WACC'!$D$6</f>
        <v>10150.590415031313</v>
      </c>
      <c r="T7" s="51">
        <f>T3*'Assumptions &amp; WACC'!$D$6</f>
        <v>10574.834551348888</v>
      </c>
      <c r="U7" s="51">
        <f>U3*'Assumptions &amp; WACC'!$D$6</f>
        <v>11016.809980117525</v>
      </c>
      <c r="V7" s="51">
        <f>V3*'Assumptions &amp; WACC'!$D$6</f>
        <v>11477.257781071909</v>
      </c>
      <c r="W7" s="51">
        <f>W3*'Assumptions &amp; WACC'!$D$6</f>
        <v>11956.950007389565</v>
      </c>
      <c r="X7" s="15"/>
      <c r="Y7" s="39" t="s">
        <v>37</v>
      </c>
      <c r="Z7" s="40">
        <f>Z3*'Assumptions &amp; WACC'!$E$6</f>
        <v>2447.6519724319569</v>
      </c>
      <c r="AA7" s="40">
        <f>AA3*'Assumptions &amp; WACC'!$E$6</f>
        <v>2540.7808612553745</v>
      </c>
      <c r="AB7" s="40">
        <f>AB3*'Assumptions &amp; WACC'!$E$6</f>
        <v>2637.453141880882</v>
      </c>
      <c r="AC7" s="40">
        <f>AC3*'Assumptions &amp; WACC'!$E$6</f>
        <v>2737.8036341868415</v>
      </c>
      <c r="AD7" s="40">
        <f>AD3*'Assumptions &amp; WACC'!$E$6</f>
        <v>2841.9722877128579</v>
      </c>
      <c r="AE7" s="40">
        <f>AE3*'Assumptions &amp; WACC'!$E$6</f>
        <v>2950.1043768344466</v>
      </c>
      <c r="AG7" s="15" t="s">
        <v>37</v>
      </c>
      <c r="AH7" s="51">
        <f>AH3*'Assumptions &amp; WACC'!$F$6</f>
        <v>2605.5144500508109</v>
      </c>
      <c r="AI7" s="51">
        <f>AI3*'Assumptions &amp; WACC'!$F$6</f>
        <v>2764.2136609856661</v>
      </c>
      <c r="AJ7" s="51">
        <f>AJ3*'Assumptions &amp; WACC'!$F$6</f>
        <v>2932.5790779747058</v>
      </c>
      <c r="AK7" s="51">
        <f>AK3*'Assumptions &amp; WACC'!$F$6</f>
        <v>3111.1994597076018</v>
      </c>
      <c r="AL7" s="51">
        <f>AL3*'Assumptions &amp; WACC'!$F$6</f>
        <v>3300.69942556153</v>
      </c>
      <c r="AM7" s="51">
        <f>AM3*'Assumptions &amp; WACC'!$F$6</f>
        <v>3501.7416398388405</v>
      </c>
    </row>
    <row r="8" spans="1:39" x14ac:dyDescent="0.3">
      <c r="A8" s="41" t="s">
        <v>79</v>
      </c>
      <c r="B8" s="38">
        <f>'Assumptions &amp; WACC'!I10-'Assumptions &amp; WACC'!M3</f>
        <v>-3310.67556318684</v>
      </c>
      <c r="C8" s="38">
        <f>'Assumptions &amp; WACC'!J10-'Assumptions &amp; WACC'!I10</f>
        <v>2204.6789324175807</v>
      </c>
      <c r="D8" s="38">
        <f>'Assumptions &amp; WACC'!K10-'Assumptions &amp; WACC'!J10</f>
        <v>2057.700336923077</v>
      </c>
      <c r="E8" s="38">
        <f>'Assumptions &amp; WACC'!L10-'Assumptions &amp; WACC'!K10</f>
        <v>1810.7762964923058</v>
      </c>
      <c r="F8" s="38">
        <f>'Assumptions &amp; WACC'!M10-'Assumptions &amp; WACC'!L10</f>
        <v>1222.2740001323073</v>
      </c>
      <c r="G8" s="38">
        <f>'Assumptions &amp; WACC'!N10-'Assumptions &amp; WACC'!M10</f>
        <v>770.0326200833515</v>
      </c>
      <c r="H8" s="15"/>
      <c r="I8" s="39" t="s">
        <v>79</v>
      </c>
      <c r="J8" s="40">
        <f>'Assumptions &amp; WACC'!I11-'Assumptions &amp; WACC'!M4</f>
        <v>7591.4915298596843</v>
      </c>
      <c r="K8" s="40">
        <f>'Assumptions &amp; WACC'!J11-'Assumptions &amp; WACC'!I11</f>
        <v>1193.338983583164</v>
      </c>
      <c r="L8" s="40">
        <f>'Assumptions &amp; WACC'!K11-'Assumptions &amp; WACC'!J11</f>
        <v>1113.7830513442859</v>
      </c>
      <c r="M8" s="40">
        <f>'Assumptions &amp; WACC'!L11-'Assumptions &amp; WACC'!K11</f>
        <v>980.12908518297081</v>
      </c>
      <c r="N8" s="40">
        <f>'Assumptions &amp; WACC'!M11-'Assumptions &amp; WACC'!L11</f>
        <v>661.58713249850553</v>
      </c>
      <c r="O8" s="40">
        <f>'Assumptions &amp; WACC'!N11-'Assumptions &amp; WACC'!M11</f>
        <v>416.79989347405899</v>
      </c>
      <c r="Q8" s="41" t="s">
        <v>79</v>
      </c>
      <c r="R8" s="38">
        <f>'Assumptions &amp; WACC'!I12-'Assumptions &amp; WACC'!M5</f>
        <v>764.60349011620474</v>
      </c>
      <c r="S8" s="38">
        <f>'Assumptions &amp; WACC'!J12-'Assumptions &amp; WACC'!I12</f>
        <v>179.20047654005975</v>
      </c>
      <c r="T8" s="38">
        <f>'Assumptions &amp; WACC'!K12-'Assumptions &amp; WACC'!J12</f>
        <v>186.69016416304385</v>
      </c>
      <c r="U8" s="38">
        <f>'Assumptions &amp; WACC'!L12-'Assumptions &amp; WACC'!K12</f>
        <v>194.49288343512217</v>
      </c>
      <c r="V8" s="38">
        <f>'Assumptions &amp; WACC'!M12-'Assumptions &amp; WACC'!L12</f>
        <v>202.6217175205411</v>
      </c>
      <c r="W8" s="38">
        <f>'Assumptions &amp; WACC'!N12-'Assumptions &amp; WACC'!M12</f>
        <v>211.09029639467281</v>
      </c>
      <c r="X8" s="15"/>
      <c r="Y8" s="39" t="s">
        <v>79</v>
      </c>
      <c r="Z8" s="40">
        <f>'Assumptions &amp; WACC'!I13-'Assumptions &amp; WACC'!M6</f>
        <v>7077.7560547088251</v>
      </c>
      <c r="AA8" s="40">
        <f>'Assumptions &amp; WACC'!J13-'Assumptions &amp; WACC'!I13</f>
        <v>407.03096089643077</v>
      </c>
      <c r="AB8" s="40">
        <f>'Assumptions &amp; WACC'!K13-'Assumptions &amp; WACC'!J13</f>
        <v>422.51777909278826</v>
      </c>
      <c r="AC8" s="40">
        <f>'Assumptions &amp; WACC'!L13-'Assumptions &amp; WACC'!K13</f>
        <v>438.59384371236592</v>
      </c>
      <c r="AD8" s="40">
        <f>'Assumptions &amp; WACC'!M13-'Assumptions &amp; WACC'!L13</f>
        <v>455.28157455391192</v>
      </c>
      <c r="AE8" s="40">
        <f>'Assumptions &amp; WACC'!N13-'Assumptions &amp; WACC'!M13</f>
        <v>472.6042444504219</v>
      </c>
      <c r="AG8" s="41" t="s">
        <v>79</v>
      </c>
      <c r="AH8" s="38">
        <f>'Assumptions &amp; WACC'!I14-'Assumptions &amp; WACC'!M7</f>
        <v>1085.608090336948</v>
      </c>
      <c r="AI8" s="38">
        <f>'Assumptions &amp; WACC'!J14-'Assumptions &amp; WACC'!I14</f>
        <v>238.06930711052837</v>
      </c>
      <c r="AJ8" s="38">
        <f>'Assumptions &amp; WACC'!K14-'Assumptions &amp; WACC'!J14</f>
        <v>252.56986425981268</v>
      </c>
      <c r="AK8" s="38">
        <f>'Assumptions &amp; WACC'!L14-'Assumptions &amp; WACC'!K14</f>
        <v>267.95363546214685</v>
      </c>
      <c r="AL8" s="38">
        <f>'Assumptions &amp; WACC'!M14-'Assumptions &amp; WACC'!L14</f>
        <v>284.27441637899756</v>
      </c>
      <c r="AM8" s="38">
        <f>'Assumptions &amp; WACC'!N14-'Assumptions &amp; WACC'!M14</f>
        <v>301.58927931035942</v>
      </c>
    </row>
    <row r="9" spans="1:39" x14ac:dyDescent="0.3">
      <c r="A9" s="14" t="s">
        <v>80</v>
      </c>
      <c r="B9" s="42">
        <f>B5+B6-B7-B8</f>
        <v>77843.085988024715</v>
      </c>
      <c r="C9" s="42">
        <f t="shared" ref="C9:G9" si="0">C5+C6-C7-C8</f>
        <v>81271.620743400839</v>
      </c>
      <c r="D9" s="42">
        <f t="shared" si="0"/>
        <v>89766.22930647718</v>
      </c>
      <c r="E9" s="42">
        <f t="shared" si="0"/>
        <v>97359.067718379971</v>
      </c>
      <c r="F9" s="42">
        <f t="shared" si="0"/>
        <v>102906.0622154836</v>
      </c>
      <c r="G9" s="42">
        <f t="shared" si="0"/>
        <v>106482.15368200101</v>
      </c>
      <c r="H9" s="15"/>
      <c r="I9" s="43" t="s">
        <v>80</v>
      </c>
      <c r="J9" s="44">
        <f>J5+J6-J7-J8</f>
        <v>43132.293111854524</v>
      </c>
      <c r="K9" s="44">
        <f t="shared" ref="K9:O9" si="1">K5+K6-K7-K8</f>
        <v>55617.29981513675</v>
      </c>
      <c r="L9" s="44">
        <f t="shared" si="1"/>
        <v>61377.91962724764</v>
      </c>
      <c r="M9" s="44">
        <f t="shared" si="1"/>
        <v>66510.909807696298</v>
      </c>
      <c r="N9" s="44">
        <f t="shared" si="1"/>
        <v>70204.003705024734</v>
      </c>
      <c r="O9" s="44">
        <f t="shared" si="1"/>
        <v>72574.758669174887</v>
      </c>
      <c r="Q9" s="14" t="s">
        <v>80</v>
      </c>
      <c r="R9" s="42">
        <f>R5+R6-R7-R8</f>
        <v>18348.266464740042</v>
      </c>
      <c r="S9" s="42">
        <f t="shared" ref="S9:W9" si="2">S5+S6-S7-S8</f>
        <v>19732.492273346983</v>
      </c>
      <c r="T9" s="42">
        <f t="shared" si="2"/>
        <v>20557.212195993332</v>
      </c>
      <c r="U9" s="42">
        <f t="shared" si="2"/>
        <v>21416.401304862462</v>
      </c>
      <c r="V9" s="42">
        <f t="shared" si="2"/>
        <v>22311.50024030542</v>
      </c>
      <c r="W9" s="42">
        <f t="shared" si="2"/>
        <v>23244.009854266489</v>
      </c>
      <c r="X9" s="15"/>
      <c r="Y9" s="43" t="s">
        <v>80</v>
      </c>
      <c r="Z9" s="44">
        <f>Z5+Z6-Z7-Z8</f>
        <v>5873.4362197220653</v>
      </c>
      <c r="AA9" s="44">
        <f t="shared" ref="AA9:AE9" si="3">AA5+AA6-AA7-AA8</f>
        <v>13036.931592577759</v>
      </c>
      <c r="AB9" s="44">
        <f t="shared" si="3"/>
        <v>13532.964103146389</v>
      </c>
      <c r="AC9" s="44">
        <f t="shared" si="3"/>
        <v>14047.869785656874</v>
      </c>
      <c r="AD9" s="44">
        <f t="shared" si="3"/>
        <v>14582.366731386632</v>
      </c>
      <c r="AE9" s="44">
        <f t="shared" si="3"/>
        <v>15137.200353733801</v>
      </c>
      <c r="AG9" s="14" t="s">
        <v>80</v>
      </c>
      <c r="AH9" s="42">
        <f>AH5+AH6-AH7-AH8</f>
        <v>20265.264516726693</v>
      </c>
      <c r="AI9" s="42">
        <f t="shared" ref="AI9:AM9" si="4">AI5+AI6-AI7-AI8</f>
        <v>22413.263036588061</v>
      </c>
      <c r="AJ9" s="42">
        <f t="shared" si="4"/>
        <v>23778.431883881349</v>
      </c>
      <c r="AK9" s="42">
        <f t="shared" si="4"/>
        <v>25226.751764497094</v>
      </c>
      <c r="AL9" s="42">
        <f t="shared" si="4"/>
        <v>26763.28732253136</v>
      </c>
      <c r="AM9" s="42">
        <f t="shared" si="4"/>
        <v>28393.41168435392</v>
      </c>
    </row>
    <row r="10" spans="1:39" x14ac:dyDescent="0.3">
      <c r="A10" s="16"/>
      <c r="B10" s="45"/>
      <c r="C10" s="45"/>
      <c r="D10" s="45"/>
      <c r="E10" s="45"/>
      <c r="F10" s="45"/>
      <c r="G10" s="45"/>
      <c r="H10" s="14"/>
      <c r="I10" s="14"/>
      <c r="J10" s="46"/>
      <c r="K10" s="46"/>
      <c r="L10" s="46"/>
      <c r="M10" s="46"/>
      <c r="N10" s="46"/>
      <c r="O10" s="46"/>
      <c r="Q10" s="16"/>
      <c r="R10" s="45"/>
      <c r="S10" s="45"/>
      <c r="T10" s="45"/>
      <c r="U10" s="45"/>
      <c r="V10" s="45"/>
      <c r="W10" s="45"/>
      <c r="X10" s="14"/>
      <c r="Y10" s="14"/>
      <c r="Z10" s="46"/>
      <c r="AA10" s="46"/>
      <c r="AB10" s="46"/>
      <c r="AC10" s="46"/>
      <c r="AD10" s="46"/>
      <c r="AE10" s="46"/>
      <c r="AG10" s="16"/>
      <c r="AH10" s="45"/>
      <c r="AI10" s="45"/>
      <c r="AJ10" s="45"/>
      <c r="AK10" s="45"/>
      <c r="AL10" s="45"/>
      <c r="AM10" s="45"/>
    </row>
    <row r="11" spans="1:39" x14ac:dyDescent="0.3">
      <c r="A11" s="15"/>
      <c r="B11" s="15"/>
      <c r="C11" s="15"/>
      <c r="D11" s="15"/>
      <c r="E11" s="15"/>
      <c r="F11" s="15"/>
      <c r="G11" s="15"/>
      <c r="H11" s="15"/>
      <c r="I11" s="15"/>
      <c r="J11" s="17"/>
      <c r="K11" s="17"/>
      <c r="L11" s="17"/>
      <c r="M11" s="17"/>
      <c r="N11" s="17"/>
      <c r="O11" s="17"/>
      <c r="Q11" s="15"/>
      <c r="R11" s="15"/>
      <c r="S11" s="15"/>
      <c r="T11" s="15"/>
      <c r="U11" s="15"/>
      <c r="V11" s="15"/>
      <c r="W11" s="15"/>
      <c r="X11" s="15"/>
      <c r="Y11" s="15"/>
      <c r="Z11" s="17"/>
      <c r="AA11" s="17"/>
      <c r="AB11" s="17"/>
      <c r="AC11" s="17"/>
      <c r="AD11" s="17"/>
      <c r="AE11" s="17"/>
      <c r="AG11" s="15"/>
      <c r="AH11" s="15"/>
      <c r="AI11" s="15"/>
      <c r="AJ11" s="15"/>
      <c r="AK11" s="15"/>
      <c r="AL11" s="15"/>
      <c r="AM11" s="15"/>
    </row>
    <row r="12" spans="1:39" x14ac:dyDescent="0.3">
      <c r="A12" s="15" t="s">
        <v>81</v>
      </c>
      <c r="B12" s="17" t="s">
        <v>82</v>
      </c>
      <c r="C12" s="15"/>
      <c r="D12" s="15"/>
      <c r="E12" s="15"/>
      <c r="F12" s="15"/>
      <c r="G12" s="15"/>
      <c r="H12" s="15"/>
      <c r="I12" s="15" t="s">
        <v>81</v>
      </c>
      <c r="J12" s="17" t="s">
        <v>82</v>
      </c>
      <c r="K12" s="17"/>
      <c r="L12" s="17"/>
      <c r="M12" s="17"/>
      <c r="N12" s="17"/>
      <c r="O12" s="17"/>
      <c r="Q12" s="15" t="s">
        <v>81</v>
      </c>
      <c r="R12" s="17" t="s">
        <v>82</v>
      </c>
      <c r="S12" s="15"/>
      <c r="T12" s="15"/>
      <c r="U12" s="15"/>
      <c r="V12" s="15"/>
      <c r="W12" s="15"/>
      <c r="X12" s="15"/>
      <c r="Y12" s="15" t="s">
        <v>81</v>
      </c>
      <c r="Z12" s="17" t="s">
        <v>82</v>
      </c>
      <c r="AA12" s="17"/>
      <c r="AB12" s="17"/>
      <c r="AC12" s="17"/>
      <c r="AD12" s="17"/>
      <c r="AE12" s="17"/>
      <c r="AG12" s="15" t="s">
        <v>81</v>
      </c>
      <c r="AH12" s="17" t="s">
        <v>82</v>
      </c>
      <c r="AI12" s="15"/>
      <c r="AJ12" s="15"/>
      <c r="AK12" s="15"/>
      <c r="AL12" s="15"/>
      <c r="AM12" s="15"/>
    </row>
    <row r="13" spans="1:39" x14ac:dyDescent="0.3">
      <c r="A13" s="15" t="s">
        <v>83</v>
      </c>
      <c r="B13" s="18">
        <f ca="1">G9*(1+'Assumptions &amp; WACC'!B25)/('Assumptions &amp; WACC'!B21-'Assumptions &amp; WACC'!B25)</f>
        <v>1759902.794489709</v>
      </c>
      <c r="C13" s="15"/>
      <c r="D13" s="15"/>
      <c r="E13" s="15"/>
      <c r="F13" s="15"/>
      <c r="G13" s="15"/>
      <c r="H13" s="15"/>
      <c r="I13" s="39" t="s">
        <v>83</v>
      </c>
      <c r="J13" s="40">
        <f ca="1">O9*(1+'Assumptions &amp; WACC'!C25)/('Assumptions &amp; WACC'!C21-'Assumptions &amp; WACC'!C25)</f>
        <v>934330.73212830664</v>
      </c>
      <c r="K13" s="17"/>
      <c r="L13" s="17"/>
      <c r="M13" s="17"/>
      <c r="N13" s="17"/>
      <c r="O13" s="17"/>
      <c r="Q13" s="15" t="s">
        <v>83</v>
      </c>
      <c r="R13" s="18">
        <f ca="1">W9*(1+'Assumptions &amp; WACC'!D25)/('Assumptions &amp; WACC'!D21-'Assumptions &amp; WACC'!D25)</f>
        <v>412394.14809520001</v>
      </c>
      <c r="S13" s="15"/>
      <c r="T13" s="15"/>
      <c r="U13" s="15"/>
      <c r="V13" s="15"/>
      <c r="W13" s="15"/>
      <c r="X13" s="15"/>
      <c r="Y13" s="39" t="s">
        <v>83</v>
      </c>
      <c r="Z13" s="40">
        <f ca="1">AE9*(1+'Assumptions &amp; WACC'!E25)/('Assumptions &amp; WACC'!E21-'Assumptions &amp; WACC'!E25)</f>
        <v>227114.62831010093</v>
      </c>
      <c r="AA13" s="17"/>
      <c r="AB13" s="17"/>
      <c r="AC13" s="17"/>
      <c r="AD13" s="17"/>
      <c r="AE13" s="17"/>
      <c r="AG13" s="15" t="s">
        <v>83</v>
      </c>
      <c r="AH13" s="18">
        <f ca="1">AM9*(1+'Assumptions &amp; WACC'!F25)/('Assumptions &amp; WACC'!F21-'Assumptions &amp; WACC'!F25)</f>
        <v>360280.27690924006</v>
      </c>
      <c r="AI13" s="15"/>
      <c r="AJ13" s="15"/>
      <c r="AK13" s="15"/>
      <c r="AL13" s="15"/>
      <c r="AM13" s="15"/>
    </row>
    <row r="14" spans="1:39" x14ac:dyDescent="0.3">
      <c r="A14" s="15" t="s">
        <v>84</v>
      </c>
      <c r="B14" s="18">
        <f ca="1">B13*'Assumptions &amp; WACC'!B23</f>
        <v>1295698.8167370588</v>
      </c>
      <c r="C14" s="15"/>
      <c r="D14" s="15"/>
      <c r="E14" s="15"/>
      <c r="F14" s="15"/>
      <c r="G14" s="15"/>
      <c r="H14" s="15"/>
      <c r="I14" s="39" t="s">
        <v>84</v>
      </c>
      <c r="J14" s="40">
        <f ca="1">J13*'Assumptions &amp; WACC'!C23</f>
        <v>634802.09534499852</v>
      </c>
      <c r="K14" s="17"/>
      <c r="L14" s="17"/>
      <c r="M14" s="17"/>
      <c r="N14" s="17"/>
      <c r="O14" s="17"/>
      <c r="Q14" s="15" t="s">
        <v>84</v>
      </c>
      <c r="R14" s="18">
        <f ca="1">R13*'Assumptions &amp; WACC'!D23</f>
        <v>309616.06902410975</v>
      </c>
      <c r="S14" s="15"/>
      <c r="T14" s="15"/>
      <c r="U14" s="15"/>
      <c r="V14" s="15"/>
      <c r="W14" s="15"/>
      <c r="X14" s="15"/>
      <c r="Y14" s="39" t="s">
        <v>84</v>
      </c>
      <c r="Z14" s="40">
        <f ca="1">Z13*'Assumptions &amp; WACC'!E23</f>
        <v>162447.64501110528</v>
      </c>
      <c r="AA14" s="17"/>
      <c r="AB14" s="17"/>
      <c r="AC14" s="17"/>
      <c r="AD14" s="17"/>
      <c r="AE14" s="17"/>
      <c r="AG14" s="15" t="s">
        <v>84</v>
      </c>
      <c r="AH14" s="18">
        <f ca="1">AH13*'Assumptions &amp; WACC'!F23</f>
        <v>243497.95110482324</v>
      </c>
      <c r="AI14" s="15"/>
      <c r="AJ14" s="15"/>
      <c r="AK14" s="15"/>
      <c r="AL14" s="15"/>
      <c r="AM14" s="15"/>
    </row>
    <row r="15" spans="1:39" x14ac:dyDescent="0.3">
      <c r="A15" s="15" t="s">
        <v>85</v>
      </c>
      <c r="B15" s="18">
        <f ca="1">NPV('Assumptions &amp; WACC'!B21,DCF!B9:G9)</f>
        <v>445529.2867948573</v>
      </c>
      <c r="C15" s="15"/>
      <c r="D15" s="15"/>
      <c r="E15" s="15"/>
      <c r="F15" s="15"/>
      <c r="G15" s="15"/>
      <c r="H15" s="15"/>
      <c r="I15" s="39" t="s">
        <v>85</v>
      </c>
      <c r="J15" s="40">
        <f ca="1">NPV('Assumptions &amp; WACC'!C21,DCF!J9:O9)</f>
        <v>278406.69432045106</v>
      </c>
      <c r="K15" s="17"/>
      <c r="L15" s="17"/>
      <c r="M15" s="17"/>
      <c r="N15" s="17"/>
      <c r="O15" s="17"/>
      <c r="Q15" s="15" t="s">
        <v>85</v>
      </c>
      <c r="R15" s="18">
        <f ca="1">NPV('Assumptions &amp; WACC'!D21,DCF!R9:W9)</f>
        <v>102487.17713499781</v>
      </c>
      <c r="S15" s="15"/>
      <c r="T15" s="15"/>
      <c r="U15" s="15"/>
      <c r="V15" s="15"/>
      <c r="W15" s="15"/>
      <c r="X15" s="15"/>
      <c r="Y15" s="39" t="s">
        <v>85</v>
      </c>
      <c r="Z15" s="40">
        <f ca="1">NPV('Assumptions &amp; WACC'!E21,DCF!Z9:AE9)</f>
        <v>59262.394112356436</v>
      </c>
      <c r="AA15" s="17"/>
      <c r="AB15" s="17"/>
      <c r="AC15" s="17"/>
      <c r="AD15" s="17"/>
      <c r="AE15" s="17"/>
      <c r="AG15" s="15" t="s">
        <v>85</v>
      </c>
      <c r="AH15" s="18">
        <f ca="1">NPV('Assumptions &amp; WACC'!F21,DCF!AH9:AM9)</f>
        <v>110968.75469150455</v>
      </c>
      <c r="AI15" s="15"/>
      <c r="AJ15" s="15"/>
      <c r="AK15" s="15"/>
      <c r="AL15" s="15"/>
      <c r="AM15" s="15"/>
    </row>
    <row r="16" spans="1:39" x14ac:dyDescent="0.3">
      <c r="A16" s="15" t="s">
        <v>86</v>
      </c>
      <c r="B16" s="18">
        <f ca="1">B14+B15</f>
        <v>1741228.1035319162</v>
      </c>
      <c r="C16" s="15"/>
      <c r="D16" s="15"/>
      <c r="E16" s="15"/>
      <c r="F16" s="15"/>
      <c r="G16" s="15"/>
      <c r="H16" s="15"/>
      <c r="I16" s="39" t="s">
        <v>86</v>
      </c>
      <c r="J16" s="40">
        <f ca="1">J14+J15</f>
        <v>913208.78966544964</v>
      </c>
      <c r="K16" s="17"/>
      <c r="L16" s="17"/>
      <c r="M16" s="17"/>
      <c r="N16" s="17"/>
      <c r="O16" s="17"/>
      <c r="Q16" s="15" t="s">
        <v>86</v>
      </c>
      <c r="R16" s="18">
        <f ca="1">R14+R15</f>
        <v>412103.24615910754</v>
      </c>
      <c r="S16" s="15"/>
      <c r="T16" s="15"/>
      <c r="U16" s="15"/>
      <c r="V16" s="15"/>
      <c r="W16" s="15"/>
      <c r="X16" s="15"/>
      <c r="Y16" s="39" t="s">
        <v>86</v>
      </c>
      <c r="Z16" s="40">
        <f ca="1">Z14+Z15</f>
        <v>221710.03912346173</v>
      </c>
      <c r="AA16" s="17"/>
      <c r="AB16" s="17"/>
      <c r="AC16" s="17"/>
      <c r="AD16" s="17"/>
      <c r="AE16" s="17"/>
      <c r="AG16" s="15" t="s">
        <v>86</v>
      </c>
      <c r="AH16" s="18">
        <f ca="1">AH14+AH15</f>
        <v>354466.70579632779</v>
      </c>
      <c r="AI16" s="15"/>
      <c r="AJ16" s="15"/>
      <c r="AK16" s="15"/>
      <c r="AL16" s="15"/>
      <c r="AM16" s="15"/>
    </row>
    <row r="17" spans="1:39" x14ac:dyDescent="0.3">
      <c r="A17" s="15" t="s">
        <v>87</v>
      </c>
      <c r="B17" s="18">
        <f>'Assumptions &amp; WACC'!B16-'Assumptions &amp; WACC'!B24</f>
        <v>18523</v>
      </c>
      <c r="C17" s="15"/>
      <c r="D17" s="15"/>
      <c r="E17" s="15"/>
      <c r="F17" s="15"/>
      <c r="G17" s="15"/>
      <c r="H17" s="15"/>
      <c r="I17" s="39" t="s">
        <v>87</v>
      </c>
      <c r="J17" s="40">
        <f>'Assumptions &amp; WACC'!C16-'Assumptions &amp; WACC'!C24</f>
        <v>17760</v>
      </c>
      <c r="K17" s="17"/>
      <c r="L17" s="17"/>
      <c r="M17" s="17"/>
      <c r="N17" s="17"/>
      <c r="O17" s="17"/>
      <c r="Q17" s="15" t="s">
        <v>87</v>
      </c>
      <c r="R17" s="18">
        <f>'Assumptions &amp; WACC'!D16-'Assumptions &amp; WACC'!D24</f>
        <v>18717</v>
      </c>
      <c r="S17" s="15"/>
      <c r="T17" s="15"/>
      <c r="U17" s="15"/>
      <c r="V17" s="15"/>
      <c r="W17" s="15"/>
      <c r="X17" s="15"/>
      <c r="Y17" s="39" t="s">
        <v>87</v>
      </c>
      <c r="Z17" s="40">
        <f>'Assumptions &amp; WACC'!E16-'Assumptions &amp; WACC'!E24</f>
        <v>24271</v>
      </c>
      <c r="AA17" s="17"/>
      <c r="AB17" s="17"/>
      <c r="AC17" s="17"/>
      <c r="AD17" s="17"/>
      <c r="AE17" s="17"/>
      <c r="AG17" s="15" t="s">
        <v>87</v>
      </c>
      <c r="AH17" s="18">
        <f>'Assumptions &amp; WACC'!F16-'Assumptions &amp; WACC'!F24</f>
        <v>18324</v>
      </c>
      <c r="AI17" s="15"/>
      <c r="AJ17" s="15"/>
      <c r="AK17" s="15"/>
      <c r="AL17" s="15"/>
      <c r="AM17" s="15"/>
    </row>
    <row r="18" spans="1:39" x14ac:dyDescent="0.3">
      <c r="A18" s="15" t="s">
        <v>88</v>
      </c>
      <c r="B18" s="18">
        <f ca="1">B16-B17</f>
        <v>1722705.1035319162</v>
      </c>
      <c r="C18" s="15"/>
      <c r="D18" s="15"/>
      <c r="E18" s="15"/>
      <c r="F18" s="15"/>
      <c r="G18" s="15"/>
      <c r="H18" s="15"/>
      <c r="I18" s="39" t="s">
        <v>88</v>
      </c>
      <c r="J18" s="40">
        <f ca="1">J16-J17</f>
        <v>895448.78966544964</v>
      </c>
      <c r="K18" s="17"/>
      <c r="L18" s="17"/>
      <c r="M18" s="17"/>
      <c r="N18" s="17"/>
      <c r="O18" s="17"/>
      <c r="Q18" s="15" t="s">
        <v>88</v>
      </c>
      <c r="R18" s="18">
        <f ca="1">R16-R17</f>
        <v>393386.24615910754</v>
      </c>
      <c r="S18" s="15"/>
      <c r="T18" s="15"/>
      <c r="U18" s="15"/>
      <c r="V18" s="15"/>
      <c r="W18" s="15"/>
      <c r="X18" s="15"/>
      <c r="Y18" s="39" t="s">
        <v>88</v>
      </c>
      <c r="Z18" s="40">
        <f ca="1">Z16-Z17</f>
        <v>197439.03912346173</v>
      </c>
      <c r="AA18" s="17"/>
      <c r="AB18" s="17"/>
      <c r="AC18" s="17"/>
      <c r="AD18" s="17"/>
      <c r="AE18" s="17"/>
      <c r="AG18" s="15" t="s">
        <v>88</v>
      </c>
      <c r="AH18" s="18">
        <f ca="1">AH16-AH17</f>
        <v>336142.70579632779</v>
      </c>
      <c r="AI18" s="15"/>
      <c r="AJ18" s="15"/>
      <c r="AK18" s="15"/>
      <c r="AL18" s="15"/>
      <c r="AM18" s="15"/>
    </row>
    <row r="19" spans="1:39" x14ac:dyDescent="0.3">
      <c r="A19" s="15" t="s">
        <v>89</v>
      </c>
      <c r="B19" s="47">
        <f ca="1">'Assumptions &amp; WACC'!B26</f>
        <v>4217.1660000000002</v>
      </c>
      <c r="C19" s="15"/>
      <c r="D19" s="15"/>
      <c r="E19" s="15"/>
      <c r="F19" s="15"/>
      <c r="G19" s="15"/>
      <c r="H19" s="15"/>
      <c r="I19" s="39" t="s">
        <v>89</v>
      </c>
      <c r="J19" s="48">
        <f ca="1">'Assumptions &amp; WACC'!C26</f>
        <v>2013.5219999999999</v>
      </c>
      <c r="K19" s="17"/>
      <c r="L19" s="17"/>
      <c r="M19" s="17"/>
      <c r="N19" s="17"/>
      <c r="O19" s="17"/>
      <c r="Q19" s="15" t="s">
        <v>89</v>
      </c>
      <c r="R19" s="47">
        <f ca="1">'Assumptions &amp; WACC'!D26</f>
        <v>1235.7180000000001</v>
      </c>
      <c r="S19" s="15"/>
      <c r="T19" s="15"/>
      <c r="U19" s="15"/>
      <c r="V19" s="15"/>
      <c r="W19" s="15"/>
      <c r="X19" s="15"/>
      <c r="Y19" s="39" t="s">
        <v>89</v>
      </c>
      <c r="Z19" s="48">
        <f ca="1">'Assumptions &amp; WACC'!E26</f>
        <v>300.60250000000002</v>
      </c>
      <c r="AA19" s="17"/>
      <c r="AB19" s="17"/>
      <c r="AC19" s="17"/>
      <c r="AD19" s="17"/>
      <c r="AE19" s="17"/>
      <c r="AG19" s="15" t="s">
        <v>89</v>
      </c>
      <c r="AH19" s="47">
        <f ca="1">'Assumptions &amp; WACC'!F26</f>
        <v>402.92110000000002</v>
      </c>
      <c r="AI19" s="15"/>
      <c r="AJ19" s="15"/>
      <c r="AK19" s="15"/>
      <c r="AL19" s="15"/>
      <c r="AM19" s="15"/>
    </row>
    <row r="20" spans="1:39" x14ac:dyDescent="0.3">
      <c r="A20" s="15" t="s">
        <v>90</v>
      </c>
      <c r="B20" s="18">
        <f ca="1">B18/B19</f>
        <v>408.4982909214188</v>
      </c>
      <c r="C20" s="15"/>
      <c r="D20" s="15"/>
      <c r="E20" s="15"/>
      <c r="F20" s="15"/>
      <c r="G20" s="15"/>
      <c r="H20" s="15"/>
      <c r="I20" s="39" t="s">
        <v>90</v>
      </c>
      <c r="J20" s="40">
        <f ca="1">J18/J19</f>
        <v>444.71765874197035</v>
      </c>
      <c r="K20" s="17"/>
      <c r="L20" s="17"/>
      <c r="M20" s="17"/>
      <c r="N20" s="17"/>
      <c r="O20" s="17"/>
      <c r="Q20" s="15" t="s">
        <v>90</v>
      </c>
      <c r="R20" s="18">
        <f ca="1">R18/R19</f>
        <v>318.34629434798836</v>
      </c>
      <c r="S20" s="15"/>
      <c r="T20" s="15"/>
      <c r="U20" s="15"/>
      <c r="V20" s="15"/>
      <c r="W20" s="15"/>
      <c r="X20" s="15"/>
      <c r="Y20" s="39" t="s">
        <v>90</v>
      </c>
      <c r="Z20" s="40">
        <f ca="1">Z18/Z19</f>
        <v>656.81103491641522</v>
      </c>
      <c r="AA20" s="17"/>
      <c r="AB20" s="17"/>
      <c r="AC20" s="17"/>
      <c r="AD20" s="17"/>
      <c r="AE20" s="17"/>
      <c r="AG20" s="15" t="s">
        <v>90</v>
      </c>
      <c r="AH20" s="18">
        <f ca="1">AH18/AH19</f>
        <v>834.26434057766585</v>
      </c>
      <c r="AI20" s="15"/>
      <c r="AJ20" s="15"/>
      <c r="AK20" s="15"/>
      <c r="AL20" s="15"/>
      <c r="AM20" s="15"/>
    </row>
    <row r="21" spans="1:39" x14ac:dyDescent="0.3">
      <c r="A21" s="15" t="s">
        <v>91</v>
      </c>
      <c r="B21" s="18">
        <f ca="1">'Company Profile'!B3</f>
        <v>119.03</v>
      </c>
      <c r="C21" s="15"/>
      <c r="D21" s="15"/>
      <c r="E21" s="15"/>
      <c r="F21" s="15"/>
      <c r="G21" s="15"/>
      <c r="H21" s="15"/>
      <c r="I21" s="39" t="s">
        <v>91</v>
      </c>
      <c r="J21" s="40">
        <f ca="1">'Company Profile'!C3</f>
        <v>153.59</v>
      </c>
      <c r="K21" s="17"/>
      <c r="L21" s="17"/>
      <c r="M21" s="17"/>
      <c r="N21" s="17"/>
      <c r="O21" s="17"/>
      <c r="Q21" s="15" t="s">
        <v>91</v>
      </c>
      <c r="R21" s="18">
        <f ca="1">'Company Profile'!D3</f>
        <v>89.66</v>
      </c>
      <c r="S21" s="15"/>
      <c r="T21" s="15"/>
      <c r="U21" s="15"/>
      <c r="V21" s="15"/>
      <c r="W21" s="15"/>
      <c r="X21" s="15"/>
      <c r="Y21" s="39" t="s">
        <v>91</v>
      </c>
      <c r="Z21" s="40">
        <f ca="1">'Company Profile'!E3</f>
        <v>199.61</v>
      </c>
      <c r="AA21" s="17"/>
      <c r="AB21" s="17"/>
      <c r="AC21" s="17"/>
      <c r="AD21" s="17"/>
      <c r="AE21" s="17"/>
      <c r="AG21" s="15" t="s">
        <v>91</v>
      </c>
      <c r="AH21" s="18">
        <f ca="1">'Company Profile'!F3</f>
        <v>138.41</v>
      </c>
      <c r="AI21" s="15"/>
      <c r="AJ21" s="15"/>
      <c r="AK21" s="15"/>
      <c r="AL21" s="15"/>
      <c r="AM21" s="15"/>
    </row>
    <row r="22" spans="1:39" x14ac:dyDescent="0.3">
      <c r="A22" s="15" t="s">
        <v>92</v>
      </c>
      <c r="B22" s="49">
        <f ca="1">(B20-B21)/B21</f>
        <v>2.431893563987388</v>
      </c>
      <c r="C22" s="15"/>
      <c r="D22" s="15"/>
      <c r="E22" s="15"/>
      <c r="F22" s="15"/>
      <c r="G22" s="15"/>
      <c r="H22" s="15"/>
      <c r="I22" s="39" t="s">
        <v>92</v>
      </c>
      <c r="J22" s="50">
        <f ca="1">(J20-J21)/J21</f>
        <v>1.8954857656225685</v>
      </c>
      <c r="K22" s="17"/>
      <c r="L22" s="17"/>
      <c r="M22" s="17"/>
      <c r="N22" s="17"/>
      <c r="O22" s="17"/>
      <c r="Q22" s="15" t="s">
        <v>92</v>
      </c>
      <c r="R22" s="49">
        <f ca="1">(R20-R21)/R21</f>
        <v>2.5505944049519114</v>
      </c>
      <c r="S22" s="15"/>
      <c r="T22" s="15"/>
      <c r="U22" s="15"/>
      <c r="V22" s="15"/>
      <c r="W22" s="15"/>
      <c r="X22" s="15"/>
      <c r="Y22" s="39" t="s">
        <v>92</v>
      </c>
      <c r="Z22" s="50">
        <f ca="1">(Z20-Z21)/Z21</f>
        <v>2.2904715941907479</v>
      </c>
      <c r="AA22" s="17"/>
      <c r="AB22" s="17"/>
      <c r="AC22" s="17"/>
      <c r="AD22" s="17"/>
      <c r="AE22" s="17"/>
      <c r="AG22" s="15" t="s">
        <v>92</v>
      </c>
      <c r="AH22" s="49">
        <f ca="1">(AH20-AH21)/AH21</f>
        <v>5.0274860239698427</v>
      </c>
      <c r="AI22" s="15"/>
      <c r="AJ22" s="15"/>
      <c r="AK22" s="15"/>
      <c r="AL22" s="15"/>
      <c r="AM22" s="15"/>
    </row>
  </sheetData>
  <conditionalFormatting sqref="B22">
    <cfRule type="cellIs" dxfId="13" priority="9" operator="lessThan">
      <formula>0</formula>
    </cfRule>
    <cfRule type="cellIs" dxfId="12" priority="10" operator="greaterThan">
      <formula>0</formula>
    </cfRule>
  </conditionalFormatting>
  <conditionalFormatting sqref="J22">
    <cfRule type="cellIs" dxfId="11" priority="7" operator="lessThan">
      <formula>0</formula>
    </cfRule>
    <cfRule type="cellIs" dxfId="10" priority="8" operator="greaterThan">
      <formula>0</formula>
    </cfRule>
  </conditionalFormatting>
  <conditionalFormatting sqref="R22">
    <cfRule type="cellIs" dxfId="9" priority="5" operator="lessThan">
      <formula>0</formula>
    </cfRule>
    <cfRule type="cellIs" dxfId="8" priority="6" operator="greaterThan">
      <formula>0</formula>
    </cfRule>
  </conditionalFormatting>
  <conditionalFormatting sqref="Z22">
    <cfRule type="cellIs" dxfId="7" priority="3" operator="lessThan">
      <formula>0</formula>
    </cfRule>
    <cfRule type="cellIs" dxfId="6" priority="4" operator="greaterThan">
      <formula>0</formula>
    </cfRule>
  </conditionalFormatting>
  <conditionalFormatting sqref="AH22">
    <cfRule type="cellIs" dxfId="5" priority="1" operator="lessThan">
      <formula>0</formula>
    </cfRule>
    <cfRule type="cellIs" dxfId="4"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7651-0936-4D94-8AEA-D1258CCC4AA1}">
  <dimension ref="A1:M27"/>
  <sheetViews>
    <sheetView topLeftCell="A2" workbookViewId="0">
      <selection activeCell="J10" sqref="J10"/>
    </sheetView>
  </sheetViews>
  <sheetFormatPr defaultRowHeight="14.4" x14ac:dyDescent="0.3"/>
  <cols>
    <col min="1" max="1" width="58.44140625" bestFit="1" customWidth="1"/>
    <col min="2" max="2" width="10.21875" bestFit="1" customWidth="1"/>
    <col min="3" max="3" width="10.77734375" bestFit="1" customWidth="1"/>
    <col min="4" max="5" width="10.88671875" bestFit="1" customWidth="1"/>
    <col min="8" max="8" width="11" customWidth="1"/>
    <col min="9" max="9" width="12.109375" customWidth="1"/>
    <col min="10" max="11" width="10.88671875" bestFit="1" customWidth="1"/>
    <col min="12" max="12" width="12.33203125" bestFit="1" customWidth="1"/>
  </cols>
  <sheetData>
    <row r="1" spans="1:13" x14ac:dyDescent="0.3">
      <c r="A1" s="14" t="s">
        <v>101</v>
      </c>
      <c r="B1" s="20"/>
      <c r="C1" s="20"/>
      <c r="D1" s="20"/>
      <c r="E1" s="20"/>
      <c r="F1" s="15"/>
      <c r="G1" s="15"/>
      <c r="H1" s="56"/>
      <c r="I1" s="20"/>
      <c r="J1" s="20"/>
      <c r="K1" s="20"/>
      <c r="L1" s="20"/>
    </row>
    <row r="2" spans="1:13" x14ac:dyDescent="0.3">
      <c r="A2" s="63" t="s">
        <v>0</v>
      </c>
      <c r="B2" s="64" t="s">
        <v>102</v>
      </c>
      <c r="C2" s="64" t="s">
        <v>8</v>
      </c>
      <c r="D2" s="64" t="s">
        <v>103</v>
      </c>
      <c r="E2" s="64" t="s">
        <v>104</v>
      </c>
      <c r="F2" s="15"/>
      <c r="G2" s="15"/>
      <c r="H2" s="56"/>
      <c r="I2" s="20"/>
      <c r="J2" s="20"/>
      <c r="K2" s="20"/>
      <c r="L2" s="20"/>
    </row>
    <row r="3" spans="1:13" x14ac:dyDescent="0.3">
      <c r="A3" s="21" t="e" vm="6">
        <v>#VALUE!</v>
      </c>
      <c r="B3" s="31">
        <v>9.98</v>
      </c>
      <c r="C3" s="31" cm="1">
        <f t="array" aca="1" ref="C3" ca="1">_FV(A3,"P/E",TRUE)</f>
        <v>24.734400000000001</v>
      </c>
      <c r="D3" s="31">
        <v>1.78</v>
      </c>
      <c r="E3" s="31">
        <v>2.0099999999999998</v>
      </c>
      <c r="F3" s="15"/>
      <c r="G3" s="15"/>
      <c r="H3" s="102" t="s">
        <v>0</v>
      </c>
      <c r="I3" s="64" t="s">
        <v>102</v>
      </c>
      <c r="J3" s="64" t="s">
        <v>8</v>
      </c>
      <c r="K3" s="64" t="s">
        <v>103</v>
      </c>
      <c r="L3" s="64" t="s">
        <v>104</v>
      </c>
      <c r="M3" s="64" t="s">
        <v>145</v>
      </c>
    </row>
    <row r="4" spans="1:13" x14ac:dyDescent="0.3">
      <c r="A4" s="21" t="e" vm="1">
        <v>#VALUE!</v>
      </c>
      <c r="B4" s="31">
        <v>6.43</v>
      </c>
      <c r="C4" s="31" cm="1">
        <f t="array" aca="1" ref="C4" ca="1">_FV(A4,"P/E",TRUE)</f>
        <v>17.302499999999998</v>
      </c>
      <c r="D4" s="31">
        <v>1.33</v>
      </c>
      <c r="E4" s="31">
        <v>1.74</v>
      </c>
      <c r="F4" s="15"/>
      <c r="G4" s="15"/>
      <c r="H4" s="103" t="s">
        <v>71</v>
      </c>
      <c r="I4" s="104">
        <f ca="1">(B23*$B$20)/Relative!M4</f>
        <v>126.28499669564819</v>
      </c>
      <c r="J4" s="104">
        <f ca="1">(C23*$C$20)/Relative!M4</f>
        <v>122.3744691666157</v>
      </c>
      <c r="K4" s="104">
        <f ca="1">(D23*$D$20)/Relative!M4</f>
        <v>100.30381777715175</v>
      </c>
      <c r="L4" s="104">
        <f ca="1">(E23*$E$20)/Relative!M4</f>
        <v>95.930767249854497</v>
      </c>
      <c r="M4" s="105">
        <f ca="1">'Assumptions &amp; WACC'!B26</f>
        <v>4217.1660000000002</v>
      </c>
    </row>
    <row r="5" spans="1:13" x14ac:dyDescent="0.3">
      <c r="A5" s="21" t="e" vm="2">
        <v>#VALUE!</v>
      </c>
      <c r="B5" s="31">
        <v>6.67</v>
      </c>
      <c r="C5" s="31" cm="1">
        <f t="array" aca="1" ref="C5" ca="1">_FV(A5,"P/E",TRUE)</f>
        <v>21.6919</v>
      </c>
      <c r="D5" s="31">
        <v>1.37</v>
      </c>
      <c r="E5" s="31">
        <v>1.64</v>
      </c>
      <c r="F5" s="15"/>
      <c r="G5" s="15"/>
      <c r="H5" s="103" t="s">
        <v>72</v>
      </c>
      <c r="I5" s="104">
        <f ca="1">(B24*$B$20)/Relative!M5</f>
        <v>171.30488517135646</v>
      </c>
      <c r="J5" s="104">
        <f ca="1">(C24*$C$20)/Relative!M5</f>
        <v>129.74181107159498</v>
      </c>
      <c r="K5" s="104">
        <f ca="1">(D24*$D$20)/Relative!M5</f>
        <v>121.86522918547699</v>
      </c>
      <c r="L5" s="104">
        <f ca="1">(E24*$E$20)/Relative!M5</f>
        <v>113.71602346535073</v>
      </c>
      <c r="M5" s="106">
        <f ca="1">'Assumptions &amp; WACC'!C26</f>
        <v>2013.5219999999999</v>
      </c>
    </row>
    <row r="6" spans="1:13" x14ac:dyDescent="0.3">
      <c r="A6" s="58" t="e" vm="7">
        <v>#VALUE!</v>
      </c>
      <c r="B6" s="31">
        <v>5.75</v>
      </c>
      <c r="C6" s="31" cm="1">
        <f t="array" aca="1" ref="C6" ca="1">_FV(A6,"P/E",TRUE)</f>
        <v>31.042200000000001</v>
      </c>
      <c r="D6" s="31">
        <v>1.75</v>
      </c>
      <c r="E6" s="31">
        <v>1.76</v>
      </c>
      <c r="F6" s="15"/>
      <c r="G6" s="15"/>
      <c r="H6" s="103" t="str">
        <f>A25</f>
        <v>Conoco</v>
      </c>
      <c r="I6" s="104">
        <f ca="1">(B25*$B$20)/Relative!M6</f>
        <v>149.90372550614299</v>
      </c>
      <c r="J6" s="104">
        <f ca="1">(C25*$C$20)/Relative!M6</f>
        <v>110.11588874848469</v>
      </c>
      <c r="K6" s="104">
        <f ca="1">(D25*$D$20)/Relative!M6</f>
        <v>55.767683241645749</v>
      </c>
      <c r="L6" s="104">
        <f ca="1">(E25*$E$20)/Relative!M6</f>
        <v>78.391688071226582</v>
      </c>
      <c r="M6" s="106">
        <f ca="1">'Assumptions &amp; WACC'!D26</f>
        <v>1235.7180000000001</v>
      </c>
    </row>
    <row r="7" spans="1:13" x14ac:dyDescent="0.3">
      <c r="A7" s="21" t="e" vm="8">
        <v>#VALUE!</v>
      </c>
      <c r="B7" s="31">
        <v>6.94</v>
      </c>
      <c r="C7" s="31" cm="1">
        <f t="array" aca="1" ref="C7" ca="1">_FV(A7,"P/E",TRUE)</f>
        <v>9.3828999999999994</v>
      </c>
      <c r="D7" s="31">
        <v>0.25</v>
      </c>
      <c r="E7" s="31">
        <v>1.06</v>
      </c>
      <c r="F7" s="15"/>
      <c r="G7" s="15"/>
      <c r="H7" s="103" t="str">
        <f t="shared" ref="H7:H8" si="0">A26</f>
        <v>MP</v>
      </c>
      <c r="I7" s="104">
        <f ca="1">(B26*$B$20)/Relative!M7</f>
        <v>246.651079914505</v>
      </c>
      <c r="J7" s="104">
        <f ca="1">(C26*$C$20)/Relative!M7</f>
        <v>248.09657101155182</v>
      </c>
      <c r="K7" s="104">
        <f ca="1">(D26*$D$20)/Relative!M7</f>
        <v>565.1933034489067</v>
      </c>
      <c r="L7" s="104">
        <f ca="1">(E26*$E$20)/Relative!M7</f>
        <v>120.86720835655056</v>
      </c>
      <c r="M7" s="106">
        <f ca="1">'Assumptions &amp; WACC'!E26</f>
        <v>300.60250000000002</v>
      </c>
    </row>
    <row r="8" spans="1:13" x14ac:dyDescent="0.3">
      <c r="A8" s="21" t="e" vm="9">
        <v>#VALUE!</v>
      </c>
      <c r="B8" s="31">
        <v>4.07</v>
      </c>
      <c r="C8" s="31" cm="1">
        <f t="array" aca="1" ref="C8" ca="1">_FV(A8,"P/E",TRUE)</f>
        <v>15.4901</v>
      </c>
      <c r="D8" s="31">
        <v>0.68</v>
      </c>
      <c r="E8" s="31">
        <v>1.02</v>
      </c>
      <c r="F8" s="15"/>
      <c r="G8" s="15"/>
      <c r="H8" s="107" t="str">
        <f t="shared" si="0"/>
        <v>Phillips66</v>
      </c>
      <c r="I8" s="104">
        <f ca="1">(B27*$B$20)/Relative!M8</f>
        <v>113.49702832638944</v>
      </c>
      <c r="J8" s="104">
        <f ca="1">(C27*$C$20)/Relative!M8</f>
        <v>79.451425942945164</v>
      </c>
      <c r="K8" s="104">
        <f ca="1">(D27*$D$20)/Relative!M8</f>
        <v>436.9345760249339</v>
      </c>
      <c r="L8" s="104">
        <f ca="1">(E27*$E$20)/Relative!M8</f>
        <v>105.60922473407322</v>
      </c>
      <c r="M8" s="108">
        <f ca="1">'Assumptions &amp; WACC'!F26</f>
        <v>402.92110000000002</v>
      </c>
    </row>
    <row r="9" spans="1:13" x14ac:dyDescent="0.3">
      <c r="A9" s="21" t="e" vm="10">
        <v>#VALUE!</v>
      </c>
      <c r="B9" s="31">
        <v>3.44</v>
      </c>
      <c r="C9" s="31" cm="1">
        <f t="array" aca="1" ref="C9" ca="1">_FV(A9,"P/E",TRUE)</f>
        <v>10.0375</v>
      </c>
      <c r="D9" s="31">
        <v>0.63</v>
      </c>
      <c r="E9" s="31">
        <v>1.06</v>
      </c>
      <c r="F9" s="15"/>
      <c r="G9" s="15"/>
      <c r="H9" s="56"/>
      <c r="I9" s="57"/>
      <c r="J9" s="57"/>
      <c r="K9" s="57"/>
      <c r="L9" s="57"/>
    </row>
    <row r="10" spans="1:13" x14ac:dyDescent="0.3">
      <c r="A10" s="21" t="e" vm="3">
        <v>#VALUE!</v>
      </c>
      <c r="B10" s="31">
        <v>5.45</v>
      </c>
      <c r="C10" s="31" cm="1">
        <f t="array" aca="1" ref="C10" ca="1">_FV(A10,"P/E",TRUE)</f>
        <v>12.6867</v>
      </c>
      <c r="D10" s="31">
        <v>2.11</v>
      </c>
      <c r="E10" s="31">
        <v>2.54</v>
      </c>
      <c r="F10" s="15"/>
      <c r="G10" s="15"/>
      <c r="H10" s="56"/>
      <c r="I10" s="57"/>
      <c r="J10" s="57"/>
      <c r="K10" s="57"/>
      <c r="L10" s="57"/>
    </row>
    <row r="11" spans="1:13" x14ac:dyDescent="0.3">
      <c r="A11" s="21" t="e" vm="11">
        <v>#VALUE!</v>
      </c>
      <c r="B11" s="31">
        <v>3.73</v>
      </c>
      <c r="C11" s="31">
        <v>10.7</v>
      </c>
      <c r="D11" s="31">
        <v>3.18</v>
      </c>
      <c r="E11" s="31">
        <v>1.95</v>
      </c>
      <c r="F11" s="15"/>
      <c r="G11" s="15"/>
      <c r="H11" s="56"/>
      <c r="I11" s="20"/>
      <c r="J11" s="20"/>
      <c r="K11" s="20"/>
      <c r="L11" s="20"/>
    </row>
    <row r="12" spans="1:13" x14ac:dyDescent="0.3">
      <c r="A12" s="21" t="e" vm="12">
        <v>#VALUE!</v>
      </c>
      <c r="B12" s="31">
        <v>4.3</v>
      </c>
      <c r="C12" s="31" cm="1">
        <f t="array" aca="1" ref="C12" ca="1">_FV(A12,"P/E",TRUE)</f>
        <v>8.5731000000000002</v>
      </c>
      <c r="D12" s="31">
        <v>0.5</v>
      </c>
      <c r="E12" s="31">
        <v>0.85</v>
      </c>
      <c r="F12" s="15"/>
      <c r="G12" s="15"/>
      <c r="H12" s="56"/>
      <c r="I12" s="20"/>
      <c r="J12" s="20"/>
      <c r="K12" s="20"/>
      <c r="L12" s="20"/>
    </row>
    <row r="13" spans="1:13" x14ac:dyDescent="0.3">
      <c r="A13" s="21" t="e" vm="13">
        <v>#VALUE!</v>
      </c>
      <c r="B13" s="31">
        <v>1.35</v>
      </c>
      <c r="C13" s="31">
        <v>1.88</v>
      </c>
      <c r="D13" s="31">
        <v>0.48</v>
      </c>
      <c r="E13" s="31">
        <v>0.89</v>
      </c>
      <c r="F13" s="15"/>
      <c r="G13" s="15"/>
      <c r="H13" s="56"/>
      <c r="I13" s="20"/>
      <c r="J13" s="20"/>
      <c r="K13" s="20"/>
      <c r="L13" s="20"/>
    </row>
    <row r="14" spans="1:13" x14ac:dyDescent="0.3">
      <c r="A14" s="21" t="e" vm="14">
        <v>#VALUE!</v>
      </c>
      <c r="B14" s="31">
        <v>12.83</v>
      </c>
      <c r="C14" s="31">
        <v>20.079999999999998</v>
      </c>
      <c r="D14" s="31">
        <v>2.66</v>
      </c>
      <c r="E14" s="31">
        <v>2.2200000000000002</v>
      </c>
      <c r="F14" s="15"/>
      <c r="G14" s="15"/>
      <c r="H14" s="65" t="s">
        <v>0</v>
      </c>
      <c r="I14" s="66" t="s">
        <v>105</v>
      </c>
      <c r="J14" s="66" t="s">
        <v>106</v>
      </c>
      <c r="K14" s="66" t="s">
        <v>107</v>
      </c>
      <c r="L14" s="20"/>
    </row>
    <row r="15" spans="1:13" x14ac:dyDescent="0.3">
      <c r="A15" s="21" t="e" vm="15">
        <v>#VALUE!</v>
      </c>
      <c r="B15" s="31">
        <v>2.5299999999999998</v>
      </c>
      <c r="C15" s="31" cm="1">
        <f t="array" aca="1" ref="C15" ca="1">_FV(A15,"P/E",TRUE)</f>
        <v>18.249199999999998</v>
      </c>
      <c r="D15" s="31">
        <v>0.47</v>
      </c>
      <c r="E15" s="31">
        <v>0.79</v>
      </c>
      <c r="F15" s="15"/>
      <c r="G15" s="15"/>
      <c r="H15" s="56" t="str">
        <f>H4</f>
        <v>Exxon</v>
      </c>
      <c r="I15" s="47">
        <f ca="1">AVERAGE(I4:L4)</f>
        <v>111.22351272231754</v>
      </c>
      <c r="J15" s="18">
        <f ca="1">'Company Profile'!B3</f>
        <v>119.03</v>
      </c>
      <c r="K15" s="49">
        <f ca="1">(Table24[[#This Row],[Target Price]]-J15)/J15</f>
        <v>-6.558419959407262E-2</v>
      </c>
      <c r="L15" s="20"/>
    </row>
    <row r="16" spans="1:13" x14ac:dyDescent="0.3">
      <c r="A16" s="21" t="e" vm="16">
        <v>#VALUE!</v>
      </c>
      <c r="B16" s="31">
        <v>4.24</v>
      </c>
      <c r="C16" s="31" cm="1">
        <f t="array" aca="1" ref="C16" ca="1">_FV(A16,"P/E",TRUE)</f>
        <v>14.724299999999999</v>
      </c>
      <c r="D16" s="31">
        <v>1.2</v>
      </c>
      <c r="E16" s="31">
        <v>1.41</v>
      </c>
      <c r="F16" s="15"/>
      <c r="G16" s="15"/>
      <c r="H16" s="56" t="str">
        <f>H5</f>
        <v>Chevron</v>
      </c>
      <c r="I16" s="47">
        <f ca="1">AVERAGE(I5:L5)</f>
        <v>134.15698722344479</v>
      </c>
      <c r="J16" s="18">
        <f ca="1">'Company Profile'!C3</f>
        <v>153.59</v>
      </c>
      <c r="K16" s="49">
        <f ca="1">(Table24[[#This Row],[Target Price]]-J16)/J16</f>
        <v>-0.12652524758483766</v>
      </c>
      <c r="L16" s="20"/>
    </row>
    <row r="17" spans="1:12" x14ac:dyDescent="0.3">
      <c r="A17" s="21" t="e" vm="17">
        <v>#VALUE!</v>
      </c>
      <c r="B17" s="31">
        <v>5.84</v>
      </c>
      <c r="C17" s="31" cm="1">
        <f t="array" aca="1" ref="C17" ca="1">_FV(A17,"P/E",TRUE)</f>
        <v>7.3605999999999998</v>
      </c>
      <c r="D17" s="31">
        <v>0.28000000000000003</v>
      </c>
      <c r="E17" s="31">
        <v>1.62</v>
      </c>
      <c r="F17" s="15"/>
      <c r="G17" s="15"/>
      <c r="H17" s="56" t="str">
        <f>H6</f>
        <v>Conoco</v>
      </c>
      <c r="I17" s="47">
        <f ca="1">AVERAGE(I6:L6)</f>
        <v>98.544746391875009</v>
      </c>
      <c r="J17" s="18">
        <f ca="1">'Company Profile'!D3</f>
        <v>89.66</v>
      </c>
      <c r="K17" s="49">
        <f ca="1">(Table24[[#This Row],[Target Price]]-J17)/J17</f>
        <v>9.9093758553145353E-2</v>
      </c>
      <c r="L17" s="20"/>
    </row>
    <row r="18" spans="1:12" x14ac:dyDescent="0.3">
      <c r="A18" s="21" t="e" vm="18">
        <v>#VALUE!</v>
      </c>
      <c r="B18" s="31">
        <v>4.5199999999999996</v>
      </c>
      <c r="C18" s="31">
        <v>11.56</v>
      </c>
      <c r="D18" s="31">
        <v>0.69</v>
      </c>
      <c r="E18" s="31">
        <v>1.36</v>
      </c>
      <c r="F18" s="15"/>
      <c r="G18" s="15"/>
      <c r="H18" s="56" t="str">
        <f>H7</f>
        <v>MP</v>
      </c>
      <c r="I18" s="47">
        <f ca="1">AVERAGE(I7:L7)</f>
        <v>295.20204068287848</v>
      </c>
      <c r="J18" s="18">
        <f ca="1">'Company Profile'!E3</f>
        <v>199.61</v>
      </c>
      <c r="K18" s="49">
        <f ca="1">(Table24[[#This Row],[Target Price]]-J18)/J18</f>
        <v>0.47889404680566333</v>
      </c>
      <c r="L18" s="20"/>
    </row>
    <row r="19" spans="1:12" x14ac:dyDescent="0.3">
      <c r="A19" s="101"/>
      <c r="B19" s="59"/>
      <c r="C19" s="59"/>
      <c r="D19" s="59"/>
      <c r="E19" s="60"/>
      <c r="F19" s="15"/>
      <c r="G19" s="15"/>
      <c r="H19" s="56" t="str">
        <f>H8</f>
        <v>Phillips66</v>
      </c>
      <c r="I19" s="47">
        <f ca="1">AVERAGE(I8:L8)</f>
        <v>183.87306375708545</v>
      </c>
      <c r="J19" s="18">
        <f ca="1">'Company Profile'!F3</f>
        <v>138.41</v>
      </c>
      <c r="K19" s="49">
        <f ca="1">(Table24[[#This Row],[Target Price]]-J19)/J19</f>
        <v>0.32846661192894627</v>
      </c>
      <c r="L19" s="20"/>
    </row>
    <row r="20" spans="1:12" x14ac:dyDescent="0.3">
      <c r="A20" s="29" t="s">
        <v>108</v>
      </c>
      <c r="B20" s="61">
        <f>AVERAGE(B3:B18)</f>
        <v>5.5043749999999996</v>
      </c>
      <c r="C20" s="61">
        <f t="shared" ref="C20:E20" ca="1" si="1">AVERAGE(C3:C18)</f>
        <v>14.718462500000003</v>
      </c>
      <c r="D20" s="61">
        <f t="shared" si="1"/>
        <v>1.21</v>
      </c>
      <c r="E20" s="61">
        <f t="shared" si="1"/>
        <v>1.4949999999999997</v>
      </c>
      <c r="F20" s="15"/>
      <c r="G20" s="15"/>
      <c r="H20" s="56"/>
      <c r="I20" s="20"/>
      <c r="J20" s="20"/>
      <c r="K20" s="20"/>
      <c r="L20" s="20"/>
    </row>
    <row r="21" spans="1:12" x14ac:dyDescent="0.3">
      <c r="A21" s="15"/>
      <c r="B21" s="20"/>
      <c r="C21" s="20"/>
      <c r="D21" s="20"/>
      <c r="E21" s="20"/>
      <c r="F21" s="15"/>
      <c r="G21" s="15"/>
      <c r="H21" s="56"/>
      <c r="I21" s="20"/>
      <c r="J21" s="20"/>
      <c r="K21" s="20"/>
      <c r="L21" s="20"/>
    </row>
    <row r="22" spans="1:12" x14ac:dyDescent="0.3">
      <c r="A22" s="3" t="s">
        <v>0</v>
      </c>
      <c r="B22" s="4" t="s">
        <v>109</v>
      </c>
      <c r="C22" s="4" t="s">
        <v>110</v>
      </c>
      <c r="D22" s="4" t="s">
        <v>17</v>
      </c>
      <c r="E22" s="4" t="s">
        <v>111</v>
      </c>
      <c r="F22" s="1"/>
      <c r="G22" s="1"/>
      <c r="H22" s="56"/>
      <c r="I22" s="20"/>
      <c r="J22" s="20"/>
      <c r="K22" s="20"/>
      <c r="L22" s="20"/>
    </row>
    <row r="23" spans="1:12" x14ac:dyDescent="0.3">
      <c r="A23" s="39" t="str">
        <f>H4</f>
        <v>Exxon</v>
      </c>
      <c r="B23" s="48">
        <f>Financials!F6+Financials!F7</f>
        <v>96753</v>
      </c>
      <c r="C23" s="48">
        <f>Financials!F10</f>
        <v>35063</v>
      </c>
      <c r="D23" s="48">
        <f>Financials!F3</f>
        <v>349585</v>
      </c>
      <c r="E23" s="48">
        <f>Financials!F22</f>
        <v>270606</v>
      </c>
      <c r="F23" s="15"/>
      <c r="G23" s="15"/>
      <c r="H23" s="62"/>
      <c r="I23" s="2"/>
      <c r="J23" s="2"/>
      <c r="K23" s="2"/>
      <c r="L23" s="2"/>
    </row>
    <row r="24" spans="1:12" x14ac:dyDescent="0.3">
      <c r="A24" s="39" t="str">
        <f>H5</f>
        <v>Chevron</v>
      </c>
      <c r="B24" s="48">
        <f>Financials!M6+Financials!M7</f>
        <v>62664</v>
      </c>
      <c r="C24" s="48">
        <f>Financials!M10</f>
        <v>17749</v>
      </c>
      <c r="D24" s="48">
        <f>Financials!M3</f>
        <v>202792</v>
      </c>
      <c r="E24" s="48">
        <f>Financials!M22</f>
        <v>153157</v>
      </c>
      <c r="F24" s="15"/>
      <c r="G24" s="15"/>
      <c r="H24" s="56"/>
      <c r="I24" s="20"/>
      <c r="J24" s="20"/>
      <c r="K24" s="20"/>
      <c r="L24" s="20"/>
    </row>
    <row r="25" spans="1:12" x14ac:dyDescent="0.3">
      <c r="A25" s="99" t="s">
        <v>141</v>
      </c>
      <c r="B25" s="100">
        <f>Financials!T6+Financials!T7</f>
        <v>33653</v>
      </c>
      <c r="C25" s="100">
        <f>Financials!T10</f>
        <v>9245</v>
      </c>
      <c r="D25" s="100">
        <f>Financials!T3</f>
        <v>56953</v>
      </c>
      <c r="E25" s="100">
        <f>Financials!T22</f>
        <v>64796</v>
      </c>
      <c r="H25" s="56"/>
      <c r="I25" s="20"/>
      <c r="J25" s="20"/>
      <c r="K25" s="20"/>
      <c r="L25" s="20"/>
    </row>
    <row r="26" spans="1:12" x14ac:dyDescent="0.3">
      <c r="A26" s="99" t="s">
        <v>135</v>
      </c>
      <c r="B26" s="100">
        <f>Financials!AB6+Financials!AB7</f>
        <v>13470</v>
      </c>
      <c r="C26" s="100">
        <f>Financials!AB10</f>
        <v>5067</v>
      </c>
      <c r="D26" s="100">
        <f>Financials!AB3</f>
        <v>140412</v>
      </c>
      <c r="E26" s="100">
        <f>Financials!AB22</f>
        <v>24303</v>
      </c>
    </row>
    <row r="27" spans="1:12" x14ac:dyDescent="0.3">
      <c r="A27" s="99" t="s">
        <v>136</v>
      </c>
      <c r="B27" s="100">
        <f>Financials!AJ6+Financials!AJ7</f>
        <v>8308</v>
      </c>
      <c r="C27" s="100">
        <f>Financials!AJ10</f>
        <v>2175</v>
      </c>
      <c r="D27" s="100">
        <f>Financials!AJ3</f>
        <v>145496</v>
      </c>
      <c r="E27" s="100">
        <f>Financials!AJ22</f>
        <v>28463</v>
      </c>
    </row>
  </sheetData>
  <conditionalFormatting sqref="I9:L10">
    <cfRule type="cellIs" dxfId="3" priority="3" operator="lessThan">
      <formula>0</formula>
    </cfRule>
    <cfRule type="cellIs" dxfId="2" priority="4" operator="greaterThan">
      <formula>0</formula>
    </cfRule>
  </conditionalFormatting>
  <conditionalFormatting sqref="K15:K19">
    <cfRule type="cellIs" dxfId="1" priority="1" operator="greaterThan">
      <formula>0</formula>
    </cfRule>
    <cfRule type="cellIs" dxfId="0" priority="2" operator="lessThan">
      <formula>0</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E812-76E4-4CD7-9743-E99272573143}">
  <dimension ref="A1:AE73"/>
  <sheetViews>
    <sheetView topLeftCell="A18" workbookViewId="0">
      <selection activeCell="C76" sqref="C76"/>
    </sheetView>
  </sheetViews>
  <sheetFormatPr defaultRowHeight="14.4" x14ac:dyDescent="0.3"/>
  <cols>
    <col min="1" max="1" width="7.6640625" style="15" bestFit="1" customWidth="1"/>
    <col min="2" max="2" width="16.88671875" style="20" bestFit="1" customWidth="1"/>
    <col min="3" max="3" width="9.109375" style="20" bestFit="1" customWidth="1"/>
    <col min="4" max="4" width="10.88671875" style="20" bestFit="1" customWidth="1"/>
    <col min="5" max="5" width="8.88671875" style="15"/>
    <col min="6" max="6" width="15.5546875" style="15" customWidth="1"/>
    <col min="7" max="15" width="15.5546875" style="20" customWidth="1"/>
    <col min="18" max="23" width="10.88671875" bestFit="1" customWidth="1"/>
    <col min="25" max="25" width="10.5546875" bestFit="1" customWidth="1"/>
    <col min="26" max="26" width="6.21875" bestFit="1" customWidth="1"/>
    <col min="27" max="27" width="14.88671875" bestFit="1" customWidth="1"/>
    <col min="28" max="28" width="12.6640625" bestFit="1" customWidth="1"/>
    <col min="29" max="29" width="12.88671875" bestFit="1" customWidth="1"/>
    <col min="30" max="30" width="10.33203125" bestFit="1" customWidth="1"/>
    <col min="31" max="31" width="16" bestFit="1" customWidth="1"/>
  </cols>
  <sheetData>
    <row r="1" spans="1:31" ht="28.8" x14ac:dyDescent="0.3">
      <c r="A1" s="1" t="s">
        <v>9</v>
      </c>
      <c r="B1" s="2" t="s">
        <v>11</v>
      </c>
      <c r="C1" s="2" t="s">
        <v>0</v>
      </c>
      <c r="D1" s="2" t="s">
        <v>82</v>
      </c>
      <c r="E1" s="1"/>
      <c r="F1" s="1" t="s">
        <v>0</v>
      </c>
      <c r="G1" s="2" t="s">
        <v>112</v>
      </c>
      <c r="H1" s="2" t="s">
        <v>113</v>
      </c>
      <c r="I1" s="2" t="s">
        <v>114</v>
      </c>
      <c r="J1" s="2" t="s">
        <v>115</v>
      </c>
      <c r="K1" s="2" t="s">
        <v>37</v>
      </c>
      <c r="L1" s="2" t="s">
        <v>78</v>
      </c>
      <c r="M1" s="2" t="s">
        <v>116</v>
      </c>
      <c r="N1" s="2" t="s">
        <v>117</v>
      </c>
      <c r="O1" s="2" t="s">
        <v>118</v>
      </c>
      <c r="Q1" s="73" t="s">
        <v>11</v>
      </c>
      <c r="R1" s="72">
        <v>2020</v>
      </c>
      <c r="S1" s="72">
        <v>2021</v>
      </c>
      <c r="T1" s="72">
        <v>2022</v>
      </c>
      <c r="U1" s="72">
        <v>2023</v>
      </c>
      <c r="V1" s="72">
        <v>2024</v>
      </c>
      <c r="W1" s="20"/>
      <c r="X1" s="15"/>
      <c r="Y1" s="15"/>
      <c r="Z1" s="20"/>
      <c r="AA1" s="20"/>
      <c r="AB1" s="20"/>
      <c r="AC1" s="20"/>
      <c r="AD1" s="20"/>
      <c r="AE1" s="20"/>
    </row>
    <row r="2" spans="1:31" x14ac:dyDescent="0.3">
      <c r="A2" s="15" t="s">
        <v>119</v>
      </c>
      <c r="B2" s="20" t="s">
        <v>120</v>
      </c>
      <c r="C2" s="20" t="str">
        <f>Relative!A23</f>
        <v>Exxon</v>
      </c>
      <c r="D2" s="47">
        <f>AVERAGE(Financials!B27:F27)</f>
        <v>18798</v>
      </c>
      <c r="F2" s="15" t="str">
        <f>C2</f>
        <v>Exxon</v>
      </c>
      <c r="G2" s="47">
        <f>Financials!F6-Financials!B6</f>
        <v>55027</v>
      </c>
      <c r="H2" s="18">
        <f>(453475-Financials!F20)-(332750-Financials!B20)</f>
        <v>106781</v>
      </c>
      <c r="I2" s="49">
        <f>G2/H2</f>
        <v>0.5153257602007848</v>
      </c>
      <c r="J2" s="47">
        <f>DCF!G4-DCF!B4</f>
        <v>35687.30673500491</v>
      </c>
      <c r="K2" s="47">
        <f>D8</f>
        <v>29804.355078725159</v>
      </c>
      <c r="L2" s="47">
        <f>AVERAGE(DCF!B6:G6)</f>
        <v>42725.91763966751</v>
      </c>
      <c r="M2" s="18">
        <f>IF(K2-L2&lt;=0,K2,MAX(K2-L2,0.1*K2))</f>
        <v>29804.355078725159</v>
      </c>
      <c r="N2" s="49">
        <f>J2/M2</f>
        <v>1.19738563846594</v>
      </c>
      <c r="O2" s="67">
        <f>MIN(MAX(N2,0.07),0.18)</f>
        <v>0.18</v>
      </c>
      <c r="Q2" s="39" t="s">
        <v>17</v>
      </c>
      <c r="R2" s="40" cm="1">
        <f t="array" ref="R2:V2">Financials!B3:F3</f>
        <v>181502</v>
      </c>
      <c r="S2" s="40">
        <v>285640</v>
      </c>
      <c r="T2" s="40">
        <v>413680</v>
      </c>
      <c r="U2" s="40">
        <v>344582</v>
      </c>
      <c r="V2" s="40">
        <v>349585</v>
      </c>
      <c r="W2" s="20"/>
      <c r="X2" s="15"/>
      <c r="Y2" s="15"/>
      <c r="Z2" s="20"/>
      <c r="AA2" s="20"/>
      <c r="AB2" s="20"/>
      <c r="AC2" s="20"/>
      <c r="AD2" s="20"/>
      <c r="AE2" s="20"/>
    </row>
    <row r="3" spans="1:31" x14ac:dyDescent="0.3">
      <c r="A3" s="15" t="s">
        <v>119</v>
      </c>
      <c r="B3" s="20" t="s">
        <v>120</v>
      </c>
      <c r="C3" s="20" t="str">
        <f>Relative!A24</f>
        <v>Chevron</v>
      </c>
      <c r="D3" s="47">
        <f>AVERAGE(Financials!I27:M27)</f>
        <v>12245.8</v>
      </c>
      <c r="F3" s="15" t="str">
        <f t="shared" ref="F3:F6" si="0">C3</f>
        <v>Chevron</v>
      </c>
      <c r="G3" s="47">
        <f>Financials!M6-Financials!I6</f>
        <v>32630</v>
      </c>
      <c r="H3" s="18">
        <f>(256938-Financials!M20)-(237000-Financials!I20)</f>
        <v>3563</v>
      </c>
      <c r="I3" s="49">
        <f>G3/H3</f>
        <v>9.158012910468706</v>
      </c>
      <c r="J3" s="47">
        <f>DCF!O4-DCF!J4</f>
        <v>24262.205422437852</v>
      </c>
      <c r="K3" s="47">
        <f>D9</f>
        <v>19973.994473131785</v>
      </c>
      <c r="L3" s="47">
        <f>AVERAGE(DCF!J6:O6)</f>
        <v>28824.611730485962</v>
      </c>
      <c r="M3" s="18">
        <f>IF(K3-L3&lt;=0,K3,MAX(K3-L3,0.1*K3))</f>
        <v>19973.994473131785</v>
      </c>
      <c r="N3" s="49">
        <f>J3/M3</f>
        <v>1.2146897034078183</v>
      </c>
      <c r="O3" s="67">
        <f>MIN(MAX(N3,0.07),0.18)</f>
        <v>0.18</v>
      </c>
      <c r="Q3" s="39" t="s">
        <v>130</v>
      </c>
      <c r="R3" s="40" cm="1">
        <f t="array" ref="R3:V3">Financials!B6:F6</f>
        <v>18284</v>
      </c>
      <c r="S3" s="40">
        <v>52788</v>
      </c>
      <c r="T3" s="40">
        <v>102591</v>
      </c>
      <c r="U3" s="40">
        <v>74273</v>
      </c>
      <c r="V3" s="40">
        <v>73311</v>
      </c>
      <c r="W3" s="20"/>
      <c r="X3" s="15"/>
      <c r="Y3" s="75" t="s">
        <v>0</v>
      </c>
      <c r="Z3" s="76" t="s">
        <v>65</v>
      </c>
      <c r="AA3" s="76" t="s">
        <v>131</v>
      </c>
      <c r="AB3" s="76" t="s">
        <v>58</v>
      </c>
      <c r="AC3" s="76" t="s">
        <v>132</v>
      </c>
      <c r="AD3" s="76" t="s">
        <v>2</v>
      </c>
      <c r="AE3" s="76" t="s">
        <v>92</v>
      </c>
    </row>
    <row r="4" spans="1:31" x14ac:dyDescent="0.3">
      <c r="A4" s="15" t="s">
        <v>119</v>
      </c>
      <c r="B4" s="20" t="s">
        <v>120</v>
      </c>
      <c r="C4" s="20" t="s">
        <v>134</v>
      </c>
      <c r="D4" s="47">
        <f>AVERAGE(Financials!P27:T27)</f>
        <v>8712.7999999999993</v>
      </c>
      <c r="F4" s="15" t="str">
        <f t="shared" si="0"/>
        <v>ConocoP</v>
      </c>
      <c r="G4" s="47">
        <f>Financials!T6-Financials!P6</f>
        <v>20867</v>
      </c>
      <c r="H4" s="47">
        <f>(Financials!T15-Financials!T20)-(Financials!P15-Financials!P20)</f>
        <v>53404</v>
      </c>
      <c r="I4" s="49">
        <f t="shared" ref="I4:I6" si="1">G4/H4</f>
        <v>0.39073852145906673</v>
      </c>
      <c r="J4" s="47">
        <f>Table941[[#This Row],[2030]]-Table941[[#This Row],[2025]]</f>
        <v>5847.8057856492378</v>
      </c>
      <c r="K4" s="47">
        <f t="shared" ref="K4:K6" si="2">D10</f>
        <v>10819.968159538499</v>
      </c>
      <c r="L4" s="47">
        <f>AVERAGE(DCF!R6:W6)</f>
        <v>9463.374043125883</v>
      </c>
      <c r="M4" s="18">
        <f t="shared" ref="M4:M6" si="3">IF(K4-L4&lt;=0,K4,MAX(K4-L4,0.1*K4))</f>
        <v>1356.5941164126161</v>
      </c>
      <c r="N4" s="49">
        <f t="shared" ref="N4:N6" si="4">J4/M4</f>
        <v>4.3106524751214481</v>
      </c>
      <c r="O4" s="67">
        <f t="shared" ref="O4:O6" si="5">MIN(MAX(N4,0.07),0.18)</f>
        <v>0.18</v>
      </c>
      <c r="Q4" s="39" t="s">
        <v>110</v>
      </c>
      <c r="R4" s="40" cm="1">
        <f t="array" ref="R4:V4">Financials!B10:F10</f>
        <v>-23251</v>
      </c>
      <c r="S4" s="40">
        <v>23598</v>
      </c>
      <c r="T4" s="40">
        <v>57577</v>
      </c>
      <c r="U4" s="40">
        <v>37354</v>
      </c>
      <c r="V4" s="40">
        <v>35063</v>
      </c>
      <c r="W4" s="20"/>
      <c r="X4" s="15"/>
      <c r="Y4" s="39" t="s">
        <v>133</v>
      </c>
      <c r="Z4" s="74">
        <f ca="1">'Assumptions &amp; WACC'!B21</f>
        <v>6.3155826787955144E-2</v>
      </c>
      <c r="AA4" s="74">
        <f>'Assumptions &amp; WACC'!$B$25</f>
        <v>2.5000000000000001E-3</v>
      </c>
      <c r="AB4" s="74">
        <f ca="1">'Assumptions &amp; WACC'!B12</f>
        <v>6.7103999999999997E-2</v>
      </c>
      <c r="AC4" s="48">
        <f ca="1">DCF!B20</f>
        <v>408.4982909214188</v>
      </c>
      <c r="AD4" s="48">
        <f ca="1">DCF!B21</f>
        <v>119.03</v>
      </c>
      <c r="AE4" s="50">
        <f ca="1">(AC4-AD4)/AD4</f>
        <v>2.431893563987388</v>
      </c>
    </row>
    <row r="5" spans="1:31" x14ac:dyDescent="0.3">
      <c r="A5" s="15" t="s">
        <v>119</v>
      </c>
      <c r="B5" s="20" t="s">
        <v>120</v>
      </c>
      <c r="C5" s="20" t="s">
        <v>135</v>
      </c>
      <c r="D5" s="47">
        <f>AVERAGE(Financials!X27:AB27)</f>
        <v>2218.8000000000002</v>
      </c>
      <c r="F5" s="15" t="str">
        <f t="shared" si="0"/>
        <v>MP</v>
      </c>
      <c r="G5" s="47">
        <f>Financials!AB6-Financials!X6</f>
        <v>19005</v>
      </c>
      <c r="H5" s="47">
        <f>(Financials!AB15-Financials!AB20)-(Financials!X15-Financials!X20)</f>
        <v>-11464</v>
      </c>
      <c r="I5" s="49">
        <f t="shared" si="1"/>
        <v>-1.6577983251919051</v>
      </c>
      <c r="J5" s="47">
        <f>DCF!AE4-DCF!Z4</f>
        <v>3049.789381634977</v>
      </c>
      <c r="K5" s="47">
        <f t="shared" si="2"/>
        <v>2692.6277123837262</v>
      </c>
      <c r="L5" s="47">
        <f>AVERAGE(DCF!Z6:AE6)</f>
        <v>4028.5050270547222</v>
      </c>
      <c r="M5" s="18">
        <f t="shared" si="3"/>
        <v>2692.6277123837262</v>
      </c>
      <c r="N5" s="49">
        <f t="shared" si="4"/>
        <v>1.132644281869573</v>
      </c>
      <c r="O5" s="67">
        <f t="shared" si="5"/>
        <v>0.18</v>
      </c>
      <c r="Q5" s="15"/>
      <c r="R5" s="20"/>
      <c r="S5" s="20"/>
      <c r="T5" s="20"/>
      <c r="U5" s="20"/>
      <c r="V5" s="20"/>
      <c r="W5" s="20"/>
      <c r="X5" s="15"/>
      <c r="Y5" s="39" t="s">
        <v>72</v>
      </c>
      <c r="Z5" s="74">
        <f ca="1">'Assumptions &amp; WACC'!C21</f>
        <v>8.0369851717407292E-2</v>
      </c>
      <c r="AA5" s="74">
        <f>'Assumptions &amp; WACC'!$B$25</f>
        <v>2.5000000000000001E-3</v>
      </c>
      <c r="AB5" s="74">
        <f ca="1">'Assumptions &amp; WACC'!C12</f>
        <v>8.5409999999999986E-2</v>
      </c>
      <c r="AC5" s="48">
        <f ca="1">DCF!J20</f>
        <v>444.71765874197035</v>
      </c>
      <c r="AD5" s="48">
        <f ca="1">DCF!J21</f>
        <v>153.59</v>
      </c>
      <c r="AE5" s="50">
        <f ca="1">(AC5-AD5)/AD5</f>
        <v>1.8954857656225685</v>
      </c>
    </row>
    <row r="6" spans="1:31" x14ac:dyDescent="0.3">
      <c r="A6" s="15" t="s">
        <v>119</v>
      </c>
      <c r="B6" s="20" t="s">
        <v>120</v>
      </c>
      <c r="C6" s="20" t="s">
        <v>136</v>
      </c>
      <c r="D6" s="47">
        <f>AVERAGE(Financials!AF27:AJ27)</f>
        <v>2199.1999999999998</v>
      </c>
      <c r="F6" s="15" t="str">
        <f t="shared" si="0"/>
        <v>Phillips66</v>
      </c>
      <c r="G6" s="47">
        <f>Financials!$AJ6-Financials!$AF6</f>
        <v>9015</v>
      </c>
      <c r="H6" s="47">
        <f>(Financials!AJ15-Financials!AJ20)-(Financials!AF15-Financials!AF20)</f>
        <v>12292</v>
      </c>
      <c r="I6" s="49">
        <f t="shared" si="1"/>
        <v>0.73340383989586722</v>
      </c>
      <c r="J6" s="47">
        <f>DCF!AM4-DCF!AH4</f>
        <v>9505.491976700494</v>
      </c>
      <c r="K6" s="47">
        <f t="shared" si="2"/>
        <v>3035.9912856865253</v>
      </c>
      <c r="L6" s="18">
        <f>AVERAGE(Table94145[[#This Row],[2025]:[2030]])</f>
        <v>2476.3373809860359</v>
      </c>
      <c r="M6" s="18">
        <f t="shared" si="3"/>
        <v>559.65390470048942</v>
      </c>
      <c r="N6" s="49">
        <f t="shared" si="4"/>
        <v>16.984589756034236</v>
      </c>
      <c r="O6" s="67">
        <f t="shared" si="5"/>
        <v>0.18</v>
      </c>
      <c r="Q6" s="75" t="s">
        <v>11</v>
      </c>
      <c r="R6" s="76">
        <v>2020</v>
      </c>
      <c r="S6" s="76">
        <v>2021</v>
      </c>
      <c r="T6" s="76">
        <v>2022</v>
      </c>
      <c r="U6" s="76">
        <v>2023</v>
      </c>
      <c r="V6" s="76">
        <v>2024</v>
      </c>
      <c r="W6" s="20"/>
      <c r="X6" s="15"/>
      <c r="Y6" s="15"/>
      <c r="Z6" s="20"/>
      <c r="AA6" s="20"/>
      <c r="AB6" s="20"/>
      <c r="AC6" s="20"/>
      <c r="AD6" s="20"/>
      <c r="AE6" s="20"/>
    </row>
    <row r="7" spans="1:31" x14ac:dyDescent="0.3">
      <c r="A7" s="14" t="s">
        <v>119</v>
      </c>
      <c r="B7" s="68" t="s">
        <v>120</v>
      </c>
      <c r="C7" s="68" t="s">
        <v>108</v>
      </c>
      <c r="D7" s="69">
        <f>AVERAGE(D2:D6)</f>
        <v>8834.92</v>
      </c>
      <c r="H7" s="68" t="s">
        <v>108</v>
      </c>
      <c r="I7" s="70">
        <f>AVERAGE(I2:I6)</f>
        <v>1.8279365413665041</v>
      </c>
      <c r="J7" s="68"/>
      <c r="K7" s="69"/>
      <c r="L7" s="68"/>
      <c r="M7" s="68" t="s">
        <v>108</v>
      </c>
      <c r="N7" s="70">
        <f>AVERAGE(N2:N3)</f>
        <v>1.2060376709368792</v>
      </c>
      <c r="O7" s="70">
        <f>AVERAGE(O2:O3)</f>
        <v>0.18</v>
      </c>
      <c r="Q7" s="39" t="s">
        <v>17</v>
      </c>
      <c r="R7" s="40" cm="1">
        <f t="array" ref="R7:V7">Financials!I3:M3</f>
        <v>94692</v>
      </c>
      <c r="S7" s="40">
        <v>162465</v>
      </c>
      <c r="T7" s="40">
        <v>246252</v>
      </c>
      <c r="U7" s="40">
        <v>200949</v>
      </c>
      <c r="V7" s="40">
        <v>202792</v>
      </c>
      <c r="W7" s="20"/>
      <c r="X7" s="15"/>
      <c r="Y7" s="15"/>
      <c r="Z7" s="20"/>
      <c r="AA7" s="20"/>
      <c r="AB7" s="20"/>
      <c r="AC7" s="20"/>
      <c r="AD7" s="20"/>
      <c r="AE7" s="20"/>
    </row>
    <row r="8" spans="1:31" x14ac:dyDescent="0.3">
      <c r="A8" s="15" t="s">
        <v>121</v>
      </c>
      <c r="B8" s="20" t="s">
        <v>120</v>
      </c>
      <c r="C8" s="20" t="str">
        <f t="shared" ref="C8:D23" si="6">C2</f>
        <v>Exxon</v>
      </c>
      <c r="D8" s="78">
        <f>AVERAGE(DCF!B7:G7)</f>
        <v>29804.355078725159</v>
      </c>
      <c r="Q8" s="39" t="s">
        <v>130</v>
      </c>
      <c r="R8" s="40" cm="1">
        <f t="array" ref="R8:V8">Financials!I6:M6</f>
        <v>12752</v>
      </c>
      <c r="S8" s="40">
        <v>40276</v>
      </c>
      <c r="T8" s="40">
        <v>66509</v>
      </c>
      <c r="U8" s="40">
        <v>47379</v>
      </c>
      <c r="V8" s="40">
        <v>45382</v>
      </c>
      <c r="W8" s="20"/>
      <c r="X8" s="15"/>
      <c r="Y8" s="15"/>
      <c r="Z8" s="20"/>
      <c r="AA8" s="20"/>
      <c r="AB8" s="20"/>
      <c r="AC8" s="20"/>
      <c r="AD8" s="20"/>
      <c r="AE8" s="20"/>
    </row>
    <row r="9" spans="1:31" x14ac:dyDescent="0.3">
      <c r="A9" s="15" t="s">
        <v>121</v>
      </c>
      <c r="B9" s="20" t="s">
        <v>120</v>
      </c>
      <c r="C9" s="20" t="str">
        <f t="shared" si="6"/>
        <v>Chevron</v>
      </c>
      <c r="D9" s="78">
        <f>AVERAGE(DCF!J7:O7)</f>
        <v>19973.994473131785</v>
      </c>
      <c r="G9" s="20" t="s">
        <v>41</v>
      </c>
      <c r="H9" s="20" t="s">
        <v>119</v>
      </c>
      <c r="I9" s="20" t="s">
        <v>121</v>
      </c>
      <c r="Q9" s="39" t="s">
        <v>110</v>
      </c>
      <c r="R9" s="40" cm="1">
        <f t="array" ref="R9:V9">Financials!I10:M10</f>
        <v>-5561</v>
      </c>
      <c r="S9" s="40">
        <v>15689</v>
      </c>
      <c r="T9" s="40">
        <v>35608</v>
      </c>
      <c r="U9" s="40">
        <v>21411</v>
      </c>
      <c r="V9" s="40">
        <v>17749</v>
      </c>
      <c r="W9" s="20"/>
      <c r="X9" s="15"/>
      <c r="Y9" s="15"/>
      <c r="Z9" s="20"/>
      <c r="AA9" s="20"/>
      <c r="AB9" s="20"/>
      <c r="AC9" s="20"/>
      <c r="AD9" s="20"/>
      <c r="AE9" s="20"/>
    </row>
    <row r="10" spans="1:31" x14ac:dyDescent="0.3">
      <c r="A10" s="15" t="s">
        <v>121</v>
      </c>
      <c r="B10" s="20" t="s">
        <v>120</v>
      </c>
      <c r="C10" s="20" t="str">
        <f t="shared" si="6"/>
        <v>ConocoP</v>
      </c>
      <c r="D10" s="47">
        <f>AVERAGE(DCF!R7:W7)</f>
        <v>10819.968159538499</v>
      </c>
      <c r="G10" s="20" t="s">
        <v>123</v>
      </c>
      <c r="H10" s="49">
        <f>AVERAGE(-0.035,0.058)</f>
        <v>1.15E-2</v>
      </c>
      <c r="I10" s="49">
        <v>1.7999999999999999E-2</v>
      </c>
      <c r="Q10" s="15"/>
      <c r="R10" s="20"/>
      <c r="S10" s="20"/>
      <c r="T10" s="20"/>
      <c r="U10" s="20"/>
      <c r="V10" s="20"/>
      <c r="W10" s="20"/>
      <c r="X10" s="15"/>
      <c r="Y10" s="15"/>
      <c r="Z10" s="20"/>
      <c r="AA10" s="20"/>
      <c r="AB10" s="20"/>
      <c r="AC10" s="20"/>
      <c r="AD10" s="20"/>
      <c r="AE10" s="20"/>
    </row>
    <row r="11" spans="1:31" x14ac:dyDescent="0.3">
      <c r="A11" s="15" t="s">
        <v>121</v>
      </c>
      <c r="B11" s="20" t="s">
        <v>120</v>
      </c>
      <c r="C11" s="20" t="str">
        <f t="shared" si="6"/>
        <v>MP</v>
      </c>
      <c r="D11" s="78">
        <f>AVERAGE(DCF!Z7:AE7)</f>
        <v>2692.6277123837262</v>
      </c>
      <c r="G11" s="20" t="s">
        <v>123</v>
      </c>
      <c r="H11" s="49">
        <v>2.8000000000000001E-2</v>
      </c>
      <c r="I11" s="49">
        <v>2.5999999999999999E-2</v>
      </c>
      <c r="Q11" s="75" t="s">
        <v>11</v>
      </c>
      <c r="R11" s="76">
        <v>2025</v>
      </c>
      <c r="S11" s="76">
        <v>2026</v>
      </c>
      <c r="T11" s="76">
        <v>2027</v>
      </c>
      <c r="U11" s="76">
        <v>2028</v>
      </c>
      <c r="V11" s="76">
        <v>2029</v>
      </c>
      <c r="W11" s="76">
        <v>2030</v>
      </c>
      <c r="X11" s="15"/>
      <c r="Y11" s="15"/>
      <c r="Z11" s="20"/>
      <c r="AA11" s="20"/>
      <c r="AB11" s="20"/>
      <c r="AC11" s="20"/>
      <c r="AD11" s="20"/>
      <c r="AE11" s="20"/>
    </row>
    <row r="12" spans="1:31" x14ac:dyDescent="0.3">
      <c r="A12" s="15" t="s">
        <v>121</v>
      </c>
      <c r="B12" s="20" t="s">
        <v>120</v>
      </c>
      <c r="C12" s="20" t="str">
        <f t="shared" si="6"/>
        <v>Phillips66</v>
      </c>
      <c r="D12" s="78">
        <f>AVERAGE(DCF!AH7:AM7)</f>
        <v>3035.9912856865253</v>
      </c>
      <c r="G12" s="20" t="s">
        <v>125</v>
      </c>
      <c r="H12" s="67">
        <f>H11-H10</f>
        <v>1.6500000000000001E-2</v>
      </c>
      <c r="I12" s="67">
        <f>I11-I10</f>
        <v>8.0000000000000002E-3</v>
      </c>
      <c r="Q12" s="39" t="s">
        <v>17</v>
      </c>
      <c r="R12" s="40" cm="1">
        <f t="array" ref="R12:W12">DCF!B3:G3</f>
        <v>398553.90124942386</v>
      </c>
      <c r="S12" s="40">
        <v>446380.36939935473</v>
      </c>
      <c r="T12" s="40">
        <v>491018.40633929026</v>
      </c>
      <c r="U12" s="40">
        <v>530299.87884643348</v>
      </c>
      <c r="V12" s="40">
        <v>556814.87278875522</v>
      </c>
      <c r="W12" s="40">
        <v>573519.31897241785</v>
      </c>
      <c r="X12" s="15"/>
      <c r="Y12" s="15"/>
      <c r="Z12" s="20"/>
      <c r="AA12" s="20"/>
      <c r="AB12" s="20"/>
      <c r="AC12" s="20"/>
      <c r="AD12" s="20"/>
      <c r="AE12" s="20"/>
    </row>
    <row r="13" spans="1:31" x14ac:dyDescent="0.3">
      <c r="A13" s="14" t="s">
        <v>121</v>
      </c>
      <c r="B13" s="68" t="s">
        <v>120</v>
      </c>
      <c r="C13" s="68" t="str">
        <f t="shared" si="6"/>
        <v>Average</v>
      </c>
      <c r="D13" s="19">
        <f>AVERAGE(D8:D12)</f>
        <v>13265.387341893138</v>
      </c>
      <c r="G13" s="68" t="s">
        <v>126</v>
      </c>
      <c r="H13" s="19">
        <f>D61/H12</f>
        <v>172.37070877847438</v>
      </c>
      <c r="I13" s="19">
        <f>D67/I12</f>
        <v>41.361066452791349</v>
      </c>
      <c r="Q13" s="39" t="s">
        <v>130</v>
      </c>
      <c r="R13" s="40" cm="1">
        <f t="array" ref="R13:W13">DCF!B4:G4</f>
        <v>81292.151954504865</v>
      </c>
      <c r="S13" s="40">
        <v>91047.210189045451</v>
      </c>
      <c r="T13" s="40">
        <v>100151.93120795001</v>
      </c>
      <c r="U13" s="40">
        <v>108164.08570458602</v>
      </c>
      <c r="V13" s="40">
        <v>113572.28998981533</v>
      </c>
      <c r="W13" s="40">
        <v>116979.45868950977</v>
      </c>
      <c r="X13" s="15"/>
      <c r="Y13" s="15"/>
      <c r="Z13" s="20"/>
      <c r="AA13" s="20"/>
      <c r="AB13" s="20"/>
      <c r="AC13" s="20"/>
      <c r="AD13" s="20"/>
      <c r="AE13" s="20"/>
    </row>
    <row r="14" spans="1:31" x14ac:dyDescent="0.3">
      <c r="A14" s="15" t="s">
        <v>121</v>
      </c>
      <c r="B14" s="20" t="s">
        <v>122</v>
      </c>
      <c r="C14" s="20" t="str">
        <f t="shared" si="6"/>
        <v>Exxon</v>
      </c>
      <c r="D14" s="77">
        <f>(DCF!G7/DCF!B7)^(1/6)-1</f>
        <v>6.253561945034547E-2</v>
      </c>
      <c r="Q14" s="39" t="s">
        <v>110</v>
      </c>
      <c r="R14" s="40" cm="1">
        <f t="array" ref="R14:W14">DCF!B5:G5</f>
        <v>64220.800044058844</v>
      </c>
      <c r="S14" s="40">
        <v>71927.29604934591</v>
      </c>
      <c r="T14" s="40">
        <v>79120.025654280515</v>
      </c>
      <c r="U14" s="40">
        <v>85449.627706622952</v>
      </c>
      <c r="V14" s="40">
        <v>89722.109091954117</v>
      </c>
      <c r="W14" s="40">
        <v>92413.772364712728</v>
      </c>
      <c r="X14" s="15"/>
      <c r="Y14" s="15"/>
      <c r="Z14" s="20"/>
      <c r="AA14" s="20"/>
      <c r="AB14" s="20"/>
      <c r="AC14" s="20"/>
      <c r="AD14" s="20"/>
      <c r="AE14" s="20"/>
    </row>
    <row r="15" spans="1:31" x14ac:dyDescent="0.3">
      <c r="A15" s="15" t="s">
        <v>121</v>
      </c>
      <c r="B15" s="20" t="s">
        <v>122</v>
      </c>
      <c r="C15" s="20" t="str">
        <f t="shared" si="6"/>
        <v>Chevron</v>
      </c>
      <c r="D15" s="77">
        <f>(DCF!O7/DCF!J7)^(1/6)-1</f>
        <v>6.253561945034547E-2</v>
      </c>
      <c r="J15" s="49"/>
      <c r="Q15" s="39" t="s">
        <v>80</v>
      </c>
      <c r="R15" s="40" cm="1">
        <f t="array" ref="R15:W15">DCF!B9:G9</f>
        <v>77843.085988024715</v>
      </c>
      <c r="S15" s="40">
        <v>81271.620743400839</v>
      </c>
      <c r="T15" s="40">
        <v>89766.22930647718</v>
      </c>
      <c r="U15" s="40">
        <v>97359.067718379971</v>
      </c>
      <c r="V15" s="40">
        <v>102906.0622154836</v>
      </c>
      <c r="W15" s="40">
        <v>106482.15368200101</v>
      </c>
      <c r="X15" s="15"/>
      <c r="Y15" s="15"/>
      <c r="Z15" s="20"/>
      <c r="AA15" s="20"/>
      <c r="AB15" s="20"/>
      <c r="AC15" s="20"/>
      <c r="AD15" s="20"/>
      <c r="AE15" s="20"/>
    </row>
    <row r="16" spans="1:31" x14ac:dyDescent="0.3">
      <c r="A16" s="15" t="s">
        <v>121</v>
      </c>
      <c r="B16" s="20" t="s">
        <v>122</v>
      </c>
      <c r="C16" s="20" t="str">
        <f t="shared" si="6"/>
        <v>ConocoP</v>
      </c>
      <c r="D16" s="67">
        <f>(DCF!W7/DCF!R7)^(1/6)-1</f>
        <v>3.4709804888027662E-2</v>
      </c>
      <c r="J16" s="49"/>
      <c r="Q16" s="15"/>
      <c r="R16" s="20"/>
      <c r="S16" s="20"/>
      <c r="T16" s="20"/>
      <c r="U16" s="20"/>
      <c r="V16" s="20"/>
      <c r="W16" s="20"/>
      <c r="X16" s="15"/>
      <c r="Y16" s="15"/>
      <c r="Z16" s="20"/>
      <c r="AA16" s="20"/>
      <c r="AB16" s="20"/>
      <c r="AC16" s="20"/>
      <c r="AD16" s="20"/>
      <c r="AE16" s="20"/>
    </row>
    <row r="17" spans="1:31" x14ac:dyDescent="0.3">
      <c r="A17" s="15" t="s">
        <v>121</v>
      </c>
      <c r="B17" s="20" t="s">
        <v>122</v>
      </c>
      <c r="C17" s="20" t="str">
        <f t="shared" si="6"/>
        <v>MP</v>
      </c>
      <c r="D17" s="77">
        <f>(DCF!AE7/DCF!Z7)^(1/6)-1</f>
        <v>3.1607804966270914E-2</v>
      </c>
      <c r="H17" s="49"/>
      <c r="Q17" s="75" t="s">
        <v>11</v>
      </c>
      <c r="R17" s="76">
        <v>2025</v>
      </c>
      <c r="S17" s="76">
        <v>2026</v>
      </c>
      <c r="T17" s="76">
        <v>2027</v>
      </c>
      <c r="U17" s="76">
        <v>2028</v>
      </c>
      <c r="V17" s="76">
        <v>2029</v>
      </c>
      <c r="W17" s="76">
        <v>2030</v>
      </c>
      <c r="X17" s="15"/>
      <c r="Y17" s="15"/>
      <c r="Z17" s="20"/>
      <c r="AA17" s="20"/>
      <c r="AB17" s="20"/>
      <c r="AC17" s="20"/>
      <c r="AD17" s="20"/>
      <c r="AE17" s="20"/>
    </row>
    <row r="18" spans="1:31" x14ac:dyDescent="0.3">
      <c r="A18" s="15" t="s">
        <v>121</v>
      </c>
      <c r="B18" s="20" t="s">
        <v>122</v>
      </c>
      <c r="C18" s="20" t="str">
        <f t="shared" si="6"/>
        <v>Phillips66</v>
      </c>
      <c r="D18" s="77">
        <f>(DCF!AM7/DCF!AH7)^(1/6)-1</f>
        <v>5.0505754472880193E-2</v>
      </c>
      <c r="Q18" s="39" t="s">
        <v>17</v>
      </c>
      <c r="R18" s="40" cm="1">
        <f t="array" ref="R18:W18">DCF!J3:O3</f>
        <v>236155.64113382754</v>
      </c>
      <c r="S18" s="40">
        <v>264494.31806988688</v>
      </c>
      <c r="T18" s="40">
        <v>290943.7498768756</v>
      </c>
      <c r="U18" s="40">
        <v>314219.24986702565</v>
      </c>
      <c r="V18" s="40">
        <v>329930.21236037696</v>
      </c>
      <c r="W18" s="40">
        <v>339828.1187311883</v>
      </c>
      <c r="X18" s="15"/>
      <c r="Y18" s="15"/>
      <c r="Z18" s="20"/>
      <c r="AA18" s="20"/>
      <c r="AB18" s="20"/>
      <c r="AC18" s="20"/>
      <c r="AD18" s="20"/>
      <c r="AE18" s="20"/>
    </row>
    <row r="19" spans="1:31" x14ac:dyDescent="0.3">
      <c r="A19" s="14" t="s">
        <v>121</v>
      </c>
      <c r="B19" s="68" t="s">
        <v>122</v>
      </c>
      <c r="C19" s="68" t="str">
        <f t="shared" si="6"/>
        <v>Average</v>
      </c>
      <c r="D19" s="71">
        <f>AVERAGE(D14:D18)</f>
        <v>4.837892064557394E-2</v>
      </c>
      <c r="Q19" s="39" t="s">
        <v>130</v>
      </c>
      <c r="R19" s="40" cm="1">
        <f t="array" ref="R19:W19">DCF!J4:O4</f>
        <v>55266.902167700289</v>
      </c>
      <c r="S19" s="40">
        <v>61898.930427824329</v>
      </c>
      <c r="T19" s="40">
        <v>68088.823470606774</v>
      </c>
      <c r="U19" s="40">
        <v>73535.929348255318</v>
      </c>
      <c r="V19" s="40">
        <v>77212.725815668091</v>
      </c>
      <c r="W19" s="40">
        <v>79529.107590138141</v>
      </c>
      <c r="X19" s="15"/>
      <c r="Y19" s="15"/>
      <c r="Z19" s="20"/>
      <c r="AA19" s="20"/>
      <c r="AB19" s="20"/>
      <c r="AC19" s="20"/>
      <c r="AD19" s="20"/>
      <c r="AE19" s="20"/>
    </row>
    <row r="20" spans="1:31" x14ac:dyDescent="0.3">
      <c r="A20" s="15" t="str">
        <f t="shared" ref="A20:A31" si="7">A14</f>
        <v>2025-30</v>
      </c>
      <c r="B20" s="20" t="s">
        <v>124</v>
      </c>
      <c r="C20" s="20" t="str">
        <f t="shared" si="6"/>
        <v>Exxon</v>
      </c>
      <c r="D20" s="77">
        <f>D14</f>
        <v>6.253561945034547E-2</v>
      </c>
      <c r="Q20" s="39" t="s">
        <v>110</v>
      </c>
      <c r="R20" s="40" cm="1">
        <f t="array" ref="R20:W20">DCF!J5:O5</f>
        <v>43660.852712483233</v>
      </c>
      <c r="S20" s="40">
        <v>48900.155037981225</v>
      </c>
      <c r="T20" s="40">
        <v>53790.170541779356</v>
      </c>
      <c r="U20" s="40">
        <v>58093.384185121708</v>
      </c>
      <c r="V20" s="40">
        <v>60998.053394377792</v>
      </c>
      <c r="W20" s="40">
        <v>62827.994996209134</v>
      </c>
      <c r="X20" s="15"/>
      <c r="Y20" s="15"/>
      <c r="Z20" s="20"/>
      <c r="AA20" s="20"/>
      <c r="AB20" s="20"/>
      <c r="AC20" s="20"/>
      <c r="AD20" s="20"/>
      <c r="AE20" s="20"/>
    </row>
    <row r="21" spans="1:31" x14ac:dyDescent="0.3">
      <c r="A21" s="15" t="str">
        <f t="shared" si="7"/>
        <v>2025-30</v>
      </c>
      <c r="B21" s="20" t="s">
        <v>124</v>
      </c>
      <c r="C21" s="20" t="str">
        <f t="shared" si="6"/>
        <v>Chevron</v>
      </c>
      <c r="D21" s="77">
        <f>D15</f>
        <v>6.253561945034547E-2</v>
      </c>
      <c r="Q21" s="39" t="s">
        <v>80</v>
      </c>
      <c r="R21" s="40" cm="1">
        <f t="array" ref="R21:W21">DCF!J9:O9</f>
        <v>43132.293111854524</v>
      </c>
      <c r="S21" s="40">
        <v>55617.29981513675</v>
      </c>
      <c r="T21" s="40">
        <v>61377.91962724764</v>
      </c>
      <c r="U21" s="40">
        <v>66510.909807696298</v>
      </c>
      <c r="V21" s="40">
        <v>70204.003705024734</v>
      </c>
      <c r="W21" s="40">
        <v>72574.758669174887</v>
      </c>
      <c r="X21" s="15"/>
      <c r="Y21" s="15"/>
      <c r="Z21" s="20"/>
      <c r="AA21" s="20"/>
      <c r="AB21" s="20"/>
      <c r="AC21" s="20"/>
      <c r="AD21" s="20"/>
      <c r="AE21" s="20"/>
    </row>
    <row r="22" spans="1:31" x14ac:dyDescent="0.3">
      <c r="A22" s="15" t="str">
        <f t="shared" si="7"/>
        <v>2025-30</v>
      </c>
      <c r="B22" s="20" t="s">
        <v>124</v>
      </c>
      <c r="C22" s="20" t="str">
        <f t="shared" si="6"/>
        <v>ConocoP</v>
      </c>
      <c r="D22" s="77">
        <f t="shared" si="6"/>
        <v>3.4709804888027662E-2</v>
      </c>
    </row>
    <row r="23" spans="1:31" x14ac:dyDescent="0.3">
      <c r="A23" s="15" t="str">
        <f t="shared" si="7"/>
        <v>2025-30</v>
      </c>
      <c r="B23" s="20" t="s">
        <v>124</v>
      </c>
      <c r="C23" s="20" t="str">
        <f t="shared" si="6"/>
        <v>MP</v>
      </c>
      <c r="D23" s="77">
        <f t="shared" si="6"/>
        <v>3.1607804966270914E-2</v>
      </c>
    </row>
    <row r="24" spans="1:31" x14ac:dyDescent="0.3">
      <c r="A24" s="15" t="str">
        <f t="shared" si="7"/>
        <v>2025-30</v>
      </c>
      <c r="B24" s="20" t="s">
        <v>124</v>
      </c>
      <c r="C24" s="20" t="str">
        <f t="shared" ref="C24:D39" si="8">C18</f>
        <v>Phillips66</v>
      </c>
      <c r="D24" s="77">
        <f t="shared" si="8"/>
        <v>5.0505754472880193E-2</v>
      </c>
    </row>
    <row r="25" spans="1:31" x14ac:dyDescent="0.3">
      <c r="A25" s="14" t="str">
        <f t="shared" si="7"/>
        <v>2025-30</v>
      </c>
      <c r="B25" s="68" t="s">
        <v>124</v>
      </c>
      <c r="C25" s="68" t="str">
        <f t="shared" si="8"/>
        <v>Average</v>
      </c>
      <c r="D25" s="79">
        <f>AVERAGE(D20:D24)</f>
        <v>4.837892064557394E-2</v>
      </c>
    </row>
    <row r="26" spans="1:31" x14ac:dyDescent="0.3">
      <c r="A26" s="15" t="str">
        <f t="shared" si="7"/>
        <v>2025-30</v>
      </c>
      <c r="B26" s="20" t="s">
        <v>43</v>
      </c>
      <c r="C26" s="20" t="str">
        <f t="shared" si="8"/>
        <v>Exxon</v>
      </c>
      <c r="D26" s="80">
        <f>D20</f>
        <v>6.253561945034547E-2</v>
      </c>
    </row>
    <row r="27" spans="1:31" x14ac:dyDescent="0.3">
      <c r="A27" s="15" t="str">
        <f t="shared" si="7"/>
        <v>2025-30</v>
      </c>
      <c r="B27" s="20" t="s">
        <v>43</v>
      </c>
      <c r="C27" s="20" t="str">
        <f t="shared" si="8"/>
        <v>Chevron</v>
      </c>
      <c r="D27" s="80">
        <f t="shared" si="8"/>
        <v>6.253561945034547E-2</v>
      </c>
    </row>
    <row r="28" spans="1:31" x14ac:dyDescent="0.3">
      <c r="A28" s="15" t="str">
        <f t="shared" si="7"/>
        <v>2025-30</v>
      </c>
      <c r="B28" s="20" t="s">
        <v>43</v>
      </c>
      <c r="C28" s="20" t="str">
        <f t="shared" si="8"/>
        <v>ConocoP</v>
      </c>
      <c r="D28" s="80">
        <f t="shared" si="8"/>
        <v>3.4709804888027662E-2</v>
      </c>
    </row>
    <row r="29" spans="1:31" x14ac:dyDescent="0.3">
      <c r="A29" s="15" t="str">
        <f t="shared" si="7"/>
        <v>2025-30</v>
      </c>
      <c r="B29" s="20" t="s">
        <v>43</v>
      </c>
      <c r="C29" s="20" t="str">
        <f t="shared" si="8"/>
        <v>MP</v>
      </c>
      <c r="D29" s="80">
        <f t="shared" si="8"/>
        <v>3.1607804966270914E-2</v>
      </c>
    </row>
    <row r="30" spans="1:31" x14ac:dyDescent="0.3">
      <c r="A30" s="15" t="str">
        <f t="shared" si="7"/>
        <v>2025-30</v>
      </c>
      <c r="B30" s="20" t="s">
        <v>43</v>
      </c>
      <c r="C30" s="20" t="str">
        <f t="shared" si="8"/>
        <v>Phillips66</v>
      </c>
      <c r="D30" s="80">
        <f t="shared" si="8"/>
        <v>5.0505754472880193E-2</v>
      </c>
    </row>
    <row r="31" spans="1:31" x14ac:dyDescent="0.3">
      <c r="A31" s="14" t="str">
        <f t="shared" si="7"/>
        <v>2025-30</v>
      </c>
      <c r="B31" s="68" t="s">
        <v>43</v>
      </c>
      <c r="C31" s="68" t="str">
        <f t="shared" si="8"/>
        <v>Average</v>
      </c>
      <c r="D31" s="71">
        <f>AVERAGE(D26:D30)</f>
        <v>4.837892064557394E-2</v>
      </c>
    </row>
    <row r="32" spans="1:31" x14ac:dyDescent="0.3">
      <c r="A32" s="15" t="str">
        <f>A2</f>
        <v>2020-24</v>
      </c>
      <c r="B32" s="20" t="s">
        <v>128</v>
      </c>
      <c r="C32" s="20" t="str">
        <f t="shared" si="8"/>
        <v>Exxon</v>
      </c>
      <c r="D32" s="49">
        <f>(AVERAGE(Financials!B6:F6)+AVERAGE(Financials!B7:F7))/AVERAGE(Financials!B3:F3)</f>
        <v>0.2895169426580122</v>
      </c>
    </row>
    <row r="33" spans="1:4" x14ac:dyDescent="0.3">
      <c r="A33" s="15" t="str">
        <f>A3</f>
        <v>2020-24</v>
      </c>
      <c r="B33" s="20" t="s">
        <v>128</v>
      </c>
      <c r="C33" s="20" t="str">
        <f t="shared" si="8"/>
        <v>Chevron</v>
      </c>
      <c r="D33" s="49">
        <f>(AVERAGE(Financials!I6:M6)+AVERAGE(Financials!I7:M7))/AVERAGE(Financials!I3:M3)</f>
        <v>0.33143140605192084</v>
      </c>
    </row>
    <row r="34" spans="1:4" x14ac:dyDescent="0.3">
      <c r="A34" s="15" t="str">
        <f>A4</f>
        <v>2020-24</v>
      </c>
      <c r="B34" s="20" t="s">
        <v>128</v>
      </c>
      <c r="C34" s="20" t="str">
        <f t="shared" si="8"/>
        <v>ConocoP</v>
      </c>
      <c r="D34" s="49">
        <f>(AVERAGE(Financials!P6:T6)+AVERAGE(Financials!P7:T7))/AVERAGE(Financials!P3:T3)</f>
        <v>0.55796719037423481</v>
      </c>
    </row>
    <row r="35" spans="1:4" x14ac:dyDescent="0.3">
      <c r="A35" s="15" t="str">
        <f>A5</f>
        <v>2020-24</v>
      </c>
      <c r="B35" s="20" t="s">
        <v>128</v>
      </c>
      <c r="C35" s="20" t="str">
        <f t="shared" si="8"/>
        <v>MP</v>
      </c>
      <c r="D35" s="49">
        <f>(AVERAGE(Financials!X6:AB6)+AVERAGE(Financials!X7:AB7))/AVERAGE(Financials!X3:AB3)</f>
        <v>0.10297396587818047</v>
      </c>
    </row>
    <row r="36" spans="1:4" x14ac:dyDescent="0.3">
      <c r="A36" s="15" t="str">
        <f>A6</f>
        <v>2020-24</v>
      </c>
      <c r="B36" s="20" t="s">
        <v>128</v>
      </c>
      <c r="C36" s="20" t="str">
        <f t="shared" si="8"/>
        <v>Phillips66</v>
      </c>
      <c r="D36" s="49">
        <f>(AVERAGE(Financials!AF6:AJ6)+AVERAGE(Financials!AF7:AJ7))/AVERAGE(Financials!AF3:AJ3)</f>
        <v>6.9078371715323425E-2</v>
      </c>
    </row>
    <row r="37" spans="1:4" x14ac:dyDescent="0.3">
      <c r="A37" s="14" t="str">
        <f>$A$36</f>
        <v>2020-24</v>
      </c>
      <c r="B37" s="68" t="s">
        <v>128</v>
      </c>
      <c r="C37" s="68" t="str">
        <f t="shared" si="8"/>
        <v>Average</v>
      </c>
      <c r="D37" s="71">
        <f>AVERAGE(D32:D36)</f>
        <v>0.27019357533553434</v>
      </c>
    </row>
    <row r="38" spans="1:4" x14ac:dyDescent="0.3">
      <c r="A38" s="15" t="str">
        <f t="shared" ref="A38:A39" si="9">$A$36</f>
        <v>2020-24</v>
      </c>
      <c r="B38" s="20" t="s">
        <v>129</v>
      </c>
      <c r="C38" s="20" t="str">
        <f t="shared" si="8"/>
        <v>Exxon</v>
      </c>
      <c r="D38" s="49">
        <f>AVERAGE(Financials!B10:F10)/AVERAGE(Financials!B3:F3)</f>
        <v>8.2756768459970195E-2</v>
      </c>
    </row>
    <row r="39" spans="1:4" x14ac:dyDescent="0.3">
      <c r="A39" s="15" t="str">
        <f t="shared" si="9"/>
        <v>2020-24</v>
      </c>
      <c r="B39" s="20" t="s">
        <v>129</v>
      </c>
      <c r="C39" s="20" t="str">
        <f t="shared" si="8"/>
        <v>Chevron</v>
      </c>
      <c r="D39" s="49">
        <f>AVERAGE(Financials!I10:M10)/AVERAGE(Financials!I3:M3)</f>
        <v>9.3585404839331976E-2</v>
      </c>
    </row>
    <row r="40" spans="1:4" x14ac:dyDescent="0.3">
      <c r="A40" s="15" t="str">
        <f>A32</f>
        <v>2020-24</v>
      </c>
      <c r="B40" s="20" t="s">
        <v>129</v>
      </c>
      <c r="C40" s="20" t="str">
        <f t="shared" ref="C40:C67" si="10">C34</f>
        <v>ConocoP</v>
      </c>
      <c r="D40" s="49">
        <f>AVERAGE(Financials!P10:T10)/AVERAGE(Financials!P3:T3)</f>
        <v>0.16701094659389043</v>
      </c>
    </row>
    <row r="41" spans="1:4" x14ac:dyDescent="0.3">
      <c r="A41" s="15" t="str">
        <f>A33</f>
        <v>2020-24</v>
      </c>
      <c r="B41" s="20" t="s">
        <v>129</v>
      </c>
      <c r="C41" s="20" t="str">
        <f t="shared" si="10"/>
        <v>MP</v>
      </c>
      <c r="D41" s="49">
        <f>AVERAGE(Financials!X10:AB10)/AVERAGE(Financials!X3:AB3)</f>
        <v>3.5705149455143782E-2</v>
      </c>
    </row>
    <row r="42" spans="1:4" x14ac:dyDescent="0.3">
      <c r="A42" s="15" t="str">
        <f>A34</f>
        <v>2020-24</v>
      </c>
      <c r="B42" s="20" t="s">
        <v>129</v>
      </c>
      <c r="C42" s="20" t="str">
        <f t="shared" si="10"/>
        <v>Phillips66</v>
      </c>
      <c r="D42" s="49">
        <f>AVERAGE(Financials!AF10:AJ10)/AVERAGE(Financials!AF3:AJ3)</f>
        <v>2.8682875011129292E-2</v>
      </c>
    </row>
    <row r="43" spans="1:4" x14ac:dyDescent="0.3">
      <c r="A43" s="14" t="str">
        <f>$A$42</f>
        <v>2020-24</v>
      </c>
      <c r="B43" s="68" t="s">
        <v>129</v>
      </c>
      <c r="C43" s="68" t="str">
        <f t="shared" si="10"/>
        <v>Average</v>
      </c>
      <c r="D43" s="71">
        <f>AVERAGE(D38:D42)</f>
        <v>8.1548228871893141E-2</v>
      </c>
    </row>
    <row r="44" spans="1:4" x14ac:dyDescent="0.3">
      <c r="A44" s="15" t="str">
        <f t="shared" ref="A44:A49" si="11">A26</f>
        <v>2025-30</v>
      </c>
      <c r="B44" s="20" t="s">
        <v>137</v>
      </c>
      <c r="C44" s="20" t="str">
        <f t="shared" si="10"/>
        <v>Exxon</v>
      </c>
      <c r="D44" s="18">
        <f>AVERAGE(DCF!B3:G3)</f>
        <v>499431.1245992792</v>
      </c>
    </row>
    <row r="45" spans="1:4" x14ac:dyDescent="0.3">
      <c r="A45" s="15" t="str">
        <f t="shared" si="11"/>
        <v>2025-30</v>
      </c>
      <c r="B45" s="20" t="s">
        <v>137</v>
      </c>
      <c r="C45" s="20" t="str">
        <f t="shared" si="10"/>
        <v>Chevron</v>
      </c>
      <c r="D45" s="18">
        <f>AVERAGE(DCF!J3:O3)</f>
        <v>295928.54833986348</v>
      </c>
    </row>
    <row r="46" spans="1:4" x14ac:dyDescent="0.3">
      <c r="A46" s="15" t="str">
        <f t="shared" si="11"/>
        <v>2025-30</v>
      </c>
      <c r="B46" s="20" t="s">
        <v>137</v>
      </c>
      <c r="C46" s="20" t="str">
        <f t="shared" si="10"/>
        <v>ConocoP</v>
      </c>
      <c r="D46" s="18">
        <f>AVERAGE(DCF!R3:W3)</f>
        <v>65889.443419053583</v>
      </c>
    </row>
    <row r="47" spans="1:4" x14ac:dyDescent="0.3">
      <c r="A47" s="15" t="str">
        <f t="shared" si="11"/>
        <v>2025-30</v>
      </c>
      <c r="B47" s="20" t="s">
        <v>137</v>
      </c>
      <c r="C47" s="20" t="str">
        <f t="shared" si="10"/>
        <v>MP</v>
      </c>
      <c r="D47" s="18">
        <f>AVERAGE(DCF!Z3:AE3)</f>
        <v>160342.41243151238</v>
      </c>
    </row>
    <row r="48" spans="1:4" x14ac:dyDescent="0.3">
      <c r="A48" s="15" t="str">
        <f t="shared" si="11"/>
        <v>2025-30</v>
      </c>
      <c r="B48" s="20" t="s">
        <v>137</v>
      </c>
      <c r="C48" s="20" t="str">
        <f t="shared" si="10"/>
        <v>Phillips66</v>
      </c>
      <c r="D48" s="18">
        <f>AVERAGE(DCF!AH3:AM3)</f>
        <v>179860.67180792257</v>
      </c>
    </row>
    <row r="49" spans="1:4" x14ac:dyDescent="0.3">
      <c r="A49" s="14" t="str">
        <f t="shared" si="11"/>
        <v>2025-30</v>
      </c>
      <c r="B49" s="68" t="s">
        <v>137</v>
      </c>
      <c r="C49" s="68" t="str">
        <f t="shared" si="10"/>
        <v>Average</v>
      </c>
      <c r="D49" s="19">
        <f>AVERAGE(D44:D48)</f>
        <v>240290.44011952626</v>
      </c>
    </row>
    <row r="50" spans="1:4" x14ac:dyDescent="0.3">
      <c r="A50" s="15" t="str">
        <f t="shared" ref="A50:A55" si="12">A44</f>
        <v>2025-30</v>
      </c>
      <c r="B50" s="20" t="s">
        <v>138</v>
      </c>
      <c r="C50" s="20" t="str">
        <f t="shared" si="10"/>
        <v>Exxon</v>
      </c>
      <c r="D50" s="49">
        <f>D8/D44</f>
        <v>5.967660726519361E-2</v>
      </c>
    </row>
    <row r="51" spans="1:4" x14ac:dyDescent="0.3">
      <c r="A51" s="15" t="str">
        <f t="shared" si="12"/>
        <v>2025-30</v>
      </c>
      <c r="B51" s="20" t="s">
        <v>138</v>
      </c>
      <c r="C51" s="20" t="str">
        <f t="shared" si="10"/>
        <v>Chevron</v>
      </c>
      <c r="D51" s="49">
        <f t="shared" ref="D51:D54" si="13">D9/D45</f>
        <v>6.7496003968472676E-2</v>
      </c>
    </row>
    <row r="52" spans="1:4" x14ac:dyDescent="0.3">
      <c r="A52" s="15" t="str">
        <f t="shared" si="12"/>
        <v>2025-30</v>
      </c>
      <c r="B52" s="20" t="s">
        <v>138</v>
      </c>
      <c r="C52" s="20" t="str">
        <f t="shared" si="10"/>
        <v>ConocoP</v>
      </c>
      <c r="D52" s="49">
        <f t="shared" si="13"/>
        <v>0.1642139863092186</v>
      </c>
    </row>
    <row r="53" spans="1:4" x14ac:dyDescent="0.3">
      <c r="A53" s="15" t="str">
        <f t="shared" si="12"/>
        <v>2025-30</v>
      </c>
      <c r="B53" s="20" t="s">
        <v>138</v>
      </c>
      <c r="C53" s="20" t="str">
        <f t="shared" si="10"/>
        <v>MP</v>
      </c>
      <c r="D53" s="49">
        <f t="shared" si="13"/>
        <v>1.6792984909927297E-2</v>
      </c>
    </row>
    <row r="54" spans="1:4" x14ac:dyDescent="0.3">
      <c r="A54" s="15" t="str">
        <f t="shared" si="12"/>
        <v>2025-30</v>
      </c>
      <c r="B54" s="20" t="s">
        <v>138</v>
      </c>
      <c r="C54" s="20" t="str">
        <f t="shared" si="10"/>
        <v>Phillips66</v>
      </c>
      <c r="D54" s="49">
        <f t="shared" si="13"/>
        <v>1.6879683897371024E-2</v>
      </c>
    </row>
    <row r="55" spans="1:4" x14ac:dyDescent="0.3">
      <c r="A55" s="14" t="str">
        <f t="shared" si="12"/>
        <v>2025-30</v>
      </c>
      <c r="B55" s="68" t="s">
        <v>138</v>
      </c>
      <c r="C55" s="68" t="str">
        <f t="shared" si="10"/>
        <v>Average</v>
      </c>
      <c r="D55" s="71">
        <f>AVERAGE(D50:D54)</f>
        <v>6.501185327003664E-2</v>
      </c>
    </row>
    <row r="56" spans="1:4" x14ac:dyDescent="0.3">
      <c r="A56" s="15" t="str">
        <f>A38</f>
        <v>2020-24</v>
      </c>
      <c r="B56" s="20" t="s">
        <v>127</v>
      </c>
      <c r="C56" s="20" t="str">
        <f t="shared" si="10"/>
        <v>Exxon</v>
      </c>
      <c r="D56" s="49">
        <f>(Financials!F10-Financials!B10)/ABS(Financials!B10)</f>
        <v>2.5080211603801987</v>
      </c>
    </row>
    <row r="57" spans="1:4" x14ac:dyDescent="0.3">
      <c r="A57" s="15" t="str">
        <f>A39</f>
        <v>2020-24</v>
      </c>
      <c r="B57" s="20" t="s">
        <v>127</v>
      </c>
      <c r="C57" s="20" t="str">
        <f t="shared" si="10"/>
        <v>Chevron</v>
      </c>
      <c r="D57" s="49">
        <f>(Financials!M10-Financials!I10)/ABS(Financials!I10)</f>
        <v>4.1916921417011332</v>
      </c>
    </row>
    <row r="58" spans="1:4" x14ac:dyDescent="0.3">
      <c r="A58" s="15" t="str">
        <f>A40</f>
        <v>2020-24</v>
      </c>
      <c r="B58" s="20" t="s">
        <v>127</v>
      </c>
      <c r="C58" s="20" t="str">
        <f t="shared" si="10"/>
        <v>ConocoP</v>
      </c>
      <c r="D58" s="49">
        <f>(Financials!T10-Financials!P10)/ABS(Financials!P10)</f>
        <v>4.4821092278719394</v>
      </c>
    </row>
    <row r="59" spans="1:4" x14ac:dyDescent="0.3">
      <c r="A59" s="15" t="str">
        <f>A41</f>
        <v>2020-24</v>
      </c>
      <c r="B59" s="20" t="s">
        <v>127</v>
      </c>
      <c r="C59" s="20" t="str">
        <f t="shared" si="10"/>
        <v>MP</v>
      </c>
      <c r="D59" s="49">
        <f>(Financials!AB10-Financials!X10)/ABS(Financials!X10)</f>
        <v>1.4531389733500268</v>
      </c>
    </row>
    <row r="60" spans="1:4" x14ac:dyDescent="0.3">
      <c r="A60" s="15" t="str">
        <f>A42</f>
        <v>2020-24</v>
      </c>
      <c r="B60" s="20" t="s">
        <v>127</v>
      </c>
      <c r="C60" s="20" t="str">
        <f t="shared" si="10"/>
        <v>Phillips66</v>
      </c>
      <c r="D60" s="49">
        <f>(Financials!AJ10-Financials!AF10)/ABS(Financials!AF10)</f>
        <v>1.5856219709208401</v>
      </c>
    </row>
    <row r="61" spans="1:4" x14ac:dyDescent="0.3">
      <c r="A61" s="14" t="str">
        <f>A60</f>
        <v>2020-24</v>
      </c>
      <c r="B61" s="68" t="s">
        <v>127</v>
      </c>
      <c r="C61" s="68" t="str">
        <f t="shared" si="10"/>
        <v>Average</v>
      </c>
      <c r="D61" s="71">
        <f>AVERAGE(D56:D60)</f>
        <v>2.8441166948448275</v>
      </c>
    </row>
    <row r="62" spans="1:4" x14ac:dyDescent="0.3">
      <c r="A62" s="15" t="str">
        <f t="shared" ref="A62:A67" si="14">A50</f>
        <v>2025-30</v>
      </c>
      <c r="B62" s="20" t="str">
        <f t="shared" ref="B62:B67" si="15">B56</f>
        <v>Earnings Growth</v>
      </c>
      <c r="C62" s="20" t="str">
        <f t="shared" si="10"/>
        <v>Exxon</v>
      </c>
      <c r="D62" s="49">
        <f>(DCF!G5-DCF!B5)/DCF!B5</f>
        <v>0.43900064000000039</v>
      </c>
    </row>
    <row r="63" spans="1:4" x14ac:dyDescent="0.3">
      <c r="A63" s="15" t="str">
        <f t="shared" si="14"/>
        <v>2025-30</v>
      </c>
      <c r="B63" s="20" t="str">
        <f t="shared" si="15"/>
        <v>Earnings Growth</v>
      </c>
      <c r="C63" s="20" t="str">
        <f t="shared" si="10"/>
        <v>Chevron</v>
      </c>
      <c r="D63" s="49">
        <f>(DCF!O5-DCF!J5)/DCF!J5</f>
        <v>0.43900064000000061</v>
      </c>
    </row>
    <row r="64" spans="1:4" x14ac:dyDescent="0.3">
      <c r="A64" s="15" t="str">
        <f t="shared" si="14"/>
        <v>2025-30</v>
      </c>
      <c r="B64" s="20" t="str">
        <f t="shared" si="15"/>
        <v>Earnings Growth</v>
      </c>
      <c r="C64" s="20" t="str">
        <f t="shared" si="10"/>
        <v>ConocoP</v>
      </c>
      <c r="D64" s="49">
        <f>(DCF!W5-DCF!R5)/DCF!R5</f>
        <v>0.22718881078880718</v>
      </c>
    </row>
    <row r="65" spans="1:4" x14ac:dyDescent="0.3">
      <c r="A65" s="15" t="str">
        <f t="shared" si="14"/>
        <v>2025-30</v>
      </c>
      <c r="B65" s="20" t="str">
        <f t="shared" si="15"/>
        <v>Earnings Growth</v>
      </c>
      <c r="C65" s="20" t="str">
        <f t="shared" si="10"/>
        <v>MP</v>
      </c>
      <c r="D65" s="49">
        <f>(DCF!AE5-DCF!Z5)/DCF!Z5</f>
        <v>0.20527934937713369</v>
      </c>
    </row>
    <row r="66" spans="1:4" x14ac:dyDescent="0.3">
      <c r="A66" s="15" t="str">
        <f t="shared" si="14"/>
        <v>2025-30</v>
      </c>
      <c r="B66" s="20" t="str">
        <f t="shared" si="15"/>
        <v>Earnings Growth</v>
      </c>
      <c r="C66" s="20" t="str">
        <f t="shared" si="10"/>
        <v>Phillips66</v>
      </c>
      <c r="D66" s="49">
        <f>(DCF!AM5-DCF!AH5)/DCF!AH5</f>
        <v>0.34397321794571217</v>
      </c>
    </row>
    <row r="67" spans="1:4" x14ac:dyDescent="0.3">
      <c r="A67" s="14" t="str">
        <f t="shared" si="14"/>
        <v>2025-30</v>
      </c>
      <c r="B67" s="68" t="str">
        <f t="shared" si="15"/>
        <v>Earnings Growth</v>
      </c>
      <c r="C67" s="68" t="str">
        <f t="shared" si="10"/>
        <v>Average</v>
      </c>
      <c r="D67" s="71">
        <f>AVERAGE(D62:D66)</f>
        <v>0.33088853162233078</v>
      </c>
    </row>
    <row r="68" spans="1:4" x14ac:dyDescent="0.3">
      <c r="A68" s="15" t="str">
        <f>A56</f>
        <v>2020-24</v>
      </c>
      <c r="B68" s="20" t="str">
        <f>B20</f>
        <v>Earnings CAGR</v>
      </c>
      <c r="C68" s="20" t="str">
        <f>C62</f>
        <v>Exxon</v>
      </c>
      <c r="D68" s="49">
        <f>(Financials!F10/Financials!C10)^(1/4)-1</f>
        <v>0.10406201599780784</v>
      </c>
    </row>
    <row r="69" spans="1:4" x14ac:dyDescent="0.3">
      <c r="A69" s="15" t="str">
        <f t="shared" ref="A69:A73" si="16">A57</f>
        <v>2020-24</v>
      </c>
      <c r="B69" s="20" t="str">
        <f t="shared" ref="B69:B73" si="17">B21</f>
        <v>Earnings CAGR</v>
      </c>
      <c r="C69" s="20" t="str">
        <f t="shared" ref="C69:C73" si="18">C63</f>
        <v>Chevron</v>
      </c>
      <c r="D69" s="49">
        <f>(Financials!M10/Financials!J10)^(1/4)-1</f>
        <v>3.1322889208740268E-2</v>
      </c>
    </row>
    <row r="70" spans="1:4" x14ac:dyDescent="0.3">
      <c r="A70" s="15" t="str">
        <f t="shared" si="16"/>
        <v>2020-24</v>
      </c>
      <c r="B70" s="20" t="str">
        <f t="shared" si="17"/>
        <v>Earnings CAGR</v>
      </c>
      <c r="C70" s="20" t="str">
        <f t="shared" si="18"/>
        <v>ConocoP</v>
      </c>
      <c r="D70" s="49">
        <f>(Financials!T10/Financials!Q10)^(1/4)-1</f>
        <v>3.4278094982323148E-2</v>
      </c>
    </row>
    <row r="71" spans="1:4" x14ac:dyDescent="0.3">
      <c r="A71" s="15" t="str">
        <f t="shared" si="16"/>
        <v>2020-24</v>
      </c>
      <c r="B71" s="20" t="str">
        <f t="shared" si="17"/>
        <v>Earnings CAGR</v>
      </c>
      <c r="C71" s="20" t="str">
        <f t="shared" si="18"/>
        <v>MP</v>
      </c>
      <c r="D71" s="49">
        <f>(Financials!AB10/Financials!Y10)^(1/4)-1</f>
        <v>0.18692976898644131</v>
      </c>
    </row>
    <row r="72" spans="1:4" x14ac:dyDescent="0.3">
      <c r="A72" s="15" t="str">
        <f t="shared" si="16"/>
        <v>2020-24</v>
      </c>
      <c r="B72" s="20" t="str">
        <f t="shared" si="17"/>
        <v>Earnings CAGR</v>
      </c>
      <c r="C72" s="20" t="str">
        <f t="shared" si="18"/>
        <v>Phillips66</v>
      </c>
      <c r="D72" s="49">
        <f>(Financials!AJ10/Financials!AG10)^(1/4)-1</f>
        <v>8.0793529679719533E-2</v>
      </c>
    </row>
    <row r="73" spans="1:4" x14ac:dyDescent="0.3">
      <c r="A73" s="14" t="str">
        <f t="shared" si="16"/>
        <v>2020-24</v>
      </c>
      <c r="B73" s="68" t="str">
        <f t="shared" si="17"/>
        <v>Earnings CAGR</v>
      </c>
      <c r="C73" s="68" t="str">
        <f t="shared" si="18"/>
        <v>Average</v>
      </c>
      <c r="D73" s="71">
        <f>AVERAGE(D68:D72)</f>
        <v>8.7477259771006427E-2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2025-11-19T12:40:15Z</dcterms:modified>
</cp:coreProperties>
</file>