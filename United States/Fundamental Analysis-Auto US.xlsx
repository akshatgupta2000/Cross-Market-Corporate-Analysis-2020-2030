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usic\Job &amp; Future\Fundamental Analysis Project-Flagship\Fundamental Analysis-US\"/>
    </mc:Choice>
  </mc:AlternateContent>
  <xr:revisionPtr revIDLastSave="0" documentId="13_ncr:1_{18739C59-A336-43DA-AAF5-758E5EE265E7}" xr6:coauthVersionLast="47" xr6:coauthVersionMax="47" xr10:uidLastSave="{00000000-0000-0000-0000-000000000000}"/>
  <bookViews>
    <workbookView xWindow="-96" yWindow="0" windowWidth="11712" windowHeight="12336" firstSheet="2" activeTab="3" xr2:uid="{00000000-000D-0000-FFFF-FFFF00000000}"/>
  </bookViews>
  <sheets>
    <sheet name="Company Profile" sheetId="1" r:id="rId1"/>
    <sheet name="Financials" sheetId="2" r:id="rId2"/>
    <sheet name="Assumptions &amp; WACC" sheetId="3" r:id="rId3"/>
    <sheet name="DCF" sheetId="4" r:id="rId4"/>
    <sheet name="Relative" sheetId="5" r:id="rId5"/>
    <sheet name="Calc"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43" i="2" l="1"/>
  <c r="AM43" i="2"/>
  <c r="AN43" i="2"/>
  <c r="AO43" i="2"/>
  <c r="AP43" i="2"/>
  <c r="AL44" i="2"/>
  <c r="AM44" i="2"/>
  <c r="AN44" i="2"/>
  <c r="AO44" i="2"/>
  <c r="AP44" i="2"/>
  <c r="AL45" i="2"/>
  <c r="AM45" i="2"/>
  <c r="AN45" i="2"/>
  <c r="AO45" i="2"/>
  <c r="AP45" i="2"/>
  <c r="AL46" i="2"/>
  <c r="AM46" i="2"/>
  <c r="AN46" i="2"/>
  <c r="AO46" i="2"/>
  <c r="AP46" i="2"/>
  <c r="AK46" i="2"/>
  <c r="AK45" i="2"/>
  <c r="AK44" i="2"/>
  <c r="AK43" i="2"/>
  <c r="AO35" i="2"/>
  <c r="AN35" i="2"/>
  <c r="AM35" i="2"/>
  <c r="AL35" i="2"/>
  <c r="AK35" i="2"/>
  <c r="AO34" i="2"/>
  <c r="AN34" i="2"/>
  <c r="AM34" i="2"/>
  <c r="AL34" i="2"/>
  <c r="AK34" i="2"/>
  <c r="AO33" i="2"/>
  <c r="AN33" i="2"/>
  <c r="AM33" i="2"/>
  <c r="AL33" i="2"/>
  <c r="AK33" i="2"/>
  <c r="AE38" i="2"/>
  <c r="AF38" i="2"/>
  <c r="AG38" i="2"/>
  <c r="AH38" i="2"/>
  <c r="AI38" i="2"/>
  <c r="AE39" i="2"/>
  <c r="AF39" i="2"/>
  <c r="AG39" i="2"/>
  <c r="AH39" i="2"/>
  <c r="AI39" i="2"/>
  <c r="AE40" i="2"/>
  <c r="AF40" i="2"/>
  <c r="AG40" i="2"/>
  <c r="AH40" i="2"/>
  <c r="AI40" i="2"/>
  <c r="AE41" i="2"/>
  <c r="AF41" i="2"/>
  <c r="AG41" i="2"/>
  <c r="AH41" i="2"/>
  <c r="AI41" i="2"/>
  <c r="AD41" i="2"/>
  <c r="AD40" i="2"/>
  <c r="AD39" i="2"/>
  <c r="AD38" i="2"/>
  <c r="AH35" i="2"/>
  <c r="AG35" i="2"/>
  <c r="AF35" i="2"/>
  <c r="AE35" i="2"/>
  <c r="AD35" i="2"/>
  <c r="AH34" i="2"/>
  <c r="AG34" i="2"/>
  <c r="AF34" i="2"/>
  <c r="AE34" i="2"/>
  <c r="AD34" i="2"/>
  <c r="AH33" i="2"/>
  <c r="AG33" i="2"/>
  <c r="AF33" i="2"/>
  <c r="AE33" i="2"/>
  <c r="AD33" i="2"/>
  <c r="X43" i="2"/>
  <c r="Y43" i="2"/>
  <c r="Z43" i="2"/>
  <c r="AA43" i="2"/>
  <c r="AB43" i="2"/>
  <c r="X44" i="2"/>
  <c r="Y44" i="2"/>
  <c r="Z44" i="2"/>
  <c r="AA44" i="2"/>
  <c r="AB44" i="2"/>
  <c r="X45" i="2"/>
  <c r="Y45" i="2"/>
  <c r="Z45" i="2"/>
  <c r="AA45" i="2"/>
  <c r="AB45" i="2"/>
  <c r="X46" i="2"/>
  <c r="Y46" i="2"/>
  <c r="Z46" i="2"/>
  <c r="AA46" i="2"/>
  <c r="AB46" i="2"/>
  <c r="W46" i="2"/>
  <c r="W45" i="2"/>
  <c r="W44" i="2"/>
  <c r="W43" i="2"/>
  <c r="AA35" i="2"/>
  <c r="Z35" i="2"/>
  <c r="Y35" i="2"/>
  <c r="X35" i="2"/>
  <c r="W35" i="2"/>
  <c r="AA34" i="2"/>
  <c r="Z34" i="2"/>
  <c r="Y34" i="2"/>
  <c r="X34" i="2"/>
  <c r="W34" i="2"/>
  <c r="AA33" i="2"/>
  <c r="Z33" i="2"/>
  <c r="Y33" i="2"/>
  <c r="X33" i="2"/>
  <c r="W33" i="2"/>
  <c r="Q33" i="2"/>
  <c r="R33" i="2"/>
  <c r="S33" i="2"/>
  <c r="T33" i="2"/>
  <c r="Q34" i="2"/>
  <c r="R34" i="2"/>
  <c r="S34" i="2"/>
  <c r="T34" i="2"/>
  <c r="Q35" i="2"/>
  <c r="R35" i="2"/>
  <c r="S35" i="2"/>
  <c r="T35" i="2"/>
  <c r="P35" i="2"/>
  <c r="P34" i="2"/>
  <c r="P33" i="2"/>
  <c r="D70" i="6"/>
  <c r="D69" i="6"/>
  <c r="D68" i="6"/>
  <c r="D67" i="6"/>
  <c r="D66" i="6"/>
  <c r="D65" i="6"/>
  <c r="A71" i="6"/>
  <c r="B71" i="6"/>
  <c r="C71" i="6"/>
  <c r="A66" i="6"/>
  <c r="B66" i="6"/>
  <c r="C66" i="6"/>
  <c r="A67" i="6"/>
  <c r="B67" i="6"/>
  <c r="C67" i="6"/>
  <c r="A68" i="6"/>
  <c r="B68" i="6"/>
  <c r="C68" i="6"/>
  <c r="A69" i="6"/>
  <c r="B69" i="6"/>
  <c r="C69" i="6"/>
  <c r="A70" i="6"/>
  <c r="B70" i="6"/>
  <c r="C70" i="6"/>
  <c r="C65" i="6"/>
  <c r="B65" i="6"/>
  <c r="A65" i="6"/>
  <c r="D71" i="6" l="1"/>
  <c r="H7" i="6" l="1"/>
  <c r="H6" i="6"/>
  <c r="H5" i="6"/>
  <c r="H4" i="6"/>
  <c r="I4" i="6" s="1"/>
  <c r="G7" i="6"/>
  <c r="I7" i="6" s="1"/>
  <c r="G6" i="6"/>
  <c r="I6" i="6" s="1"/>
  <c r="G5" i="6"/>
  <c r="G4" i="6"/>
  <c r="J27" i="6"/>
  <c r="J26" i="6"/>
  <c r="J25" i="6"/>
  <c r="J24" i="6"/>
  <c r="J28" i="6" s="1"/>
  <c r="H19" i="6" s="1"/>
  <c r="J23" i="6"/>
  <c r="J22" i="6"/>
  <c r="A59" i="6"/>
  <c r="A60" i="6"/>
  <c r="A61" i="6"/>
  <c r="A62" i="6"/>
  <c r="A63" i="6"/>
  <c r="A64" i="6"/>
  <c r="A58" i="6"/>
  <c r="C59" i="6"/>
  <c r="C60" i="6"/>
  <c r="C61" i="6"/>
  <c r="C62" i="6"/>
  <c r="C63" i="6"/>
  <c r="C64" i="6"/>
  <c r="C58" i="6"/>
  <c r="I18" i="6"/>
  <c r="A52" i="6"/>
  <c r="A53" i="6"/>
  <c r="A54" i="6"/>
  <c r="A55" i="6"/>
  <c r="A56" i="6"/>
  <c r="A57" i="6"/>
  <c r="A51" i="6"/>
  <c r="C52" i="6"/>
  <c r="C53" i="6"/>
  <c r="C54" i="6"/>
  <c r="C55" i="6"/>
  <c r="C56" i="6"/>
  <c r="C57" i="6"/>
  <c r="C51" i="6"/>
  <c r="D49" i="6"/>
  <c r="D48" i="6"/>
  <c r="D46" i="6"/>
  <c r="D45" i="6"/>
  <c r="D50" i="6" s="1"/>
  <c r="D44" i="6"/>
  <c r="A45" i="6"/>
  <c r="A46" i="6"/>
  <c r="A47" i="6"/>
  <c r="A48" i="6"/>
  <c r="A49" i="6"/>
  <c r="A50" i="6"/>
  <c r="C45" i="6"/>
  <c r="C46" i="6"/>
  <c r="C47" i="6"/>
  <c r="C48" i="6"/>
  <c r="C49" i="6"/>
  <c r="C50" i="6"/>
  <c r="C44" i="6"/>
  <c r="A44" i="6"/>
  <c r="A43" i="6"/>
  <c r="A38" i="6"/>
  <c r="A39" i="6"/>
  <c r="A40" i="6"/>
  <c r="A41" i="6"/>
  <c r="A42" i="6"/>
  <c r="A37" i="6"/>
  <c r="D42" i="6"/>
  <c r="D41" i="6"/>
  <c r="D39" i="6"/>
  <c r="D38" i="6"/>
  <c r="D37" i="6"/>
  <c r="C38" i="6"/>
  <c r="C39" i="6"/>
  <c r="C40" i="6"/>
  <c r="C41" i="6"/>
  <c r="C42" i="6"/>
  <c r="C43" i="6"/>
  <c r="C37" i="6"/>
  <c r="C31" i="6"/>
  <c r="C32" i="6"/>
  <c r="C33" i="6"/>
  <c r="C34" i="6"/>
  <c r="C35" i="6"/>
  <c r="C36" i="6"/>
  <c r="A31" i="6"/>
  <c r="A32" i="6"/>
  <c r="A33" i="6"/>
  <c r="A34" i="6"/>
  <c r="A35" i="6"/>
  <c r="A36" i="6"/>
  <c r="A30" i="6"/>
  <c r="C30" i="6"/>
  <c r="A24" i="6"/>
  <c r="A25" i="6"/>
  <c r="A26" i="6"/>
  <c r="A27" i="6"/>
  <c r="A28" i="6"/>
  <c r="A29" i="6"/>
  <c r="C24" i="6"/>
  <c r="C25" i="6"/>
  <c r="C26" i="6"/>
  <c r="C27" i="6"/>
  <c r="C28" i="6"/>
  <c r="C29" i="6"/>
  <c r="C23" i="6"/>
  <c r="A23" i="6"/>
  <c r="G23" i="6"/>
  <c r="G24" i="6"/>
  <c r="G25" i="6"/>
  <c r="G26" i="6"/>
  <c r="G27" i="6"/>
  <c r="G28" i="6"/>
  <c r="G22" i="6"/>
  <c r="C17" i="6"/>
  <c r="C18" i="6"/>
  <c r="C19" i="6"/>
  <c r="C20" i="6"/>
  <c r="C21" i="6"/>
  <c r="C22" i="6"/>
  <c r="C16" i="6"/>
  <c r="C10" i="6"/>
  <c r="C11" i="6"/>
  <c r="C12" i="6"/>
  <c r="C13" i="6"/>
  <c r="C14" i="6"/>
  <c r="C15" i="6"/>
  <c r="C9" i="6"/>
  <c r="B15" i="6"/>
  <c r="B10" i="6"/>
  <c r="B11" i="6"/>
  <c r="B12" i="6"/>
  <c r="B13" i="6"/>
  <c r="B14" i="6"/>
  <c r="B9" i="6"/>
  <c r="D7" i="6"/>
  <c r="D6" i="6"/>
  <c r="D5" i="6"/>
  <c r="D4" i="6"/>
  <c r="F5" i="6"/>
  <c r="F6" i="6"/>
  <c r="F7" i="6"/>
  <c r="F4" i="6"/>
  <c r="C5" i="6"/>
  <c r="C6" i="6"/>
  <c r="C7" i="6"/>
  <c r="C4" i="6"/>
  <c r="G13" i="5"/>
  <c r="G14" i="5"/>
  <c r="G15" i="5"/>
  <c r="G11" i="5"/>
  <c r="G12" i="5"/>
  <c r="G10" i="5"/>
  <c r="L4" i="5"/>
  <c r="L3" i="5"/>
  <c r="G6" i="5"/>
  <c r="G7" i="5"/>
  <c r="G8" i="5"/>
  <c r="G5" i="5"/>
  <c r="E25" i="5"/>
  <c r="E24" i="5"/>
  <c r="E23" i="5"/>
  <c r="E22" i="5"/>
  <c r="D25" i="5"/>
  <c r="D24" i="5"/>
  <c r="D23" i="5"/>
  <c r="D22" i="5"/>
  <c r="C25" i="5"/>
  <c r="C24" i="5"/>
  <c r="C23" i="5"/>
  <c r="C22" i="5"/>
  <c r="B25" i="5"/>
  <c r="B24" i="5"/>
  <c r="B23" i="5"/>
  <c r="B22" i="5"/>
  <c r="G4" i="3"/>
  <c r="G3" i="3"/>
  <c r="AP3" i="4" s="1"/>
  <c r="AP17" i="4"/>
  <c r="AH3" i="4"/>
  <c r="Z4" i="4"/>
  <c r="E4" i="3"/>
  <c r="E6" i="3"/>
  <c r="R3" i="4"/>
  <c r="F3" i="3"/>
  <c r="E3" i="3"/>
  <c r="AU1" i="4"/>
  <c r="AM1" i="4"/>
  <c r="AE1" i="4"/>
  <c r="W1" i="4"/>
  <c r="G6" i="3"/>
  <c r="G5" i="3"/>
  <c r="F6" i="3"/>
  <c r="F5" i="3"/>
  <c r="F4" i="3"/>
  <c r="E5" i="3"/>
  <c r="G15" i="3"/>
  <c r="F15" i="3"/>
  <c r="AH17" i="4" s="1"/>
  <c r="E15" i="3"/>
  <c r="Z17" i="4" s="1"/>
  <c r="D15" i="3"/>
  <c r="R17" i="4" s="1"/>
  <c r="G12" i="3"/>
  <c r="G14" i="3" s="1"/>
  <c r="F12" i="3"/>
  <c r="F14" i="3" s="1"/>
  <c r="E12" i="3"/>
  <c r="E14" i="3" s="1"/>
  <c r="D12" i="3"/>
  <c r="D14" i="3" s="1"/>
  <c r="AA15" i="3"/>
  <c r="AB15" i="3"/>
  <c r="AC15" i="3"/>
  <c r="AD15" i="3"/>
  <c r="Z15" i="3"/>
  <c r="G7" i="3" s="1"/>
  <c r="AA8" i="3"/>
  <c r="F7" i="3" s="1"/>
  <c r="AB8" i="3"/>
  <c r="AC8" i="3"/>
  <c r="AD8" i="3"/>
  <c r="Z8" i="3"/>
  <c r="S15" i="3"/>
  <c r="T15" i="3"/>
  <c r="U15" i="3"/>
  <c r="E7" i="3" s="1"/>
  <c r="V15" i="3"/>
  <c r="R15" i="3"/>
  <c r="AD13" i="3"/>
  <c r="AD6" i="3"/>
  <c r="V13" i="3"/>
  <c r="V6" i="3"/>
  <c r="S8" i="3"/>
  <c r="T8" i="3"/>
  <c r="U8" i="3"/>
  <c r="V8" i="3"/>
  <c r="R8" i="3"/>
  <c r="D7" i="3" s="1"/>
  <c r="D6" i="3"/>
  <c r="D5" i="3"/>
  <c r="D4" i="3"/>
  <c r="D3" i="3"/>
  <c r="AO21" i="2"/>
  <c r="AN21" i="2"/>
  <c r="AM29" i="2"/>
  <c r="AL30" i="2"/>
  <c r="AL29" i="2"/>
  <c r="AM21" i="2"/>
  <c r="AL21" i="2"/>
  <c r="AK30" i="2"/>
  <c r="AK29" i="2"/>
  <c r="AK21" i="2"/>
  <c r="AL5" i="2"/>
  <c r="AL7" i="2" s="1"/>
  <c r="AL10" i="2" s="1"/>
  <c r="AM5" i="2"/>
  <c r="AM7" i="2" s="1"/>
  <c r="AM10" i="2" s="1"/>
  <c r="AN5" i="2"/>
  <c r="AN7" i="2" s="1"/>
  <c r="AN10" i="2" s="1"/>
  <c r="AO5" i="2"/>
  <c r="AO7" i="2" s="1"/>
  <c r="AO10" i="2" s="1"/>
  <c r="AK5" i="2"/>
  <c r="AK7" i="2" s="1"/>
  <c r="AK10" i="2" s="1"/>
  <c r="AH21" i="2"/>
  <c r="AG21" i="2"/>
  <c r="AH6" i="2"/>
  <c r="AG6" i="2"/>
  <c r="AF21" i="2"/>
  <c r="AF6" i="2"/>
  <c r="AE21" i="2"/>
  <c r="AE6" i="2"/>
  <c r="AD29" i="2"/>
  <c r="AD21" i="2"/>
  <c r="AD6" i="2"/>
  <c r="AD7" i="2"/>
  <c r="AD10" i="2" s="1"/>
  <c r="AE5" i="2"/>
  <c r="AF5" i="2"/>
  <c r="AF7" i="2" s="1"/>
  <c r="AF10" i="2" s="1"/>
  <c r="AG5" i="2"/>
  <c r="AH5" i="2"/>
  <c r="AH7" i="2" s="1"/>
  <c r="AH10" i="2" s="1"/>
  <c r="AD5" i="2"/>
  <c r="AA21" i="2"/>
  <c r="Z21" i="2"/>
  <c r="Y21" i="2"/>
  <c r="X21" i="2"/>
  <c r="W21" i="2"/>
  <c r="Y5" i="2"/>
  <c r="Y7" i="2" s="1"/>
  <c r="Y10" i="2" s="1"/>
  <c r="Z5" i="2"/>
  <c r="Z7" i="2" s="1"/>
  <c r="Z10" i="2" s="1"/>
  <c r="AA5" i="2"/>
  <c r="AA7" i="2" s="1"/>
  <c r="AA10" i="2" s="1"/>
  <c r="X5" i="2"/>
  <c r="X7" i="2" s="1"/>
  <c r="X10" i="2" s="1"/>
  <c r="T29" i="2"/>
  <c r="S29" i="2"/>
  <c r="T21" i="2"/>
  <c r="S21" i="2"/>
  <c r="T8" i="2"/>
  <c r="T6" i="2"/>
  <c r="S6" i="2"/>
  <c r="R29" i="2"/>
  <c r="Q29" i="2"/>
  <c r="R21" i="2"/>
  <c r="Q21" i="2"/>
  <c r="R6" i="2"/>
  <c r="Q6" i="2"/>
  <c r="P30" i="2"/>
  <c r="P29" i="2"/>
  <c r="P21" i="2"/>
  <c r="Q5" i="2"/>
  <c r="R5" i="2"/>
  <c r="S5" i="2"/>
  <c r="T5" i="2"/>
  <c r="T7" i="2" s="1"/>
  <c r="P10" i="2"/>
  <c r="P7" i="2"/>
  <c r="P6" i="2"/>
  <c r="P5" i="2"/>
  <c r="D2" i="1" a="1"/>
  <c r="D2" i="1" s="1"/>
  <c r="E2" i="1" a="1"/>
  <c r="E2" i="1" s="1"/>
  <c r="F2" i="1" a="1"/>
  <c r="F2" i="1" s="1"/>
  <c r="G2" i="1" a="1"/>
  <c r="G2" i="1" s="1"/>
  <c r="D3" i="1" a="1"/>
  <c r="D3" i="1" s="1"/>
  <c r="R21" i="4" s="1"/>
  <c r="E3" i="1" a="1"/>
  <c r="E3" i="1" s="1"/>
  <c r="Z21" i="4" s="1"/>
  <c r="F3" i="1" a="1"/>
  <c r="F3" i="1" s="1"/>
  <c r="AH21" i="4" s="1"/>
  <c r="G3" i="1" a="1"/>
  <c r="G3" i="1" s="1"/>
  <c r="AP21" i="4" s="1"/>
  <c r="D4" i="1" a="1"/>
  <c r="D4" i="1" s="1"/>
  <c r="E4" i="1" a="1"/>
  <c r="E4" i="1" s="1"/>
  <c r="F4" i="1" a="1"/>
  <c r="F4" i="1" s="1"/>
  <c r="G4" i="1" a="1"/>
  <c r="G4" i="1" s="1"/>
  <c r="D5" i="1" a="1"/>
  <c r="D5" i="1" s="1"/>
  <c r="D8" i="3" s="1"/>
  <c r="D11" i="3" s="1"/>
  <c r="E5" i="1" a="1"/>
  <c r="E5" i="1" s="1"/>
  <c r="E8" i="3" s="1"/>
  <c r="E11" i="3" s="1"/>
  <c r="F5" i="1" a="1"/>
  <c r="F5" i="1" s="1"/>
  <c r="F8" i="3" s="1"/>
  <c r="F11" i="3" s="1"/>
  <c r="G5" i="1" a="1"/>
  <c r="G5" i="1" s="1"/>
  <c r="G8" i="3" s="1"/>
  <c r="G11" i="3" s="1"/>
  <c r="D6" i="1" a="1"/>
  <c r="D6" i="1" s="1"/>
  <c r="D7" i="1" s="1"/>
  <c r="D22" i="3" s="1"/>
  <c r="R19" i="4" s="1"/>
  <c r="E6" i="1" a="1"/>
  <c r="E6" i="1" s="1"/>
  <c r="E7" i="1" s="1"/>
  <c r="E22" i="3" s="1"/>
  <c r="Z19" i="4" s="1"/>
  <c r="F6" i="1" a="1"/>
  <c r="F6" i="1" s="1"/>
  <c r="F7" i="1" s="1"/>
  <c r="F22" i="3" s="1"/>
  <c r="AH19" i="4" s="1"/>
  <c r="G6" i="1" a="1"/>
  <c r="G6" i="1" s="1"/>
  <c r="G7" i="1" s="1"/>
  <c r="G22" i="3" s="1"/>
  <c r="AP19" i="4" s="1"/>
  <c r="D8" i="1" a="1"/>
  <c r="D8" i="1" s="1"/>
  <c r="D9" i="1" s="1"/>
  <c r="D16" i="3" s="1"/>
  <c r="E8" i="1" a="1"/>
  <c r="E8" i="1" s="1"/>
  <c r="E9" i="1" s="1"/>
  <c r="E16" i="3" s="1"/>
  <c r="F8" i="1" a="1"/>
  <c r="F8" i="1" s="1"/>
  <c r="F9" i="1" s="1"/>
  <c r="F16" i="3" s="1"/>
  <c r="G8" i="1" a="1"/>
  <c r="G8" i="1" s="1"/>
  <c r="G9" i="1" s="1"/>
  <c r="G16" i="3" s="1"/>
  <c r="D10" i="1" a="1"/>
  <c r="D10" i="1" s="1"/>
  <c r="G10" i="1" a="1"/>
  <c r="G10" i="1" s="1"/>
  <c r="D11" i="1" a="1"/>
  <c r="D11" i="1" s="1"/>
  <c r="E11" i="1" a="1"/>
  <c r="E11" i="1" s="1"/>
  <c r="F11" i="1" a="1"/>
  <c r="F11" i="1" s="1"/>
  <c r="G11" i="1" a="1"/>
  <c r="G11" i="1" s="1"/>
  <c r="Z11" i="3" l="1"/>
  <c r="P38" i="2"/>
  <c r="S3" i="4"/>
  <c r="T3" i="4" s="1"/>
  <c r="AA4" i="4"/>
  <c r="AI3" i="4"/>
  <c r="I5" i="6"/>
  <c r="R4" i="4"/>
  <c r="Z5" i="4"/>
  <c r="R11" i="3"/>
  <c r="Z3" i="4"/>
  <c r="AH4" i="4"/>
  <c r="AH5" i="4" s="1"/>
  <c r="D43" i="6"/>
  <c r="N8" i="5"/>
  <c r="N5" i="5"/>
  <c r="N6" i="5"/>
  <c r="N7" i="5"/>
  <c r="L7" i="5"/>
  <c r="L8" i="5"/>
  <c r="L5" i="5"/>
  <c r="L6" i="5"/>
  <c r="AQ3" i="4"/>
  <c r="Z18" i="3"/>
  <c r="AP4" i="4"/>
  <c r="AP5" i="4" s="1"/>
  <c r="R8" i="4"/>
  <c r="D17" i="3"/>
  <c r="D18" i="3" s="1"/>
  <c r="F17" i="3"/>
  <c r="F18" i="3" s="1"/>
  <c r="E17" i="3"/>
  <c r="E18" i="3" s="1"/>
  <c r="G17" i="3"/>
  <c r="G18" i="3" s="1"/>
  <c r="AG7" i="2"/>
  <c r="AG10" i="2" s="1"/>
  <c r="AE7" i="2"/>
  <c r="AE10" i="2" s="1"/>
  <c r="T10" i="2"/>
  <c r="S7" i="2"/>
  <c r="S10" i="2" s="1"/>
  <c r="R7" i="2"/>
  <c r="R10" i="2" s="1"/>
  <c r="Q7" i="2"/>
  <c r="Q10" i="2" s="1"/>
  <c r="O18" i="6"/>
  <c r="O17" i="6"/>
  <c r="AR13" i="2" a="1"/>
  <c r="AR13" i="2" s="1"/>
  <c r="AR8" i="2" a="1"/>
  <c r="AR8" i="2" s="1"/>
  <c r="U3" i="4" l="1"/>
  <c r="R38" i="2"/>
  <c r="T11" i="3"/>
  <c r="T4" i="4"/>
  <c r="R39" i="2" s="1"/>
  <c r="P39" i="2"/>
  <c r="R5" i="4"/>
  <c r="AI8" i="4"/>
  <c r="AH8" i="4"/>
  <c r="AA11" i="3"/>
  <c r="AI4" i="4"/>
  <c r="AI5" i="4" s="1"/>
  <c r="AB4" i="4"/>
  <c r="AA5" i="4"/>
  <c r="AJ3" i="4"/>
  <c r="Z7" i="4"/>
  <c r="Z6" i="4"/>
  <c r="R18" i="3"/>
  <c r="Q38" i="2"/>
  <c r="S11" i="3"/>
  <c r="S4" i="4"/>
  <c r="AA3" i="4"/>
  <c r="AQ4" i="4"/>
  <c r="AQ5" i="4" s="1"/>
  <c r="S8" i="4"/>
  <c r="AP8" i="4"/>
  <c r="AR3" i="4"/>
  <c r="AA18" i="3"/>
  <c r="AQ8" i="4" s="1"/>
  <c r="T5" i="4"/>
  <c r="R40" i="2" s="1"/>
  <c r="D19" i="3"/>
  <c r="D20" i="3" s="1"/>
  <c r="F19" i="3"/>
  <c r="F20" i="3" s="1"/>
  <c r="E19" i="3"/>
  <c r="E20" i="3" s="1"/>
  <c r="G19" i="3"/>
  <c r="G20" i="3" s="1"/>
  <c r="AK3" i="4" l="1"/>
  <c r="AB11" i="3"/>
  <c r="AJ8" i="4" s="1"/>
  <c r="AJ4" i="4"/>
  <c r="AJ5" i="4" s="1"/>
  <c r="P40" i="2"/>
  <c r="AC4" i="4"/>
  <c r="AB5" i="4"/>
  <c r="T8" i="4"/>
  <c r="AA6" i="4"/>
  <c r="S18" i="3"/>
  <c r="AA7" i="4"/>
  <c r="AB3" i="4"/>
  <c r="Q39" i="2"/>
  <c r="S5" i="4"/>
  <c r="V3" i="4"/>
  <c r="S38" i="2"/>
  <c r="U4" i="4"/>
  <c r="S39" i="2" s="1"/>
  <c r="U11" i="3"/>
  <c r="U8" i="4" s="1"/>
  <c r="AS3" i="4"/>
  <c r="AB18" i="3"/>
  <c r="AR8" i="4" s="1"/>
  <c r="AR4" i="4"/>
  <c r="AR5" i="4" s="1"/>
  <c r="U5" i="4"/>
  <c r="S40" i="2" s="1"/>
  <c r="H16" i="6"/>
  <c r="H18" i="6" s="1"/>
  <c r="H3" i="6"/>
  <c r="H2" i="6"/>
  <c r="F3" i="6"/>
  <c r="M18" i="6" s="1"/>
  <c r="F2" i="6"/>
  <c r="M17" i="6" s="1"/>
  <c r="D3" i="6"/>
  <c r="D2" i="6"/>
  <c r="Q40" i="2" l="1"/>
  <c r="AL3" i="4"/>
  <c r="AC11" i="3"/>
  <c r="AK8" i="4" s="1"/>
  <c r="AK4" i="4"/>
  <c r="AK5" i="4" s="1"/>
  <c r="AC3" i="4"/>
  <c r="AB7" i="4"/>
  <c r="AB6" i="4"/>
  <c r="T18" i="3"/>
  <c r="W3" i="4"/>
  <c r="T38" i="2"/>
  <c r="V4" i="4"/>
  <c r="T39" i="2" s="1"/>
  <c r="V11" i="3"/>
  <c r="V8" i="4" s="1"/>
  <c r="D8" i="6"/>
  <c r="AD4" i="4"/>
  <c r="AC5" i="4"/>
  <c r="AT3" i="4"/>
  <c r="AC18" i="3"/>
  <c r="AS8" i="4" s="1"/>
  <c r="AS4" i="4"/>
  <c r="AS5" i="4" s="1"/>
  <c r="AS7" i="4"/>
  <c r="V5" i="4"/>
  <c r="T40" i="2" s="1"/>
  <c r="E21" i="5"/>
  <c r="E20" i="5"/>
  <c r="D21" i="5"/>
  <c r="D20" i="5"/>
  <c r="J3" i="5" s="1"/>
  <c r="J10" i="5" s="1"/>
  <c r="D17" i="5"/>
  <c r="E17" i="5"/>
  <c r="B17" i="5"/>
  <c r="C15" i="5" a="1"/>
  <c r="C15" i="5" s="1"/>
  <c r="C4" i="5" a="1"/>
  <c r="C4" i="5" s="1"/>
  <c r="C11" i="5" a="1"/>
  <c r="C11" i="5" s="1"/>
  <c r="C12" i="5" a="1"/>
  <c r="C12" i="5" s="1"/>
  <c r="C3" i="5" a="1"/>
  <c r="C3" i="5" s="1"/>
  <c r="J19" i="4"/>
  <c r="B19" i="4"/>
  <c r="B17" i="4"/>
  <c r="K15" i="3"/>
  <c r="L15" i="3"/>
  <c r="M15" i="3"/>
  <c r="N15" i="3"/>
  <c r="J15" i="3"/>
  <c r="C6" i="3"/>
  <c r="C5" i="3"/>
  <c r="AS6" i="4" s="1"/>
  <c r="C3" i="3"/>
  <c r="J3" i="4" s="1"/>
  <c r="K8" i="3"/>
  <c r="L8" i="3"/>
  <c r="M8" i="3"/>
  <c r="N8" i="3"/>
  <c r="J8" i="3"/>
  <c r="B15" i="3"/>
  <c r="B12" i="3"/>
  <c r="B14" i="3" s="1"/>
  <c r="B6" i="3"/>
  <c r="V7" i="4" s="1"/>
  <c r="B5" i="3"/>
  <c r="AL6" i="4" s="1"/>
  <c r="B3" i="3"/>
  <c r="B3" i="4" s="1"/>
  <c r="M21" i="2"/>
  <c r="C12" i="3" s="1"/>
  <c r="C14" i="3" s="1"/>
  <c r="L21" i="2"/>
  <c r="K21" i="2"/>
  <c r="J21" i="2"/>
  <c r="I21" i="2"/>
  <c r="M6" i="2"/>
  <c r="L6" i="2"/>
  <c r="K6" i="2"/>
  <c r="J6" i="2"/>
  <c r="I6" i="2"/>
  <c r="J5" i="2"/>
  <c r="K5" i="2"/>
  <c r="L5" i="2"/>
  <c r="M5" i="2"/>
  <c r="I5" i="2"/>
  <c r="F6" i="2"/>
  <c r="E6" i="2"/>
  <c r="D6" i="2"/>
  <c r="C6" i="2"/>
  <c r="B6" i="2"/>
  <c r="C5" i="2"/>
  <c r="D5" i="2"/>
  <c r="D7" i="2" s="1"/>
  <c r="D10" i="2" s="1"/>
  <c r="E5" i="2"/>
  <c r="F5" i="2"/>
  <c r="B5" i="2"/>
  <c r="C2" i="1" a="1"/>
  <c r="C2" i="1" s="1"/>
  <c r="C3" i="1" a="1"/>
  <c r="C3" i="1" s="1"/>
  <c r="N4" i="5" s="1"/>
  <c r="C4" i="1" a="1"/>
  <c r="C4" i="1" s="1"/>
  <c r="C5" i="1" a="1"/>
  <c r="C5" i="1" s="1"/>
  <c r="C8" i="3" s="1"/>
  <c r="C11" i="3" s="1"/>
  <c r="N18" i="6" s="1"/>
  <c r="C6" i="1" a="1"/>
  <c r="C6" i="1" s="1"/>
  <c r="C7" i="1" s="1"/>
  <c r="C8" i="1" a="1"/>
  <c r="C8" i="1" s="1"/>
  <c r="C9" i="1" s="1"/>
  <c r="C16" i="3" s="1"/>
  <c r="C10" i="1" a="1"/>
  <c r="C10" i="1" s="1"/>
  <c r="C11" i="1" a="1"/>
  <c r="C11" i="1" s="1"/>
  <c r="B11" i="1" a="1"/>
  <c r="B11" i="1" s="1"/>
  <c r="B10" i="1" a="1"/>
  <c r="B10" i="1" s="1"/>
  <c r="B8" i="1" a="1"/>
  <c r="B8" i="1" s="1"/>
  <c r="B9" i="1" s="1"/>
  <c r="B16" i="3" s="1"/>
  <c r="B6" i="1" a="1"/>
  <c r="B6" i="1" s="1"/>
  <c r="B7" i="1" s="1"/>
  <c r="B5" i="1" a="1"/>
  <c r="B5" i="1" s="1"/>
  <c r="B8" i="3" s="1"/>
  <c r="B4" i="1" a="1"/>
  <c r="B4" i="1" s="1"/>
  <c r="B3" i="1" a="1"/>
  <c r="B3" i="1" s="1"/>
  <c r="N3" i="5" s="1"/>
  <c r="B2" i="1" a="1"/>
  <c r="B2" i="1" s="1"/>
  <c r="U38" i="2" l="1"/>
  <c r="W11" i="3"/>
  <c r="W8" i="4" s="1"/>
  <c r="W4" i="4"/>
  <c r="AE4" i="4"/>
  <c r="AD5" i="4"/>
  <c r="AM3" i="4"/>
  <c r="AD11" i="3"/>
  <c r="AL8" i="4" s="1"/>
  <c r="AL4" i="4"/>
  <c r="AL5" i="4" s="1"/>
  <c r="AH6" i="4"/>
  <c r="S6" i="4"/>
  <c r="S9" i="4" s="1"/>
  <c r="Q41" i="2" s="1"/>
  <c r="R6" i="4"/>
  <c r="T6" i="4"/>
  <c r="T9" i="4" s="1"/>
  <c r="R41" i="2" s="1"/>
  <c r="AI6" i="4"/>
  <c r="AJ6" i="4"/>
  <c r="U6" i="4"/>
  <c r="U9" i="4" s="1"/>
  <c r="S41" i="2" s="1"/>
  <c r="AK6" i="4"/>
  <c r="AK9" i="4" s="1"/>
  <c r="V6" i="4"/>
  <c r="AQ6" i="4"/>
  <c r="AQ9" i="4" s="1"/>
  <c r="AP6" i="4"/>
  <c r="AR6" i="4"/>
  <c r="D53" i="6"/>
  <c r="AP7" i="4"/>
  <c r="AQ7" i="4"/>
  <c r="AR7" i="4"/>
  <c r="AD3" i="4"/>
  <c r="U18" i="3"/>
  <c r="AC7" i="4"/>
  <c r="AC6" i="4"/>
  <c r="AH7" i="4"/>
  <c r="AI7" i="4"/>
  <c r="R7" i="4"/>
  <c r="T7" i="4"/>
  <c r="AJ7" i="4"/>
  <c r="S7" i="4"/>
  <c r="U7" i="4"/>
  <c r="AK7" i="4"/>
  <c r="AL7" i="4"/>
  <c r="AL9" i="4" s="1"/>
  <c r="D55" i="6"/>
  <c r="B11" i="3"/>
  <c r="L11" i="5"/>
  <c r="N11" i="5"/>
  <c r="N10" i="5"/>
  <c r="O10" i="5"/>
  <c r="L10" i="5"/>
  <c r="J6" i="5"/>
  <c r="J13" i="5" s="1"/>
  <c r="N13" i="5" s="1"/>
  <c r="J5" i="5"/>
  <c r="J12" i="5" s="1"/>
  <c r="N12" i="5" s="1"/>
  <c r="J7" i="5"/>
  <c r="J14" i="5" s="1"/>
  <c r="N14" i="5" s="1"/>
  <c r="J8" i="5"/>
  <c r="J15" i="5" s="1"/>
  <c r="N15" i="5" s="1"/>
  <c r="H6" i="5"/>
  <c r="H13" i="5" s="1"/>
  <c r="L13" i="5" s="1"/>
  <c r="H5" i="5"/>
  <c r="H12" i="5" s="1"/>
  <c r="L12" i="5" s="1"/>
  <c r="H7" i="5"/>
  <c r="H14" i="5" s="1"/>
  <c r="L14" i="5" s="1"/>
  <c r="H8" i="5"/>
  <c r="H15" i="5" s="1"/>
  <c r="L15" i="5" s="1"/>
  <c r="J4" i="5"/>
  <c r="J11" i="5" s="1"/>
  <c r="K8" i="5"/>
  <c r="K15" i="5" s="1"/>
  <c r="O15" i="5" s="1"/>
  <c r="K5" i="5"/>
  <c r="K12" i="5" s="1"/>
  <c r="O12" i="5" s="1"/>
  <c r="K6" i="5"/>
  <c r="K13" i="5" s="1"/>
  <c r="O13" i="5" s="1"/>
  <c r="K7" i="5"/>
  <c r="K14" i="5" s="1"/>
  <c r="O14" i="5" s="1"/>
  <c r="K3" i="5"/>
  <c r="K10" i="5" s="1"/>
  <c r="K4" i="5"/>
  <c r="K11" i="5" s="1"/>
  <c r="O11" i="5" s="1"/>
  <c r="AS9" i="4"/>
  <c r="AU3" i="4"/>
  <c r="D56" i="6" s="1"/>
  <c r="AD18" i="3"/>
  <c r="AT8" i="4" s="1"/>
  <c r="AT4" i="4"/>
  <c r="AT5" i="4" s="1"/>
  <c r="AT6" i="4"/>
  <c r="AT7" i="4"/>
  <c r="AM7" i="4"/>
  <c r="D20" i="6" s="1"/>
  <c r="D27" i="6" s="1"/>
  <c r="D34" i="6" s="1"/>
  <c r="AM6" i="4"/>
  <c r="W5" i="4"/>
  <c r="W7" i="4"/>
  <c r="D18" i="6" s="1"/>
  <c r="D25" i="6" s="1"/>
  <c r="D32" i="6" s="1"/>
  <c r="W6" i="4"/>
  <c r="V9" i="4"/>
  <c r="T41" i="2" s="1"/>
  <c r="F7" i="2"/>
  <c r="B20" i="5" s="1"/>
  <c r="H3" i="5" s="1"/>
  <c r="H10" i="5" s="1"/>
  <c r="M7" i="2"/>
  <c r="I7" i="2"/>
  <c r="J7" i="2"/>
  <c r="J10" i="2" s="1"/>
  <c r="B7" i="3"/>
  <c r="J11" i="3" s="1"/>
  <c r="B8" i="4" s="1"/>
  <c r="K7" i="2"/>
  <c r="K10" i="2" s="1"/>
  <c r="B7" i="2"/>
  <c r="B10" i="2" s="1"/>
  <c r="C7" i="3"/>
  <c r="J18" i="3" s="1"/>
  <c r="J8" i="4" s="1"/>
  <c r="C7" i="2"/>
  <c r="C10" i="2" s="1"/>
  <c r="L7" i="2"/>
  <c r="L10" i="2" s="1"/>
  <c r="B6" i="4"/>
  <c r="B7" i="4"/>
  <c r="C3" i="4"/>
  <c r="I10" i="2"/>
  <c r="G3" i="6"/>
  <c r="I3" i="6" s="1"/>
  <c r="M10" i="2"/>
  <c r="B21" i="5"/>
  <c r="H4" i="5" s="1"/>
  <c r="H11" i="5" s="1"/>
  <c r="K3" i="4"/>
  <c r="C15" i="3"/>
  <c r="J17" i="4" s="1"/>
  <c r="J7" i="4"/>
  <c r="J6" i="4"/>
  <c r="F10" i="2"/>
  <c r="E7" i="2"/>
  <c r="E10" i="2" s="1"/>
  <c r="B21" i="4"/>
  <c r="Q17" i="6" s="1"/>
  <c r="J21" i="4"/>
  <c r="Q18" i="6" s="1"/>
  <c r="C17" i="5"/>
  <c r="B17" i="3"/>
  <c r="B18" i="3" s="1"/>
  <c r="AE3" i="4" l="1"/>
  <c r="V18" i="3"/>
  <c r="AD7" i="4"/>
  <c r="AD6" i="4"/>
  <c r="D54" i="6"/>
  <c r="L4" i="6"/>
  <c r="R9" i="4"/>
  <c r="AE5" i="4"/>
  <c r="I25" i="6" s="1"/>
  <c r="J5" i="6"/>
  <c r="D11" i="6"/>
  <c r="AP9" i="4"/>
  <c r="L6" i="6"/>
  <c r="AH9" i="4"/>
  <c r="U39" i="2"/>
  <c r="J4" i="6"/>
  <c r="D13" i="6"/>
  <c r="U40" i="2"/>
  <c r="I24" i="6"/>
  <c r="AJ9" i="4"/>
  <c r="AM4" i="4"/>
  <c r="AE11" i="3"/>
  <c r="AM8" i="4" s="1"/>
  <c r="AR9" i="4"/>
  <c r="AI9" i="4"/>
  <c r="N17" i="6"/>
  <c r="I6" i="5"/>
  <c r="I5" i="5"/>
  <c r="I7" i="5"/>
  <c r="I8" i="5"/>
  <c r="AT9" i="4"/>
  <c r="AU4" i="4"/>
  <c r="AE18" i="3"/>
  <c r="AU8" i="4" s="1"/>
  <c r="AU7" i="4"/>
  <c r="D21" i="6" s="1"/>
  <c r="D28" i="6" s="1"/>
  <c r="D35" i="6" s="1"/>
  <c r="AU6" i="4"/>
  <c r="L7" i="6" s="1"/>
  <c r="W9" i="4"/>
  <c r="G2" i="6"/>
  <c r="I2" i="6" s="1"/>
  <c r="I8" i="6" s="1"/>
  <c r="C17" i="3"/>
  <c r="C18" i="3" s="1"/>
  <c r="AR10" i="2" a="1"/>
  <c r="AR10" i="2" s="1"/>
  <c r="C4" i="3"/>
  <c r="J4" i="4" s="1"/>
  <c r="J5" i="4" s="1"/>
  <c r="B4" i="3"/>
  <c r="B4" i="4" s="1"/>
  <c r="B5" i="4" s="1"/>
  <c r="AR14" i="2" a="1"/>
  <c r="AR14" i="2" s="1"/>
  <c r="K6" i="4"/>
  <c r="K7" i="4"/>
  <c r="L3" i="4"/>
  <c r="C7" i="4"/>
  <c r="D3" i="4"/>
  <c r="C6" i="4"/>
  <c r="K18" i="3"/>
  <c r="K8" i="4" s="1"/>
  <c r="AR9" i="2" a="1"/>
  <c r="AR9" i="2" s="1"/>
  <c r="C21" i="5"/>
  <c r="I4" i="5" s="1"/>
  <c r="C20" i="5"/>
  <c r="I3" i="5" s="1"/>
  <c r="K11" i="3"/>
  <c r="C8" i="4" s="1"/>
  <c r="AR15" i="2" a="1"/>
  <c r="AR15" i="2" s="1"/>
  <c r="B19" i="3"/>
  <c r="D14" i="6" l="1"/>
  <c r="AU5" i="4"/>
  <c r="I27" i="6" s="1"/>
  <c r="J7" i="6"/>
  <c r="D60" i="6"/>
  <c r="K4" i="6"/>
  <c r="M4" i="6" s="1"/>
  <c r="N4" i="6" s="1"/>
  <c r="O4" i="6" s="1"/>
  <c r="K6" i="6"/>
  <c r="D62" i="6"/>
  <c r="U41" i="2"/>
  <c r="R13" i="4"/>
  <c r="R14" i="4" s="1"/>
  <c r="J6" i="6"/>
  <c r="N6" i="6" s="1"/>
  <c r="O6" i="6" s="1"/>
  <c r="AM5" i="4"/>
  <c r="W18" i="3"/>
  <c r="AE7" i="4"/>
  <c r="D19" i="6" s="1"/>
  <c r="D26" i="6" s="1"/>
  <c r="D33" i="6" s="1"/>
  <c r="AE6" i="4"/>
  <c r="L5" i="6" s="1"/>
  <c r="M6" i="6"/>
  <c r="P41" i="2"/>
  <c r="R15" i="4"/>
  <c r="B20" i="3"/>
  <c r="M8" i="5"/>
  <c r="O8" i="5" s="1"/>
  <c r="I15" i="5"/>
  <c r="M15" i="5" s="1"/>
  <c r="M7" i="5"/>
  <c r="O7" i="5" s="1"/>
  <c r="I14" i="5"/>
  <c r="M14" i="5" s="1"/>
  <c r="M5" i="5"/>
  <c r="O5" i="5" s="1"/>
  <c r="I12" i="5"/>
  <c r="M12" i="5" s="1"/>
  <c r="M3" i="5"/>
  <c r="O3" i="5" s="1"/>
  <c r="I10" i="5"/>
  <c r="M10" i="5" s="1"/>
  <c r="M4" i="5"/>
  <c r="O4" i="5" s="1"/>
  <c r="I11" i="5"/>
  <c r="M11" i="5" s="1"/>
  <c r="M6" i="5"/>
  <c r="O6" i="5" s="1"/>
  <c r="I13" i="5"/>
  <c r="M13" i="5" s="1"/>
  <c r="AU9" i="4"/>
  <c r="AP13" i="4" s="1"/>
  <c r="AP14" i="4" s="1"/>
  <c r="AP15" i="4"/>
  <c r="C19" i="3"/>
  <c r="C20" i="3" s="1"/>
  <c r="C4" i="4"/>
  <c r="C5" i="4" s="1"/>
  <c r="C9" i="4" s="1"/>
  <c r="K4" i="4"/>
  <c r="K5" i="4" s="1"/>
  <c r="K9" i="4" s="1"/>
  <c r="J9" i="4"/>
  <c r="E3" i="4"/>
  <c r="D7" i="4"/>
  <c r="D6" i="4"/>
  <c r="D4" i="4"/>
  <c r="D5" i="4" s="1"/>
  <c r="L11" i="3"/>
  <c r="D8" i="4" s="1"/>
  <c r="B9" i="4"/>
  <c r="M3" i="4"/>
  <c r="L7" i="4"/>
  <c r="L4" i="4"/>
  <c r="L5" i="4" s="1"/>
  <c r="L6" i="4"/>
  <c r="L18" i="3"/>
  <c r="L8" i="4" s="1"/>
  <c r="D12" i="6" l="1"/>
  <c r="I26" i="6"/>
  <c r="AM9" i="4"/>
  <c r="K7" i="6"/>
  <c r="M7" i="6" s="1"/>
  <c r="N7" i="6" s="1"/>
  <c r="D63" i="6"/>
  <c r="AP16" i="4"/>
  <c r="AP18" i="4" s="1"/>
  <c r="AP20" i="4" s="1"/>
  <c r="AP22" i="4" s="1"/>
  <c r="R16" i="4"/>
  <c r="R18" i="4" s="1"/>
  <c r="R20" i="4" s="1"/>
  <c r="R22" i="4" s="1"/>
  <c r="D9" i="4"/>
  <c r="L9" i="4"/>
  <c r="F3" i="4"/>
  <c r="E7" i="4"/>
  <c r="E6" i="4"/>
  <c r="E4" i="4"/>
  <c r="E5" i="4" s="1"/>
  <c r="M11" i="3"/>
  <c r="E8" i="4" s="1"/>
  <c r="N3" i="4"/>
  <c r="M7" i="4"/>
  <c r="M4" i="4"/>
  <c r="M5" i="4" s="1"/>
  <c r="M6" i="4"/>
  <c r="M18" i="3"/>
  <c r="M8" i="4" s="1"/>
  <c r="O7" i="6" l="1"/>
  <c r="AH13" i="4"/>
  <c r="AH14" i="4" s="1"/>
  <c r="AH15" i="4"/>
  <c r="D61" i="6"/>
  <c r="K5" i="6"/>
  <c r="M5" i="6" s="1"/>
  <c r="N5" i="6" s="1"/>
  <c r="O5" i="6" s="1"/>
  <c r="E9" i="4"/>
  <c r="G3" i="4"/>
  <c r="D51" i="6" s="1"/>
  <c r="D57" i="6" s="1"/>
  <c r="F6" i="4"/>
  <c r="F4" i="4"/>
  <c r="F7" i="4"/>
  <c r="N11" i="3"/>
  <c r="F8" i="4" s="1"/>
  <c r="M9" i="4"/>
  <c r="O3" i="4"/>
  <c r="D52" i="6" s="1"/>
  <c r="N6" i="4"/>
  <c r="N7" i="4"/>
  <c r="N4" i="4"/>
  <c r="N5" i="4" s="1"/>
  <c r="N18" i="3"/>
  <c r="N8" i="4" s="1"/>
  <c r="AH16" i="4" l="1"/>
  <c r="AH18" i="4" s="1"/>
  <c r="AH20" i="4" s="1"/>
  <c r="AH22" i="4" s="1"/>
  <c r="N9" i="4"/>
  <c r="F5" i="4"/>
  <c r="F9" i="4" s="1"/>
  <c r="O6" i="4"/>
  <c r="L3" i="6" s="1"/>
  <c r="O7" i="4"/>
  <c r="D17" i="6" s="1"/>
  <c r="O4" i="4"/>
  <c r="O18" i="3"/>
  <c r="O8" i="4" s="1"/>
  <c r="AR24" i="2" a="1"/>
  <c r="AR24" i="2" s="1"/>
  <c r="O11" i="3"/>
  <c r="G8" i="4" s="1"/>
  <c r="G6" i="4"/>
  <c r="G4" i="4"/>
  <c r="AR19" i="2" s="1" a="1"/>
  <c r="AR19" i="2" s="1"/>
  <c r="G7" i="4"/>
  <c r="AR18" i="2" a="1"/>
  <c r="AR18" i="2" s="1"/>
  <c r="D16" i="6" l="1"/>
  <c r="D22" i="6" s="1"/>
  <c r="D29" i="6" s="1"/>
  <c r="D36" i="6" s="1"/>
  <c r="D9" i="6"/>
  <c r="D10" i="6"/>
  <c r="D59" i="6" s="1"/>
  <c r="L2" i="6"/>
  <c r="J3" i="6"/>
  <c r="O5" i="4"/>
  <c r="D24" i="6" s="1"/>
  <c r="D31" i="6" s="1"/>
  <c r="AR25" i="2" a="1"/>
  <c r="AR25" i="2" s="1"/>
  <c r="J2" i="6"/>
  <c r="G5" i="4"/>
  <c r="D23" i="6" s="1"/>
  <c r="D30" i="6" s="1"/>
  <c r="D58" i="6" l="1"/>
  <c r="D64" i="6" s="1"/>
  <c r="D15" i="6"/>
  <c r="K3" i="6"/>
  <c r="M3" i="6" s="1"/>
  <c r="N3" i="6" s="1"/>
  <c r="O3" i="6" s="1"/>
  <c r="I22" i="6"/>
  <c r="I28" i="6" s="1"/>
  <c r="I19" i="6" s="1"/>
  <c r="I23" i="6"/>
  <c r="O9" i="4"/>
  <c r="AR26" i="2" a="1"/>
  <c r="AR26" i="2" s="1"/>
  <c r="AR20" i="2" a="1"/>
  <c r="AR20" i="2" s="1"/>
  <c r="K2" i="6"/>
  <c r="M2" i="6" s="1"/>
  <c r="N2" i="6" s="1"/>
  <c r="G9" i="4"/>
  <c r="O2" i="6" l="1"/>
  <c r="O8" i="6" s="1"/>
  <c r="N8" i="6"/>
  <c r="J13" i="4"/>
  <c r="J14" i="4" s="1"/>
  <c r="J15" i="4"/>
  <c r="AR27" i="2" a="1"/>
  <c r="AR27" i="2" s="1"/>
  <c r="B13" i="4"/>
  <c r="B14" i="4" s="1"/>
  <c r="B15" i="4"/>
  <c r="AR21" i="2" a="1"/>
  <c r="AR21" i="2" s="1"/>
  <c r="J16" i="4" l="1"/>
  <c r="J18" i="4" s="1"/>
  <c r="J20" i="4" s="1"/>
  <c r="P18" i="6" s="1"/>
  <c r="R18" i="6" s="1"/>
  <c r="B16" i="4"/>
  <c r="B18" i="4" s="1"/>
  <c r="B20" i="4" s="1"/>
  <c r="J22" i="4" l="1"/>
  <c r="P17" i="6"/>
  <c r="R17" i="6" s="1"/>
  <c r="B22" i="4"/>
  <c r="AE8" i="4"/>
  <c r="AE9" i="4" s="1"/>
  <c r="Z13" i="4" s="1"/>
  <c r="Z14" i="4" s="1"/>
  <c r="Z8" i="4"/>
  <c r="Z9" i="4" s="1"/>
  <c r="AA8" i="4"/>
  <c r="AA9" i="4" s="1"/>
  <c r="AB8" i="4"/>
  <c r="AB9" i="4" s="1"/>
  <c r="AD8" i="4"/>
  <c r="AD9" i="4" s="1"/>
  <c r="AC8" i="4"/>
  <c r="AC9" i="4" s="1"/>
  <c r="Z15" i="4" l="1"/>
  <c r="Z16" i="4" s="1"/>
  <c r="Z18" i="4" s="1"/>
  <c r="Z20" i="4" s="1"/>
  <c r="Z22"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6">
    <bk>
      <extLst>
        <ext uri="{3e2802c4-a4d2-4d8b-9148-e3be6c30e623}">
          <xlrd:rvb i="6"/>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futureMetadata>
  <cellMetadata count="1">
    <bk>
      <rc t="1" v="0"/>
    </bk>
  </cellMetadata>
  <valueMetadata count="16">
    <bk>
      <rc t="2" v="0"/>
    </bk>
    <bk>
      <rc t="2" v="1"/>
    </bk>
    <bk>
      <rc t="2" v="2"/>
    </bk>
    <bk>
      <rc t="2" v="3"/>
    </bk>
    <bk>
      <rc t="2" v="4"/>
    </bk>
    <bk>
      <rc t="2" v="5"/>
    </bk>
    <bk>
      <rc t="2" v="6"/>
    </bk>
    <bk>
      <rc t="2" v="7"/>
    </bk>
    <bk>
      <rc t="2" v="8"/>
    </bk>
    <bk>
      <rc t="2" v="9"/>
    </bk>
    <bk>
      <rc t="2" v="10"/>
    </bk>
    <bk>
      <rc t="2" v="11"/>
    </bk>
    <bk>
      <rc t="2" v="12"/>
    </bk>
    <bk>
      <rc t="2" v="13"/>
    </bk>
    <bk>
      <rc t="2" v="14"/>
    </bk>
    <bk>
      <rc t="2" v="15"/>
    </bk>
  </valueMetadata>
</metadata>
</file>

<file path=xl/sharedStrings.xml><?xml version="1.0" encoding="utf-8"?>
<sst xmlns="http://schemas.openxmlformats.org/spreadsheetml/2006/main" count="741" uniqueCount="134">
  <si>
    <t>Company</t>
  </si>
  <si>
    <t>General Motors</t>
  </si>
  <si>
    <t>Official Name</t>
  </si>
  <si>
    <t>Share Price</t>
  </si>
  <si>
    <t>Change (%)</t>
  </si>
  <si>
    <t>Beta</t>
  </si>
  <si>
    <t>Shares Outstanding</t>
  </si>
  <si>
    <t>Market Cap</t>
  </si>
  <si>
    <t>in mn</t>
  </si>
  <si>
    <t>P/E</t>
  </si>
  <si>
    <t>Year</t>
  </si>
  <si>
    <t>Particulars</t>
  </si>
  <si>
    <t>Total Revenue</t>
  </si>
  <si>
    <t>Cost of Goods Sold</t>
  </si>
  <si>
    <t>Gross Profit</t>
  </si>
  <si>
    <t>Operating expenses</t>
  </si>
  <si>
    <t>Operating income (EBIT)</t>
  </si>
  <si>
    <t>Interest expense</t>
  </si>
  <si>
    <t>Income tax</t>
  </si>
  <si>
    <t>Net Income</t>
  </si>
  <si>
    <t>Income Statement</t>
  </si>
  <si>
    <t>Balance Sheet</t>
  </si>
  <si>
    <t>Total Current assets</t>
  </si>
  <si>
    <t>Cash and cash equivalents</t>
  </si>
  <si>
    <t>Total current liabilities</t>
  </si>
  <si>
    <t>Inventories</t>
  </si>
  <si>
    <t>Receivables</t>
  </si>
  <si>
    <t>Payables</t>
  </si>
  <si>
    <t>PPE</t>
  </si>
  <si>
    <t>Total debt</t>
  </si>
  <si>
    <t>Shareholder's equity</t>
  </si>
  <si>
    <t>Cash flow statement</t>
  </si>
  <si>
    <t>Net cash flow Operating activities</t>
  </si>
  <si>
    <t>Capex</t>
  </si>
  <si>
    <t>Depreciation &amp; Amortization</t>
  </si>
  <si>
    <t>Dividends paid</t>
  </si>
  <si>
    <t>Debt repaid</t>
  </si>
  <si>
    <t>2020</t>
  </si>
  <si>
    <t>2021</t>
  </si>
  <si>
    <t>2022</t>
  </si>
  <si>
    <t>2023</t>
  </si>
  <si>
    <t>2024</t>
  </si>
  <si>
    <t>Ford</t>
  </si>
  <si>
    <t>Assumptions</t>
  </si>
  <si>
    <t>Metric</t>
  </si>
  <si>
    <t>Value</t>
  </si>
  <si>
    <t>Revenue CAGR</t>
  </si>
  <si>
    <t>GM</t>
  </si>
  <si>
    <t>Operating margin</t>
  </si>
  <si>
    <t>Tax rate</t>
  </si>
  <si>
    <t>Depreciation rate</t>
  </si>
  <si>
    <t>Total Debt</t>
  </si>
  <si>
    <t>Market cap</t>
  </si>
  <si>
    <t>Total Capital</t>
  </si>
  <si>
    <t>Weight of debt</t>
  </si>
  <si>
    <t>Weight of equity</t>
  </si>
  <si>
    <t>Equity risk premium</t>
  </si>
  <si>
    <t>Risk free rate</t>
  </si>
  <si>
    <t>Cost of equity</t>
  </si>
  <si>
    <t>Cost of debt (pre-tax)</t>
  </si>
  <si>
    <t>Cost of debt (after-tax)</t>
  </si>
  <si>
    <t>WACC</t>
  </si>
  <si>
    <t>Terminal Growth</t>
  </si>
  <si>
    <t>Working Capital</t>
  </si>
  <si>
    <t>2025</t>
  </si>
  <si>
    <t>2026</t>
  </si>
  <si>
    <t>2027</t>
  </si>
  <si>
    <t>2028</t>
  </si>
  <si>
    <t>2029</t>
  </si>
  <si>
    <t>2030</t>
  </si>
  <si>
    <t>Working capital</t>
  </si>
  <si>
    <t>DCF</t>
  </si>
  <si>
    <t>Revenue</t>
  </si>
  <si>
    <t>Outstanding shares</t>
  </si>
  <si>
    <t>EBIT</t>
  </si>
  <si>
    <t>NOPAT</t>
  </si>
  <si>
    <t>Depreciation</t>
  </si>
  <si>
    <t xml:space="preserve"> Change in Working capital</t>
  </si>
  <si>
    <t>FCFF</t>
  </si>
  <si>
    <t>Metrics</t>
  </si>
  <si>
    <t>Terminal Value</t>
  </si>
  <si>
    <t>PV of Terminal value</t>
  </si>
  <si>
    <t>PV of FCFF</t>
  </si>
  <si>
    <t>Total enterprise value</t>
  </si>
  <si>
    <t>Net debt</t>
  </si>
  <si>
    <t>Total equity value</t>
  </si>
  <si>
    <t>Intrinsic value</t>
  </si>
  <si>
    <t>Current market price</t>
  </si>
  <si>
    <t>Upside/Downside</t>
  </si>
  <si>
    <t>EV/EBITDA</t>
  </si>
  <si>
    <t>P/S</t>
  </si>
  <si>
    <t>P/B</t>
  </si>
  <si>
    <t>Relative Valuation</t>
  </si>
  <si>
    <t>Ford Motors</t>
  </si>
  <si>
    <t>Average</t>
  </si>
  <si>
    <t>EBITDA</t>
  </si>
  <si>
    <t>Book Value</t>
  </si>
  <si>
    <t>2020-24</t>
  </si>
  <si>
    <t>Avg Capex</t>
  </si>
  <si>
    <t>Change in EBIT (Historical)</t>
  </si>
  <si>
    <t>Change in CE</t>
  </si>
  <si>
    <t>Incremental ROCE (Historical)</t>
  </si>
  <si>
    <t>Change in EBIT (Forecast)</t>
  </si>
  <si>
    <t>Effective Capital</t>
  </si>
  <si>
    <t>Raw ROCE</t>
  </si>
  <si>
    <t>Adjusted ROCE (forecast)</t>
  </si>
  <si>
    <t>GDP</t>
  </si>
  <si>
    <t>Change</t>
  </si>
  <si>
    <t>Sensitivity</t>
  </si>
  <si>
    <t>Operating income</t>
  </si>
  <si>
    <t>Net income</t>
  </si>
  <si>
    <t>FCFE</t>
  </si>
  <si>
    <t>Terminal growth</t>
  </si>
  <si>
    <t>Rivian</t>
  </si>
  <si>
    <t>Stellantis</t>
  </si>
  <si>
    <t>Tesla</t>
  </si>
  <si>
    <t>Harley</t>
  </si>
  <si>
    <t>WC-F</t>
  </si>
  <si>
    <t>Shares</t>
  </si>
  <si>
    <t>Target price</t>
  </si>
  <si>
    <t>Current price</t>
  </si>
  <si>
    <t>U/D</t>
  </si>
  <si>
    <t>Target Price</t>
  </si>
  <si>
    <t>Avg</t>
  </si>
  <si>
    <t>Average Capex</t>
  </si>
  <si>
    <t>2025-30</t>
  </si>
  <si>
    <t>Capex CAGR</t>
  </si>
  <si>
    <t>Earnings Change</t>
  </si>
  <si>
    <t>Avg Earnings change</t>
  </si>
  <si>
    <t>Earnings CAGR</t>
  </si>
  <si>
    <t>EBITDA Margin</t>
  </si>
  <si>
    <t>NPM</t>
  </si>
  <si>
    <t>Avg Revenue (Exp)</t>
  </si>
  <si>
    <t>Capex Intensity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</si>
</sst>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409]* #,##0.00_);_([$$-409]* \(#,##0.00\);_([$$-409]* &quot;-&quot;??_);_(@_)"/>
    <numFmt numFmtId="165" formatCode="_([$$-409]* #,##0_);_([$$-409]* \(#,##0\);_([$$-409]* &quot;-&quot;_);_(@_)"/>
    <numFmt numFmtId="166" formatCode="_-[$$-409]* #,##0.00_ ;_-[$$-409]* \-#,##0.00\ ;_-[$$-409]* &quot;-&quot;??_ ;_-@_ "/>
    <numFmt numFmtId="167" formatCode="0.0%"/>
  </numFmts>
  <fonts count="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s>
  <fills count="9">
    <fill>
      <patternFill patternType="none"/>
    </fill>
    <fill>
      <patternFill patternType="gray125"/>
    </fill>
    <fill>
      <patternFill patternType="solid">
        <fgColor theme="5"/>
        <bgColor theme="5"/>
      </patternFill>
    </fill>
    <fill>
      <patternFill patternType="solid">
        <fgColor theme="0" tint="-0.14999847407452621"/>
        <bgColor theme="0" tint="-0.14999847407452621"/>
      </patternFill>
    </fill>
    <fill>
      <patternFill patternType="solid">
        <fgColor rgb="FFC00000"/>
        <bgColor indexed="64"/>
      </patternFill>
    </fill>
    <fill>
      <patternFill patternType="solid">
        <fgColor theme="0"/>
        <bgColor indexed="64"/>
      </patternFill>
    </fill>
    <fill>
      <patternFill patternType="solid">
        <fgColor theme="5"/>
        <bgColor indexed="64"/>
      </patternFill>
    </fill>
    <fill>
      <patternFill patternType="solid">
        <fgColor theme="6" tint="0.59999389629810485"/>
        <bgColor theme="6" tint="0.59999389629810485"/>
      </patternFill>
    </fill>
    <fill>
      <patternFill patternType="solid">
        <fgColor theme="6" tint="0.79998168889431442"/>
        <bgColor theme="6" tint="0.79998168889431442"/>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12">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right" vertical="center" wrapText="1"/>
    </xf>
    <xf numFmtId="0" fontId="0" fillId="0" borderId="1" xfId="0" applyBorder="1" applyAlignment="1">
      <alignment vertical="center" wrapText="1"/>
    </xf>
    <xf numFmtId="0" fontId="0" fillId="0" borderId="1" xfId="0" applyBorder="1" applyAlignment="1">
      <alignment horizontal="right" vertical="center" wrapText="1"/>
    </xf>
    <xf numFmtId="0" fontId="0" fillId="0" borderId="1" xfId="0" applyBorder="1" applyAlignment="1">
      <alignment vertical="center"/>
    </xf>
    <xf numFmtId="164" fontId="0" fillId="0" borderId="1" xfId="0" applyNumberFormat="1" applyBorder="1" applyAlignment="1">
      <alignment horizontal="right" vertical="center"/>
    </xf>
    <xf numFmtId="10" fontId="0" fillId="0" borderId="1" xfId="0" applyNumberFormat="1" applyBorder="1" applyAlignment="1">
      <alignment horizontal="right" vertical="center"/>
    </xf>
    <xf numFmtId="4" fontId="0" fillId="0" borderId="1" xfId="0" applyNumberFormat="1" applyBorder="1" applyAlignment="1">
      <alignment horizontal="right" vertical="center"/>
    </xf>
    <xf numFmtId="3" fontId="0" fillId="0" borderId="1" xfId="0" applyNumberFormat="1" applyBorder="1" applyAlignment="1">
      <alignment horizontal="right" vertical="center"/>
    </xf>
    <xf numFmtId="0" fontId="0" fillId="0" borderId="1" xfId="0" applyBorder="1" applyAlignment="1">
      <alignment horizontal="right" vertical="center"/>
    </xf>
    <xf numFmtId="165" fontId="0" fillId="0" borderId="1" xfId="0" applyNumberFormat="1" applyBorder="1" applyAlignment="1">
      <alignment horizontal="right" vertical="center"/>
    </xf>
    <xf numFmtId="166" fontId="0" fillId="0" borderId="1" xfId="0" applyNumberFormat="1" applyBorder="1" applyAlignment="1">
      <alignment horizontal="right" vertical="center"/>
    </xf>
    <xf numFmtId="1" fontId="0" fillId="0" borderId="1" xfId="0" applyNumberFormat="1" applyBorder="1" applyAlignment="1">
      <alignment horizontal="right" vertical="center"/>
    </xf>
    <xf numFmtId="0" fontId="0" fillId="0" borderId="0" xfId="0" applyAlignment="1">
      <alignment horizontal="right" vertical="center"/>
    </xf>
    <xf numFmtId="0" fontId="0" fillId="0" borderId="0" xfId="0" applyAlignment="1">
      <alignment horizontal="center" vertical="center"/>
    </xf>
    <xf numFmtId="0" fontId="3" fillId="0" borderId="0" xfId="0" applyFont="1" applyAlignment="1">
      <alignment vertical="center"/>
    </xf>
    <xf numFmtId="43" fontId="0" fillId="0" borderId="0" xfId="1" applyFont="1" applyAlignment="1">
      <alignment vertical="center"/>
    </xf>
    <xf numFmtId="0" fontId="3" fillId="0" borderId="0" xfId="0" applyFont="1" applyAlignment="1">
      <alignment horizontal="center" vertical="center"/>
    </xf>
    <xf numFmtId="43" fontId="0" fillId="0" borderId="0" xfId="1" applyFont="1" applyAlignment="1">
      <alignment horizontal="right" vertical="center"/>
    </xf>
    <xf numFmtId="43" fontId="0" fillId="0" borderId="1" xfId="1" applyFont="1" applyBorder="1" applyAlignment="1">
      <alignment horizontal="right" vertical="center"/>
    </xf>
    <xf numFmtId="10" fontId="0" fillId="0" borderId="0" xfId="2" applyNumberFormat="1" applyFont="1" applyAlignment="1">
      <alignment horizontal="right" vertical="center"/>
    </xf>
    <xf numFmtId="10" fontId="0" fillId="0" borderId="0" xfId="2" applyNumberFormat="1" applyFont="1" applyAlignment="1">
      <alignment vertical="center"/>
    </xf>
    <xf numFmtId="49" fontId="0" fillId="0" borderId="0" xfId="2" applyNumberFormat="1" applyFont="1" applyAlignment="1">
      <alignment vertical="center"/>
    </xf>
    <xf numFmtId="0" fontId="0" fillId="0" borderId="0" xfId="2" applyNumberFormat="1" applyFont="1" applyAlignment="1">
      <alignment horizontal="center" vertical="center"/>
    </xf>
    <xf numFmtId="10" fontId="3" fillId="0" borderId="0" xfId="2" applyNumberFormat="1" applyFont="1" applyAlignment="1">
      <alignment horizontal="center" vertical="center"/>
    </xf>
    <xf numFmtId="10" fontId="0" fillId="0" borderId="1" xfId="2" applyNumberFormat="1" applyFont="1" applyBorder="1" applyAlignment="1">
      <alignment vertical="center"/>
    </xf>
    <xf numFmtId="0" fontId="0" fillId="0" borderId="1" xfId="2" applyNumberFormat="1" applyFont="1" applyBorder="1" applyAlignment="1">
      <alignment horizontal="center" vertical="center"/>
    </xf>
    <xf numFmtId="43" fontId="0" fillId="0" borderId="1" xfId="2" applyNumberFormat="1" applyFont="1" applyBorder="1" applyAlignment="1">
      <alignment vertical="center"/>
    </xf>
    <xf numFmtId="43" fontId="0" fillId="0" borderId="1" xfId="1" applyFont="1" applyBorder="1" applyAlignment="1">
      <alignment vertical="center"/>
    </xf>
    <xf numFmtId="10" fontId="0" fillId="0" borderId="1" xfId="2" applyNumberFormat="1" applyFont="1" applyBorder="1" applyAlignment="1">
      <alignment horizontal="right" vertical="center"/>
    </xf>
    <xf numFmtId="0" fontId="3" fillId="0" borderId="1" xfId="0" applyFont="1" applyBorder="1" applyAlignment="1">
      <alignment vertical="center"/>
    </xf>
    <xf numFmtId="0" fontId="0" fillId="0" borderId="5" xfId="0" applyBorder="1" applyAlignment="1">
      <alignment vertical="center"/>
    </xf>
    <xf numFmtId="0" fontId="0" fillId="0" borderId="4" xfId="0" applyBorder="1" applyAlignment="1">
      <alignment vertical="center"/>
    </xf>
    <xf numFmtId="43" fontId="3" fillId="0" borderId="7" xfId="1" applyFont="1" applyBorder="1" applyAlignment="1">
      <alignment horizontal="right" vertical="center"/>
    </xf>
    <xf numFmtId="0" fontId="2" fillId="2" borderId="2" xfId="0" applyFont="1" applyFill="1" applyBorder="1" applyAlignment="1">
      <alignment vertical="center"/>
    </xf>
    <xf numFmtId="0" fontId="2" fillId="2" borderId="3" xfId="0" applyFont="1" applyFill="1" applyBorder="1" applyAlignment="1">
      <alignment horizontal="right" vertical="center"/>
    </xf>
    <xf numFmtId="0" fontId="0" fillId="3" borderId="2" xfId="0" applyFill="1" applyBorder="1" applyAlignment="1">
      <alignment vertical="center"/>
    </xf>
    <xf numFmtId="10" fontId="0" fillId="3" borderId="2" xfId="2" applyNumberFormat="1" applyFont="1" applyFill="1" applyBorder="1" applyAlignment="1">
      <alignment horizontal="right" vertical="center"/>
    </xf>
    <xf numFmtId="0" fontId="3" fillId="3" borderId="2" xfId="0" applyFont="1" applyFill="1" applyBorder="1" applyAlignment="1">
      <alignment vertical="center"/>
    </xf>
    <xf numFmtId="10" fontId="3" fillId="3" borderId="2" xfId="2" applyNumberFormat="1" applyFont="1" applyFill="1" applyBorder="1" applyAlignment="1">
      <alignment horizontal="right" vertical="center"/>
    </xf>
    <xf numFmtId="43" fontId="0" fillId="3" borderId="2" xfId="1" applyFont="1" applyFill="1" applyBorder="1" applyAlignment="1">
      <alignment horizontal="right" vertical="center"/>
    </xf>
    <xf numFmtId="43" fontId="3" fillId="0" borderId="1" xfId="1" applyFont="1" applyBorder="1" applyAlignment="1">
      <alignment horizontal="right" vertical="center"/>
    </xf>
    <xf numFmtId="43" fontId="0" fillId="0" borderId="0" xfId="0" applyNumberFormat="1" applyAlignment="1">
      <alignment vertical="center"/>
    </xf>
    <xf numFmtId="43" fontId="0" fillId="0" borderId="0" xfId="0" applyNumberFormat="1" applyAlignment="1">
      <alignment horizontal="center" vertical="center"/>
    </xf>
    <xf numFmtId="43" fontId="0" fillId="0" borderId="0" xfId="1" applyFont="1" applyAlignment="1">
      <alignment horizontal="center" vertical="center"/>
    </xf>
    <xf numFmtId="0" fontId="0" fillId="0" borderId="0" xfId="2" applyNumberFormat="1" applyFont="1" applyBorder="1" applyAlignment="1">
      <alignment horizontal="center" vertical="center"/>
    </xf>
    <xf numFmtId="43" fontId="3" fillId="0" borderId="0" xfId="0" applyNumberFormat="1" applyFont="1" applyAlignment="1">
      <alignment vertical="center"/>
    </xf>
    <xf numFmtId="43" fontId="3" fillId="0" borderId="0" xfId="0" applyNumberFormat="1" applyFont="1" applyAlignment="1">
      <alignment horizontal="center" vertical="center"/>
    </xf>
    <xf numFmtId="0" fontId="3" fillId="0" borderId="7" xfId="0" applyFont="1" applyBorder="1" applyAlignment="1">
      <alignment vertical="center"/>
    </xf>
    <xf numFmtId="43" fontId="3" fillId="0" borderId="0" xfId="1" applyFont="1" applyBorder="1" applyAlignment="1">
      <alignment horizontal="right" vertical="center"/>
    </xf>
    <xf numFmtId="49" fontId="0" fillId="0" borderId="0" xfId="1" applyNumberFormat="1" applyFont="1" applyAlignment="1">
      <alignment horizontal="left" vertical="center"/>
    </xf>
    <xf numFmtId="43" fontId="0" fillId="0" borderId="1" xfId="0" applyNumberFormat="1" applyBorder="1" applyAlignment="1">
      <alignment horizontal="center" vertical="center"/>
    </xf>
    <xf numFmtId="43" fontId="0" fillId="0" borderId="1" xfId="1" applyFont="1" applyBorder="1" applyAlignment="1">
      <alignment horizontal="center" vertical="center"/>
    </xf>
    <xf numFmtId="43" fontId="0" fillId="0" borderId="0" xfId="0" applyNumberFormat="1" applyAlignment="1">
      <alignment horizontal="right" vertical="center"/>
    </xf>
    <xf numFmtId="43" fontId="0" fillId="0" borderId="0" xfId="1" applyFont="1" applyBorder="1" applyAlignment="1">
      <alignment horizontal="right" vertical="center"/>
    </xf>
    <xf numFmtId="0" fontId="2" fillId="4" borderId="2" xfId="0" applyFont="1" applyFill="1" applyBorder="1" applyAlignment="1">
      <alignment vertical="center"/>
    </xf>
    <xf numFmtId="0" fontId="2" fillId="4" borderId="3" xfId="0" applyFont="1" applyFill="1" applyBorder="1" applyAlignment="1">
      <alignment horizontal="right" vertical="center"/>
    </xf>
    <xf numFmtId="0" fontId="2" fillId="4" borderId="4" xfId="0" applyFont="1" applyFill="1" applyBorder="1" applyAlignment="1">
      <alignment horizontal="right" vertical="center"/>
    </xf>
    <xf numFmtId="0" fontId="0" fillId="5" borderId="6" xfId="0" applyFill="1" applyBorder="1" applyAlignment="1">
      <alignment vertical="center"/>
    </xf>
    <xf numFmtId="0" fontId="0" fillId="5" borderId="8" xfId="0" applyFill="1" applyBorder="1" applyAlignment="1">
      <alignment horizontal="right" vertical="center"/>
    </xf>
    <xf numFmtId="0" fontId="0" fillId="5" borderId="5" xfId="0" applyFill="1" applyBorder="1" applyAlignment="1">
      <alignment horizontal="right" vertical="center"/>
    </xf>
    <xf numFmtId="43" fontId="3" fillId="0" borderId="1" xfId="0" applyNumberFormat="1" applyFont="1" applyBorder="1" applyAlignment="1">
      <alignment horizontal="right" vertical="center"/>
    </xf>
    <xf numFmtId="0" fontId="3" fillId="4" borderId="0" xfId="0" applyFont="1" applyFill="1" applyAlignment="1">
      <alignment vertical="center" wrapText="1"/>
    </xf>
    <xf numFmtId="0" fontId="3" fillId="4" borderId="0" xfId="0" applyFont="1" applyFill="1" applyAlignment="1">
      <alignment horizontal="center" vertical="center" wrapText="1"/>
    </xf>
    <xf numFmtId="43" fontId="0" fillId="0" borderId="1" xfId="0" applyNumberFormat="1" applyBorder="1" applyAlignment="1">
      <alignment horizontal="right" vertical="center"/>
    </xf>
    <xf numFmtId="43" fontId="0" fillId="0" borderId="7" xfId="0" applyNumberFormat="1" applyBorder="1" applyAlignment="1">
      <alignment horizontal="right" vertical="center"/>
    </xf>
    <xf numFmtId="43" fontId="0" fillId="0" borderId="6" xfId="0" applyNumberFormat="1" applyBorder="1" applyAlignment="1">
      <alignment horizontal="right" vertical="center"/>
    </xf>
    <xf numFmtId="43" fontId="0" fillId="0" borderId="2" xfId="0" applyNumberFormat="1" applyBorder="1" applyAlignment="1">
      <alignment horizontal="right" vertical="center"/>
    </xf>
    <xf numFmtId="0" fontId="0" fillId="4" borderId="0" xfId="0" applyFill="1" applyAlignment="1">
      <alignment vertical="center"/>
    </xf>
    <xf numFmtId="0" fontId="0" fillId="4" borderId="0" xfId="0" applyFill="1" applyAlignment="1">
      <alignment horizontal="right" vertical="center"/>
    </xf>
    <xf numFmtId="0" fontId="3" fillId="0" borderId="0" xfId="0" applyFont="1" applyAlignment="1">
      <alignment horizontal="right" vertical="center"/>
    </xf>
    <xf numFmtId="43" fontId="3" fillId="0" borderId="0" xfId="0" applyNumberFormat="1" applyFont="1" applyAlignment="1">
      <alignment horizontal="right" vertical="center"/>
    </xf>
    <xf numFmtId="10" fontId="3" fillId="0" borderId="0" xfId="2" applyNumberFormat="1" applyFont="1" applyAlignment="1">
      <alignment horizontal="right" vertical="center"/>
    </xf>
    <xf numFmtId="10" fontId="0" fillId="0" borderId="0" xfId="0" applyNumberFormat="1" applyAlignment="1">
      <alignment horizontal="right" vertical="center"/>
    </xf>
    <xf numFmtId="43" fontId="0" fillId="0" borderId="0" xfId="2" applyNumberFormat="1" applyFont="1" applyAlignment="1">
      <alignment horizontal="right" vertical="center"/>
    </xf>
    <xf numFmtId="43" fontId="3" fillId="0" borderId="0" xfId="2" applyNumberFormat="1" applyFont="1" applyAlignment="1">
      <alignment horizontal="right" vertical="center"/>
    </xf>
    <xf numFmtId="43" fontId="1" fillId="0" borderId="1" xfId="1" applyFont="1" applyBorder="1" applyAlignment="1">
      <alignment horizontal="right" vertical="center"/>
    </xf>
    <xf numFmtId="0" fontId="2" fillId="0" borderId="1" xfId="0" applyFont="1" applyBorder="1" applyAlignment="1">
      <alignment vertical="center"/>
    </xf>
    <xf numFmtId="0" fontId="2" fillId="0" borderId="1" xfId="0" applyFont="1" applyBorder="1" applyAlignment="1">
      <alignment horizontal="right" vertical="center"/>
    </xf>
    <xf numFmtId="43" fontId="3" fillId="0" borderId="0" xfId="1" applyFont="1" applyAlignment="1">
      <alignment horizontal="right" vertical="center"/>
    </xf>
    <xf numFmtId="43" fontId="3" fillId="0" borderId="0" xfId="1" applyFont="1" applyAlignment="1">
      <alignment vertical="center"/>
    </xf>
    <xf numFmtId="43" fontId="3" fillId="0" borderId="1" xfId="1" applyFont="1" applyBorder="1" applyAlignment="1">
      <alignment vertical="center"/>
    </xf>
    <xf numFmtId="43" fontId="0" fillId="0" borderId="9" xfId="1" applyFont="1" applyBorder="1" applyAlignment="1">
      <alignment vertical="center"/>
    </xf>
    <xf numFmtId="43" fontId="3" fillId="0" borderId="9" xfId="1" applyFont="1" applyBorder="1" applyAlignment="1">
      <alignment vertical="center"/>
    </xf>
    <xf numFmtId="0" fontId="2" fillId="6" borderId="3" xfId="0" applyFont="1" applyFill="1" applyBorder="1" applyAlignment="1">
      <alignment horizontal="right" vertical="center"/>
    </xf>
    <xf numFmtId="0" fontId="2" fillId="6" borderId="4" xfId="0" applyFont="1" applyFill="1" applyBorder="1" applyAlignment="1">
      <alignment horizontal="right" vertical="center"/>
    </xf>
    <xf numFmtId="10" fontId="0" fillId="7" borderId="2" xfId="2" applyNumberFormat="1" applyFont="1" applyFill="1" applyBorder="1" applyAlignment="1">
      <alignment horizontal="right" vertical="center"/>
    </xf>
    <xf numFmtId="10" fontId="0" fillId="7" borderId="7" xfId="2" applyNumberFormat="1" applyFont="1" applyFill="1" applyBorder="1" applyAlignment="1">
      <alignment horizontal="right" vertical="center"/>
    </xf>
    <xf numFmtId="0" fontId="0" fillId="8" borderId="2" xfId="0" applyFill="1" applyBorder="1" applyAlignment="1">
      <alignment vertical="center"/>
    </xf>
    <xf numFmtId="10" fontId="0" fillId="8" borderId="2" xfId="2" applyNumberFormat="1" applyFont="1" applyFill="1" applyBorder="1" applyAlignment="1">
      <alignment horizontal="right" vertical="center"/>
    </xf>
    <xf numFmtId="10" fontId="0" fillId="8" borderId="7" xfId="2" applyNumberFormat="1" applyFont="1" applyFill="1" applyBorder="1" applyAlignment="1">
      <alignment horizontal="right" vertical="center"/>
    </xf>
    <xf numFmtId="0" fontId="3" fillId="8" borderId="2" xfId="0" applyFont="1" applyFill="1" applyBorder="1" applyAlignment="1">
      <alignment vertical="center"/>
    </xf>
    <xf numFmtId="10" fontId="3" fillId="8" borderId="2" xfId="2" applyNumberFormat="1" applyFont="1" applyFill="1" applyBorder="1" applyAlignment="1">
      <alignment horizontal="right" vertical="center"/>
    </xf>
    <xf numFmtId="0" fontId="3" fillId="8" borderId="6" xfId="0" applyFont="1" applyFill="1" applyBorder="1" applyAlignment="1">
      <alignment vertical="center"/>
    </xf>
    <xf numFmtId="10" fontId="0" fillId="8" borderId="1" xfId="2" applyNumberFormat="1" applyFont="1" applyFill="1" applyBorder="1" applyAlignment="1">
      <alignment horizontal="right" vertical="center"/>
    </xf>
    <xf numFmtId="43" fontId="0" fillId="8" borderId="2" xfId="1" applyFont="1" applyFill="1" applyBorder="1" applyAlignment="1">
      <alignment horizontal="right" vertical="center"/>
    </xf>
    <xf numFmtId="43" fontId="0" fillId="7" borderId="2" xfId="1" applyFont="1" applyFill="1" applyBorder="1" applyAlignment="1">
      <alignment horizontal="right" vertical="center"/>
    </xf>
    <xf numFmtId="43" fontId="0" fillId="7" borderId="7" xfId="1" applyFont="1" applyFill="1" applyBorder="1" applyAlignment="1">
      <alignment horizontal="right" vertical="center"/>
    </xf>
    <xf numFmtId="43" fontId="3" fillId="8" borderId="6" xfId="1" applyFont="1" applyFill="1" applyBorder="1" applyAlignment="1">
      <alignment horizontal="right" vertical="center"/>
    </xf>
    <xf numFmtId="43" fontId="0" fillId="8" borderId="1" xfId="1" applyFont="1" applyFill="1" applyBorder="1" applyAlignment="1">
      <alignment horizontal="right" vertical="center"/>
    </xf>
    <xf numFmtId="10" fontId="3" fillId="0" borderId="0" xfId="2" applyNumberFormat="1" applyFont="1" applyAlignment="1">
      <alignment vertical="center"/>
    </xf>
    <xf numFmtId="10" fontId="0" fillId="3" borderId="1" xfId="2" applyNumberFormat="1" applyFont="1" applyFill="1" applyBorder="1" applyAlignment="1">
      <alignment horizontal="right" vertical="center"/>
    </xf>
    <xf numFmtId="10" fontId="3" fillId="3" borderId="1" xfId="2" applyNumberFormat="1" applyFont="1" applyFill="1" applyBorder="1" applyAlignment="1">
      <alignment horizontal="right" vertical="center"/>
    </xf>
    <xf numFmtId="10" fontId="3" fillId="8" borderId="1" xfId="2" applyNumberFormat="1" applyFont="1" applyFill="1" applyBorder="1" applyAlignment="1">
      <alignment horizontal="right" vertical="center"/>
    </xf>
    <xf numFmtId="43" fontId="0" fillId="3" borderId="1" xfId="1" applyFont="1" applyFill="1" applyBorder="1" applyAlignment="1">
      <alignment horizontal="right" vertical="center"/>
    </xf>
    <xf numFmtId="43" fontId="3" fillId="8" borderId="1" xfId="1" applyFont="1" applyFill="1" applyBorder="1" applyAlignment="1">
      <alignment horizontal="right" vertical="center"/>
    </xf>
    <xf numFmtId="167" fontId="0" fillId="0" borderId="0" xfId="2" applyNumberFormat="1" applyFont="1" applyAlignment="1">
      <alignment horizontal="right" vertical="center"/>
    </xf>
    <xf numFmtId="10" fontId="1" fillId="0" borderId="0" xfId="2" applyNumberFormat="1" applyFont="1" applyAlignment="1">
      <alignment horizontal="right" vertical="center"/>
    </xf>
    <xf numFmtId="0" fontId="3" fillId="0" borderId="1" xfId="0" applyFont="1" applyBorder="1" applyAlignment="1">
      <alignment horizontal="right" vertical="center"/>
    </xf>
    <xf numFmtId="0" fontId="3" fillId="0" borderId="0" xfId="0" applyFont="1" applyAlignment="1">
      <alignment horizontal="center" vertical="center"/>
    </xf>
  </cellXfs>
  <cellStyles count="3">
    <cellStyle name="Comma" xfId="1" builtinId="3"/>
    <cellStyle name="Normal" xfId="0" builtinId="0"/>
    <cellStyle name="Percent" xfId="2" builtinId="5"/>
  </cellStyles>
  <dxfs count="343">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ill>
        <patternFill patternType="solid">
          <fgColor indexed="64"/>
          <bgColor rgb="FFC00000"/>
        </patternFill>
      </fill>
      <alignment horizontal="righ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C00000"/>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55">
  <rv s="0">
    <v>http://en.wikipedia.org/wiki/Public_domain</v>
    <v>Public domain</v>
  </rv>
  <rv s="0">
    <v>http://en.wikipedia.org/wiki/Ford_Motor_Company</v>
    <v>Wikipedia</v>
  </rv>
  <rv s="1">
    <v>0</v>
    <v>1</v>
  </rv>
  <rv s="2">
    <v>6</v>
    <v>https://www.bing.com/th?id=AMMS_cf0311a5f2d2dcb3110aca1404330618&amp;qlt=95</v>
    <v>2</v>
    <v>0</v>
    <v>https://www.bing.com/images/search?form=xlimg&amp;q=ford+motor+company</v>
    <v>Image of FORD MOTOR COMPANY</v>
  </rv>
  <rv s="0">
    <v>https://www.bing.com/financeapi/forcetrigger?t=a1sjw7&amp;q=XNYS%3aF&amp;form=skydnc</v>
    <v>Learn more on Bing</v>
  </rv>
  <rv s="3">
    <v>en-IN</v>
    <v>a1sjw7</v>
    <v>268435456</v>
    <v>1</v>
    <v>Powered by Refinitiv</v>
    <v>0</v>
    <v>FORD MOTOR COMPANY (XNYS:F)</v>
    <v>3</v>
    <v>4</v>
    <v>Finance</v>
    <v>5</v>
    <v>13.97</v>
    <v>8.4405999999999999</v>
    <v>1.5994999999999999</v>
    <v>0.14990000000000001</v>
    <v>1.1637999999999999E-2</v>
    <v>USD</v>
    <v>Ford Motor Company is an automobile company. The Company develops and delivers Ford trucks, sport utility vehicles, commercial vans and cars, and Lincoln luxury vehicles, along with connected services. The Company’s segments include Ford Blue, Ford Model e, Ford Pro, and Ford Credit. The Ford Blue segment primarily includes the sale of Ford and Lincoln internal combustion engine (ICE) and hybrid vehicles, service parts, accessories, and digital services for retail customers. The Ford Model e segment primarily includes the sale of its electric vehicles, service parts, accessories, and digital services for retail customers. The Ford Pro segment primarily includes the sale of Ford and Lincoln vehicles, service parts, accessories, and services for commercial, government, and rental customers. The Ford Credit segment consists of the Ford Credit business on a consolidated basis, which is primarily vehicle-related financing and leasing activities. Its vehicle brands are Ford and Lincoln.</v>
    <v>171000</v>
    <v>New York Stock Exchange</v>
    <v>XNYS</v>
    <v>XNYS</v>
    <v>One American Road, DEARBORN, MI, 48126-2701 US</v>
    <v>13.09</v>
    <v>3</v>
    <v>Automobiles &amp; Auto Parts</v>
    <v>Stock</v>
    <v>45979.799700000003</v>
    <v>4</v>
    <v>12.76</v>
    <v>51917623520</v>
    <v>FORD MOTOR COMPANY</v>
    <v>FORD MOTOR COMPANY</v>
    <v>12.85</v>
    <v>11.189299999999999</v>
    <v>12.88</v>
    <v>13.0299</v>
    <v>3984499000</v>
    <v>F</v>
    <v>FORD MOTOR COMPANY (XNYS:F)</v>
    <v>46464228</v>
    <v>131444878</v>
    <v>1919</v>
  </rv>
  <rv s="4">
    <v>5</v>
  </rv>
  <rv s="0">
    <v>https://www.bing.com/financeapi/forcetrigger?t=a1tyrw&amp;q=XNYS%3aGM&amp;form=skydnc</v>
    <v>Learn more on Bing</v>
  </rv>
  <rv s="5">
    <v>en-IN</v>
    <v>a1tyrw</v>
    <v>268435456</v>
    <v>1</v>
    <v>Powered by Refinitiv</v>
    <v>7</v>
    <v>GENERAL MOTORS COMPANY (XNYS:GM)</v>
    <v>8</v>
    <v>9</v>
    <v>Finance</v>
    <v>5</v>
    <v>72.87</v>
    <v>41.6</v>
    <v>1.3095000000000001</v>
    <v>0.34</v>
    <v>5.0070000000000002E-3</v>
    <v>USD</v>
    <v>General Motors Company designs, builds and sells trucks, crossovers, cars and automobile parts and provides software-enabled services and subscriptions worldwide. The Company's segments include GMNA, GMI, Cruise and GM Financial. Its GM North America (GMNA) and GM International (GMI) develop, manufacture and/or markets vehicles under the Buick, Cadillac, Chevrolet and GMC brands. The Company provides automotive financing services through its General Motors Financial Company, Inc. (GM Financial) segment. Its Cruise segment is engaged in the development and commercialization of autonomous vehicle technology. Its software-enabled services and subscriptions, including OnStar, its advanced driver-assistance systems (ADAS), including Super Cruise driver assistance technology, and its end-to-end software platform. The Company is also focused on investing in electric vehicles (EVs) and AVs, software-enabled services and subscriptions and new business opportunities.</v>
    <v>162000</v>
    <v>New York Stock Exchange</v>
    <v>XNYS</v>
    <v>XNYS</v>
    <v>300 Renaissance Center, DETROIT, MI, 48265-3000 US</v>
    <v>68.42</v>
    <v>Automobiles &amp; Auto Parts</v>
    <v>Stock</v>
    <v>45979.799703760938</v>
    <v>7</v>
    <v>67.06</v>
    <v>63667783725</v>
    <v>GENERAL MOTORS COMPANY</v>
    <v>GENERAL MOTORS COMPANY</v>
    <v>67.739999999999995</v>
    <v>13.127000000000001</v>
    <v>67.91</v>
    <v>68.25</v>
    <v>932861300</v>
    <v>GM</v>
    <v>GENERAL MOTORS COMPANY (XNYS:GM)</v>
    <v>2573693</v>
    <v>10638421</v>
    <v>2009</v>
  </rv>
  <rv s="4">
    <v>8</v>
  </rv>
  <rv s="0">
    <v>https://www.bing.com/financeapi/forcetrigger?t=a1usim&amp;q=XNYS%3aHOG&amp;form=skydnc</v>
    <v>Learn more on Bing</v>
  </rv>
  <rv s="5">
    <v>en-IN</v>
    <v>a1usim</v>
    <v>268435456</v>
    <v>1</v>
    <v>Powered by Refinitiv</v>
    <v>7</v>
    <v>HARLEY-DAVIDSON, INC. (XNYS:HOG)</v>
    <v>8</v>
    <v>9</v>
    <v>Finance</v>
    <v>5</v>
    <v>35.21</v>
    <v>20.45</v>
    <v>1.3438000000000001</v>
    <v>-0.14000000000000001</v>
    <v>-5.8599999999999998E-3</v>
    <v>USD</v>
    <v>Harley-Davidson, Inc. is the parent company of Harley-Davidson Motor Company and Harley-Davidson Financial Services. The Company operates through three segments: Harley-Davidson Motor Company (HDMC), LiveWire, and Harley-Davidson Financial Services (HDFS). The HDMC segment designs, manufactures and sells Harley-Davidson motorcycles. The HDMC segment also sells motorcycle parts, accessories, and apparel as well as licenses its trademarks. The HDMC segment conducts business on a global basis, with sales in the United States, Canada, Europe/Middle East/Africa, Asia Pacific, and Latin America. The LiveWire segment sells electric motorcycles, electric balance bikes for kids, parts and accessories and apparel in the United States and certain international markets. The HDFS segment is engaged in the business of financing and servicing wholesale inventory receivables and retail consumer loans, primarily for the purchase of Harley-Davidson and LiveWire motorcycles.</v>
    <v>5900</v>
    <v>New York Stock Exchange</v>
    <v>XNYS</v>
    <v>XNYS</v>
    <v>3700 W JUNEAU AVE, MILWAUKEE, WI, 53208 US</v>
    <v>24.05</v>
    <v>Automobiles &amp; Auto Parts</v>
    <v>Stock</v>
    <v>45979.799678159376</v>
    <v>10</v>
    <v>23.563199999999998</v>
    <v>2822409000</v>
    <v>HARLEY-DAVIDSON, INC.</v>
    <v>HARLEY-DAVIDSON, INC.</v>
    <v>23.6</v>
    <v>5.7606000000000002</v>
    <v>23.89</v>
    <v>23.75</v>
    <v>118141900</v>
    <v>HOG</v>
    <v>HARLEY-DAVIDSON, INC. (XNYS:HOG)</v>
    <v>779340</v>
    <v>1787267</v>
    <v>1991</v>
  </rv>
  <rv s="4">
    <v>11</v>
  </rv>
  <rv s="0">
    <v>https://www.bing.com/financeapi/forcetrigger?t=c3orf2&amp;q=XNAS%3aRIVN&amp;form=skydnc</v>
    <v>Learn more on Bing</v>
  </rv>
  <rv s="5">
    <v>en-IN</v>
    <v>c3orf2</v>
    <v>268435456</v>
    <v>1</v>
    <v>Powered by Refinitiv</v>
    <v>7</v>
    <v>RIVIAN AUTOMOTIVE, INC. (XNAS:RIVN)</v>
    <v>8</v>
    <v>9</v>
    <v>Finance</v>
    <v>5</v>
    <v>18.13</v>
    <v>9.85</v>
    <v>1.7784</v>
    <v>0.14499999999999999</v>
    <v>9.7509999999999993E-3</v>
    <v>USD</v>
    <v>Rivian Automotive, Inc. is an automotive manufacturer, which is engaged in developing and building category-defining electric vehicles (EVs) and accessories, as well as software and services that address the entire lifecycle of the vehicle. The Company’s R1 platform consists of two vehicles: the R1T, a two-row five-passenger pickup truck, and the R1S, a three-row seven-passenger sport utility vehicle (SUV). In the commercial market, the Company offers a Rivian Commercial Vehicle (RCV) platform. The vehicle on this platform is the Electric Delivery Van (EDV), designed and engineered by Rivian in collaboration with Amazon. The Company also offers FleetOS, its proprietary, end-to-end centralized fleet management subscription platform. It also offers a variety of services, including vehicle repair and maintenance, financing, insurance, software subscriptions and FleetOS solutions. Its value-added services include vehicle electrical architecture and software development services, and more.</v>
    <v>14861</v>
    <v>Nasdaq Stock Market</v>
    <v>XNAS</v>
    <v>XNAS</v>
    <v>14600 Myford Road, IRVINE, CA, 92618 US</v>
    <v>15.08</v>
    <v>Automobiles &amp; Auto Parts</v>
    <v>Stock</v>
    <v>45979.799719363284</v>
    <v>13</v>
    <v>14.4</v>
    <v>18407083695</v>
    <v>RIVIAN AUTOMOTIVE, INC.</v>
    <v>RIVIAN AUTOMOTIVE, INC.</v>
    <v>14.73</v>
    <v>0</v>
    <v>14.87</v>
    <v>15.015000000000001</v>
    <v>1225913000</v>
    <v>RIVN</v>
    <v>RIVIAN AUTOMOTIVE, INC. (XNAS:RIVN)</v>
    <v>25151221</v>
    <v>55698128</v>
    <v>2015</v>
  </rv>
  <rv s="4">
    <v>14</v>
  </rv>
  <rv s="0">
    <v>https://www.bing.com/financeapi/forcetrigger?t=a1snf2&amp;q=XNYS%3aSTLA&amp;form=skydnc</v>
    <v>Learn more on Bing</v>
  </rv>
  <rv s="5">
    <v>en-IN</v>
    <v>a1snf2</v>
    <v>268435456</v>
    <v>1</v>
    <v>Powered by Refinitiv</v>
    <v>7</v>
    <v>Stellantis NV (XNYS:STLA)</v>
    <v>8</v>
    <v>10</v>
    <v>Finance</v>
    <v>5</v>
    <v>14.28</v>
    <v>8.3930000000000007</v>
    <v>1.6129</v>
    <v>-0.21</v>
    <v>-2.1042000000000002E-2</v>
    <v>USD</v>
    <v>Stellantis N.V., formerly Fiat Chrysler Automobiles N.V., is a holding Company based in the Netherlands and operates as an automaker and a mobility provider. The Company is engaged in designing, engineering, manufacturing, distributing and selling vehicles, components and production systems. The Company has industrial operations in more than 30 countries and sells its vehicles directly or through distributors and dealers in more than 130 countries. The Company designs, manufactures, distributes and sells vehicles for the mass-market under the Abarth, Alfa Romeo, Chrysler, Dodge, Fiat, Fiat Professional, Jeep, Lancia and Ram brands. In addition, the Company designs, manufactures, distributes and sells luxury vehicles under the Maserati brand. The Company's brand portfolio also includes Peugeot, Citroen, DS Automobiles, Opel and Vauxhall. It offers a wide variety of vehicle choices from luxury and mainstream passenger vehicles to pickup trucks, sport utility vehicle (SUVs).</v>
    <v>248243</v>
    <v>New York Stock Exchange</v>
    <v>XNYS</v>
    <v>XNYS</v>
    <v>Taurusavenue 1, HOOFDDORP, NOORD-HOLLAND, 2132 LS NL</v>
    <v>9.81</v>
    <v>Automobiles &amp; Auto Parts</v>
    <v>Stock</v>
    <v>45979.799721539064</v>
    <v>16</v>
    <v>9.6150000000000002</v>
    <v>25439110000</v>
    <v>Stellantis NV</v>
    <v>Stellantis NV</v>
    <v>9.7100000000000009</v>
    <v>0</v>
    <v>9.98</v>
    <v>9.77</v>
    <v>2896073000</v>
    <v>STLA</v>
    <v>Stellantis NV (XNYS:STLA)</v>
    <v>8127362</v>
    <v>17254503</v>
    <v>2014</v>
  </rv>
  <rv s="4">
    <v>17</v>
  </rv>
  <rv s="0">
    <v>https://www.bing.com/financeapi/forcetrigger?t=a24kar&amp;q=XNAS%3aTSLA&amp;form=skydnc</v>
    <v>Learn more on Bing</v>
  </rv>
  <rv s="5">
    <v>en-IN</v>
    <v>a24kar</v>
    <v>268435456</v>
    <v>1</v>
    <v>Powered by Refinitiv</v>
    <v>7</v>
    <v>TESLA, INC. (XNAS:TSLA)</v>
    <v>8</v>
    <v>9</v>
    <v>Finance</v>
    <v>5</v>
    <v>488.53989999999999</v>
    <v>214.25</v>
    <v>1.8911</v>
    <v>-5.18</v>
    <v>-1.2667999999999999E-2</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125665</v>
    <v>Nasdaq Stock Market</v>
    <v>XNAS</v>
    <v>XNAS</v>
    <v>1 Tesla Road, AUSTIN, TX, 78725 US</v>
    <v>408.9</v>
    <v>Automobiles &amp; Auto Parts</v>
    <v>Stock</v>
    <v>45979.799719675779</v>
    <v>19</v>
    <v>393.71</v>
    <v>1342766163060</v>
    <v>TESLA, INC.</v>
    <v>TESLA, INC.</v>
    <v>405.35</v>
    <v>279.92790000000002</v>
    <v>408.92</v>
    <v>403.74</v>
    <v>3325819000</v>
    <v>TSLA</v>
    <v>TESLA, INC. (XNAS:TSLA)</v>
    <v>61453112</v>
    <v>85488509</v>
    <v>2024</v>
  </rv>
  <rv s="4">
    <v>20</v>
  </rv>
  <rv s="0">
    <v>http://en.wikipedia.org/wiki/Honda</v>
    <v>Wikipedia</v>
  </rv>
  <rv s="1">
    <v>0</v>
    <v>22</v>
  </rv>
  <rv s="2">
    <v>6</v>
    <v>https://www.bing.com/th?id=AMMS_c0d58c8e4f696e2ded6f7419ca250bd7&amp;qlt=95</v>
    <v>23</v>
    <v>0</v>
    <v>https://www.bing.com/images/search?form=xlimg&amp;q=honda</v>
    <v>Image of HONDA MOTOR CO., LTD.</v>
  </rv>
  <rv s="0">
    <v>https://www.bing.com/financeapi/forcetrigger?t=a1uqyc&amp;q=XNYS%3aHMC&amp;form=skydnc</v>
    <v>Learn more on Bing</v>
  </rv>
  <rv s="3">
    <v>en-IN</v>
    <v>a1uqyc</v>
    <v>268435456</v>
    <v>1</v>
    <v>Powered by Refinitiv</v>
    <v>0</v>
    <v>HONDA MOTOR CO., LTD. (XNYS:HMC)</v>
    <v>3</v>
    <v>4</v>
    <v>Finance</v>
    <v>5</v>
    <v>34.89</v>
    <v>23.41</v>
    <v>0.41</v>
    <v>2.5000000000000001E-2</v>
    <v>8.6209999999999998E-4</v>
    <v>USD</v>
    <v>Honda Motor Co Ltd is a Japan-based company principally engaged in the motorcycle business, the automobile business, the financial service business and the life creation business. The Company operates through four business segments. The Motorcycle segment is engaged in the research and development, production and sale of motorcycles, all-terrain vehicles (ATVs), side-by-side vehicles and related parts. The Automobile segment is engaged in the research and development, production and sale of automobiles and related parts. The Financial Service segment is engaged in the sales financing and leasing of its products. The Power Products and Other Business segment is engaged in the research and development, production and sale of power products and related parts.</v>
    <v>194173</v>
    <v>New York Stock Exchange</v>
    <v>XNYS</v>
    <v>XNYS</v>
    <v>Toranomon Alcea Tower, 2-2-3, Toranomon, MINATO-KU, TOKYO-TO, 105-8404 JP</v>
    <v>29.06</v>
    <v>24</v>
    <v>Automobiles &amp; Auto Parts</v>
    <v>Stock</v>
    <v>45979.799678228905</v>
    <v>25</v>
    <v>28.75</v>
    <v>51595980000</v>
    <v>HONDA MOTOR CO., LTD.</v>
    <v>HONDA MOTOR CO., LTD.</v>
    <v>28.925000000000001</v>
    <v>9.5783000000000005</v>
    <v>29</v>
    <v>29.024999999999999</v>
    <v>1760000000</v>
    <v>HMC</v>
    <v>HONDA MOTOR CO., LTD. (XNYS:HMC)</v>
    <v>848504</v>
    <v>920874</v>
    <v>1948</v>
  </rv>
  <rv s="4">
    <v>26</v>
  </rv>
  <rv s="0">
    <v>https://www.bing.com/financeapi/forcetrigger?t=afnpsm&amp;q=XFRA%3aVOW&amp;form=skydnc</v>
    <v>Learn more on Bing</v>
  </rv>
  <rv s="5">
    <v>en-IN</v>
    <v>afnpsm</v>
    <v>268435456</v>
    <v>1</v>
    <v>Powered by Refinitiv</v>
    <v>7</v>
    <v>Volkswagen AG (XFRA:VOW)</v>
    <v>8</v>
    <v>11</v>
    <v>Finance</v>
    <v>12</v>
    <v>365</v>
    <v>81.599999999999994</v>
    <v>1.6654</v>
    <v>-3.1</v>
    <v>-3.0815000000000002E-2</v>
    <v>EUR</v>
    <v>Volkswagen AG is a Germany-based company, which manufactures and sells vehicles. The Group consists of two divisions: the Automotive Division and the Financial Services Division. The Automotive Division comprises the Passenger Cars, Commercial Vehicles and Power Engineering business areas. This division focuses on the development of vehicles, engines and vehicle software, the production and sale of passenger cars, light commercial vehicles, trucks, buses, and motorcycles, as well as businesses for genuine parts, large-bore diesel engines, turbomachinery, and propulsion components. The Financial Services Division focuses on dealer and customer financing, leasing, direct banking, and insurance activities, fleet management and mobility services. Its brand portfolio includes Volkswagen, Audi, SEAT, SKODA, Bentley, Lamborghini, Porsche, Ducati, Volkswagen Commercial Vehicles, Scania, and MAN.</v>
    <v>666852</v>
    <v>Deutsche Boerse AG</v>
    <v>XFRA</v>
    <v>XFRA</v>
    <v>Berliner Ring 2, WOLFSBURG, NIEDERSACHSEN, 38440 DE</v>
    <v>97.5</v>
    <v>Automobiles &amp; Auto Parts</v>
    <v>Stock</v>
    <v>45979.77857638889</v>
    <v>28</v>
    <v>95.3</v>
    <v>48818270000</v>
    <v>Volkswagen AG</v>
    <v>Volkswagen AG</v>
    <v>96.3</v>
    <v>7.3696000000000002</v>
    <v>100.6</v>
    <v>97.5</v>
    <v>501295300</v>
    <v>VOW</v>
    <v>Volkswagen AG (XFRA:VOW)</v>
    <v>252</v>
    <v>68190</v>
    <v>1961</v>
  </rv>
  <rv s="4">
    <v>29</v>
  </rv>
  <rv s="0">
    <v>https://www.bing.com/financeapi/forcetrigger?t=ahk9xm&amp;q=XNSE%3aTATAMOTORS&amp;form=skydnc</v>
    <v>Learn more on Bing</v>
  </rv>
  <rv s="5">
    <v>en-IN</v>
    <v>ahk9xm</v>
    <v>268435456</v>
    <v>1</v>
    <v>Powered by Refinitiv</v>
    <v>7</v>
    <v>TATA MOTORS PASSENGER VEHICLES LIMITED (XNSE:TMPV)</v>
    <v>8</v>
    <v>13</v>
    <v>Finance</v>
    <v>14</v>
    <v>496.62</v>
    <v>324.33</v>
    <v>1.0266</v>
    <v>-1.4</v>
    <v>-3.7559999999999998E-3</v>
    <v>INR</v>
    <v>Tata Motors Passenger Vehicles Limited, formerly Tata Motors Limited, is an India-based company. The Company is engaged in the passenger vehicles business, including its investments in the electric vehicle business and Jaguar Land Rover (JLR) operations. Its portfolio, spanning multiple body styles and fuel types, caters to diverse mobility needs. Its passenger vehicles include Curvv, Nexon iCNG, Tiago &amp; Tigor 2025, Harrier &amp; Safari Stealth, Altroz, Punch, and others. The Company’s electric vehicles include Curvv.ev, Nexon.ev, Tiago.ev, Punch.ev, and Xpres-T.</v>
    <v>86259</v>
    <v>National Stock Exchange of India</v>
    <v>XNSE</v>
    <v>XNSE</v>
    <v>A Block, Shivasagar Estate, Dr. Annie Besant Road, Worli, MUMBAI, MAHARASHTRA, 400018 IN</v>
    <v>374</v>
    <v>Automobiles &amp; Auto Parts</v>
    <v>Stock</v>
    <v>45979.492893518516</v>
    <v>31</v>
    <v>369.15</v>
    <v>1372405000000</v>
    <v>TATA MOTORS PASSENGER VEHICLES LIMITED</v>
    <v>TATA MOTORS PASSENGER VEHICLES LIMITED</v>
    <v>373.1</v>
    <v>16.86</v>
    <v>372.7</v>
    <v>371.3</v>
    <v>3682331000</v>
    <v>TMPV</v>
    <v>TATA MOTORS PASSENGER VEHICLES LIMITED (XNSE:TMPV)</v>
    <v>17484757</v>
    <v>12800240</v>
    <v>1945</v>
  </rv>
  <rv s="4">
    <v>32</v>
  </rv>
  <rv s="0">
    <v>https://www.bing.com/financeapi/forcetrigger?t=ajn5pr&amp;q=XKRX%3a005380&amp;form=skydnc</v>
    <v>Learn more on Bing</v>
  </rv>
  <rv s="5">
    <v>en-IN</v>
    <v>ajn5pr</v>
    <v>268435456</v>
    <v>1</v>
    <v>Powered by Refinitiv</v>
    <v>7</v>
    <v>HYUNDAI MOTOR COMPANY (XKRX:005380)</v>
    <v>8</v>
    <v>15</v>
    <v>Finance</v>
    <v>16</v>
    <v>298000</v>
    <v>175800</v>
    <v>0.94499999999999995</v>
    <v>-7000</v>
    <v>-2.5783E-2</v>
    <v>KRW</v>
    <v>Hyundai Motor Co is a Korea-based company principally engaged in the manufacture and distribution of automobiles. The Company operates its business through three segments. The Automobile segment manufactures and sells automobiles including large commercial vehicles, small commercial vehicles, passenger cars, recreational vehicles (RVs), among others; and eco-friendly vehicles such as hybrid electric vehicles (HEVs), electric vehicle (EVs) and Plug-in hybrid vehicles (PHEVs). The segment also provides automotive maintenance services and related parts. The Financial segment provides financial services including installment financing, lease, credit cards. The Other segment is engaged in the manufacture of railway vehicles and systems, as well as the provision of the train maintenance services. The Company is also developing autonomous driving software.</v>
    <v>70032</v>
    <v>Korea Stock Exchange</v>
    <v>XKRX</v>
    <v>XKRX</v>
    <v>12, Heolleung-ro, Seocho-gu, SEOUL, SEOUL, 06797 KR</v>
    <v>271500</v>
    <v>Automobiles &amp; Auto Parts</v>
    <v>Stock</v>
    <v>45979.473182870373</v>
    <v>34</v>
    <v>263500</v>
    <v>67900050000000</v>
    <v>HYUNDAI MOTOR COMPANY</v>
    <v>HYUNDAI MOTOR COMPANY</v>
    <v>269000</v>
    <v>6.4721000000000002</v>
    <v>271500</v>
    <v>264500</v>
    <v>265390100</v>
    <v>005380</v>
    <v>HYUNDAI MOTOR COMPANY (XKRX:005380)</v>
    <v>475705</v>
    <v>894060</v>
    <v>1967</v>
  </rv>
  <rv s="4">
    <v>35</v>
  </rv>
  <rv s="0">
    <v>https://www.bing.com/financeapi/forcetrigger?t=a2on5r&amp;q=OTCM%3aMMTOF&amp;form=skydnc</v>
    <v>Learn more on Bing</v>
  </rv>
  <rv s="5">
    <v>en-IN</v>
    <v>a2on5r</v>
    <v>268435456</v>
    <v>1</v>
    <v>Powered by Refinitiv</v>
    <v>7</v>
    <v>MITSUBISHI MOTORS CORPORATION (OTCM:MMTOF)</v>
    <v>8</v>
    <v>17</v>
    <v>Finance</v>
    <v>12</v>
    <v>3.66</v>
    <v>2.44</v>
    <v>1.1292</v>
    <v>0.01</v>
    <v>4.065E-3</v>
    <v>USD</v>
    <v>Mitsubishi Motors Corp is engaged in the development, production and sale of automobile and related parts, as well as the financial business. The Company operates in two business segments. The Automobile segment is engaged in the manufacture of general and small-sized passenger vehicles and light vehicles, the sale of parts, new car inspection, maintenance and logistics of parts in domestic markets, and the manufacturing and sales in overseas market. Its major products include electric vehicles, sports utility vehicles (SUVs) and pickups, passenger cars and minivans, and light vehicles. The Financing segment is engaged in the automobile leasing business and sales finance business.</v>
    <v>28572</v>
    <v>OTC Markets</v>
    <v>OTCM</v>
    <v>OTCM</v>
    <v>msb Tamachi, Tamachi Station Tower S, 3-1-21, Shibaura, MINATO-KU, TOKYO-TO, 108-8410 JP</v>
    <v>2.4700000000000002</v>
    <v>Automobiles &amp; Auto Parts</v>
    <v>Stock</v>
    <v>45979.626523657033</v>
    <v>37</v>
    <v>2.4700000000000002</v>
    <v>540376400000</v>
    <v>MITSUBISHI MOTORS CORPORATION</v>
    <v>MITSUBISHI MOTORS CORPORATION</v>
    <v>2.4700000000000002</v>
    <v>0</v>
    <v>2.46</v>
    <v>2.4700000000000002</v>
    <v>1460477000</v>
    <v>MMTOF</v>
    <v>MITSUBISHI MOTORS CORPORATION (OTCM:MMTOF)</v>
    <v>2500</v>
    <v>12035160</v>
    <v>1970</v>
  </rv>
  <rv s="4">
    <v>38</v>
  </rv>
  <rv s="0">
    <v>https://www.bing.com/financeapi/forcetrigger?t=af5lim&amp;q=XFRA%3aBMW&amp;form=skydnc</v>
    <v>Learn more on Bing</v>
  </rv>
  <rv s="5">
    <v>en-IN</v>
    <v>af5lim</v>
    <v>268435456</v>
    <v>1</v>
    <v>Powered by Refinitiv</v>
    <v>7</v>
    <v>Bayerische Motoren Werke AG (XFRA:BMW)</v>
    <v>8</v>
    <v>11</v>
    <v>Finance</v>
    <v>12</v>
    <v>115.25</v>
    <v>36.884999999999998</v>
    <v>1.0948</v>
    <v>-1.86</v>
    <v>-2.1518000000000002E-2</v>
    <v>EUR</v>
    <v>Bayerische Motoren Werke AG (BMW) is a German-based company. The Company is engaged in the development and manufacturing of automobiles and motorcycles. Its business is divided into three segments: Automotive segment, Motorcycles segment, and Financial Services segment. The Automotive segment has three brands BMW, MINI and Rolls-Royce. The product range includes automobiles ranging from the compact class to the luxury class. The Motorcycles segment develops manufactures and sells motorcycles and scooters in the Sport, Tour, Roadster, Heritage, Adventure and Urban Mobility categories, as well as motorcycles for private use and special-purpose vehicles for operational use. The Financial Services segment offers credit financing and the leasing of BMW Group brand automobiles and motorcycles to retail customers. It also handles financing for dealerships and customer deposits.</v>
    <v>159104</v>
    <v>Deutsche Boerse AG</v>
    <v>XFRA</v>
    <v>XFRA</v>
    <v>Petuelring 130, MUENCHEN, BAYERN, 80809 DE</v>
    <v>86.1</v>
    <v>Automobiles &amp; Auto Parts</v>
    <v>Stock</v>
    <v>45979.692361111112</v>
    <v>40</v>
    <v>84.58</v>
    <v>53200980000</v>
    <v>Bayerische Motoren Werke AG</v>
    <v>Bayerische Motoren Werke AG</v>
    <v>85.42</v>
    <v>7.4454000000000002</v>
    <v>86.44</v>
    <v>84.58</v>
    <v>615810400</v>
    <v>BMW</v>
    <v>Bayerische Motoren Werke AG (XFRA:BMW)</v>
    <v>7475</v>
    <v>918320</v>
    <v>1995</v>
  </rv>
  <rv s="4">
    <v>41</v>
  </rv>
  <rv s="0">
    <v>https://www.bing.com/financeapi/forcetrigger?t=a2yrfr&amp;q=OTCM%3aTOYOF&amp;form=skydnc</v>
    <v>Learn more on Bing</v>
  </rv>
  <rv s="5">
    <v>en-IN</v>
    <v>a2yrfr</v>
    <v>268435456</v>
    <v>1</v>
    <v>Powered by Refinitiv</v>
    <v>7</v>
    <v>TOYOTA MOTOR CORPORATION (OTCM:TOYOF)</v>
    <v>8</v>
    <v>17</v>
    <v>Finance</v>
    <v>12</v>
    <v>22.53</v>
    <v>13.95</v>
    <v>1.6854</v>
    <v>-0.64</v>
    <v>-3.1920000000000004E-2</v>
    <v>USD</v>
    <v>Toyota Motor Corp is a Japan-based company mainly engaged in the automotive business, as well as financial services and other businesses. The Company operates through three business segments. The Automotive segment designs, manufactures, and sells automobiles, including sedans, minivans, compact cars, sport utility vehicles (SUVs), and trucks, as well as related parts and accessories. The Financial Services segment provides financing and vehicle leasing services to complement the sales of automobiles and other products manufactured by the Company and its affiliates. The Other segment engages in information and communications services. It also oversees manufacturing and sales companies, conducts public relations and research activities, oversees financial companies, and develops various mobility products, primarily software.</v>
    <v>383853</v>
    <v>OTC Markets</v>
    <v>OTCM</v>
    <v>OTCM</v>
    <v>1, Toyota-cho, TOYOTA-SHI, AICHI-KEN, 471-8571 JP</v>
    <v>20.45</v>
    <v>Automobiles &amp; Auto Parts</v>
    <v>Stock</v>
    <v>45979.787665370313</v>
    <v>43</v>
    <v>19.41</v>
    <v>49264560000000</v>
    <v>TOYOTA MOTOR CORPORATION</v>
    <v>TOYOTA MOTOR CORPORATION</v>
    <v>19.7</v>
    <v>8.1045999999999996</v>
    <v>20.05</v>
    <v>19.41</v>
    <v>15794990000</v>
    <v>TOYOF</v>
    <v>TOYOTA MOTOR CORPORATION (OTCM:TOYOF)</v>
    <v>25446</v>
    <v>25220190</v>
    <v>1937</v>
  </rv>
  <rv s="4">
    <v>44</v>
  </rv>
  <rv s="0">
    <v>https://www.bing.com/financeapi/forcetrigger?t=ahiwa2&amp;q=XNSE%3aMARUTI&amp;form=skydnc</v>
    <v>Learn more on Bing</v>
  </rv>
  <rv s="5">
    <v>en-IN</v>
    <v>ahiwa2</v>
    <v>268435456</v>
    <v>1</v>
    <v>Powered by Refinitiv</v>
    <v>7</v>
    <v>MARUTI SUZUKI INDIA LIMITED (XNSE:MARUTI)</v>
    <v>8</v>
    <v>13</v>
    <v>Finance</v>
    <v>14</v>
    <v>16660</v>
    <v>10725</v>
    <v>0.33550000000000002</v>
    <v>52</v>
    <v>3.2750000000000001E-3</v>
    <v>INR</v>
    <v>Maruti Suzuki India Limited is engaged in the manufacturing, purchasing and sale of motor vehicles, components, and spare parts. The other activities of the Company comprise facilitation of pre-owned car sales, fleet management. and car financing. The Company is focused on the business of manufacturing and sale of passenger and commercial vehicles. The Company’s vehicles are offered through three channels: NEXA, Arena, and Commercial. It also sells aftermarket parts and accessories under the brand name of Maruti Suzuki Genuine Parts, and Maruti Suzuki Genuine Accessories. Its portfolio of Nexa products includes XL6, e VITARA, Ciaz, The New Age Baleno, Ignis, Grand Vitara, FRONX, Jimny, and Invicto. Its portfolio of Arena products includes Alto K10, Brezza, Celerio, WagonR, Swift, Dzire, S-Presso, Eeco, Dezire, and Ertiga. Its portfolio of Commercial products includes Super Carry and Eeco Cargo. Its service offerings include Maruti Suzuki Smart Finance, Maruti Suzuki Leasing, and more.</v>
    <v>20171</v>
    <v>National Stock Exchange of India</v>
    <v>XNSE</v>
    <v>XNSE</v>
    <v>1, Nelson Mandela Road,, Vasant Kunj,, NEW DELHI, DELHI, 110070 IN</v>
    <v>15999</v>
    <v>Automobiles &amp; Auto Parts</v>
    <v>Stock</v>
    <v>45979.492881944447</v>
    <v>46</v>
    <v>15750</v>
    <v>4992084000000</v>
    <v>MARUTI SUZUKI INDIA LIMITED</v>
    <v>MARUTI SUZUKI INDIA LIMITED</v>
    <v>15878</v>
    <v>33.78</v>
    <v>15878</v>
    <v>15930</v>
    <v>314402600</v>
    <v>MARUTI</v>
    <v>MARUTI SUZUKI INDIA LIMITED (XNSE:MARUTI)</v>
    <v>392903</v>
    <v>385400</v>
    <v>1981</v>
  </rv>
  <rv s="4">
    <v>47</v>
  </rv>
  <rv s="0">
    <v>https://www.bing.com/financeapi/forcetrigger?t=ah2ca2&amp;q=XHKG%3a1211&amp;form=skydnc</v>
    <v>Learn more on Bing</v>
  </rv>
  <rv s="6">
    <v>en-IN</v>
    <v>ah2ca2</v>
    <v>268435456</v>
    <v>1</v>
    <v>Powered by Refinitiv</v>
    <v>18</v>
    <v>BYD COMPANY LIMITED (XHKG:1211)</v>
    <v>8</v>
    <v>19</v>
    <v>Finance</v>
    <v>20</v>
    <v>159.267</v>
    <v>81.8</v>
    <v>0.94940000000000002</v>
    <v>-3.8</v>
    <v>0</v>
    <v>-3.7735999999999999E-2</v>
    <v>0</v>
    <v>HKD</v>
    <v>BYD Co Ltd is a China-based company mainly engaged in the manufacture and sales of transportation equipment. The Company's main businesses include automobile business mainly based on new energy vehicles, mobile phone components and assembly business, secondary rechargeable batteries and photovoltaic business. The Company's passenger car brands include two major series of products, ‘Dynasty’ and ‘Ocean’. The Company conducts its business in the domestic market and overseas markets.</v>
    <v>968872</v>
    <v>Hong Kong Stock Exchange</v>
    <v>XHKG</v>
    <v>XHKG</v>
    <v>No. 3009, BYD Road, Pingshan District, SHENZHEN, GUANGDONG, 518118 CN</v>
    <v>99.7</v>
    <v>Automobiles &amp; Auto Parts</v>
    <v>Stock</v>
    <v>45979.339091087502</v>
    <v>49</v>
    <v>96.2</v>
    <v>955992900000</v>
    <v>BYD COMPANY LIMITED</v>
    <v>BYD COMPANY LIMITED</v>
    <v>99.5</v>
    <v>28.3416</v>
    <v>100.7</v>
    <v>96.9</v>
    <v>96.9</v>
    <v>9117197000</v>
    <v>1211</v>
    <v>BYD COMPANY LIMITED (XHKG:1211)</v>
    <v>30954342</v>
    <v>25388140</v>
    <v>1995</v>
  </rv>
  <rv s="4">
    <v>50</v>
  </rv>
  <rv s="0">
    <v>https://www.bing.com/financeapi/forcetrigger?t=af7stc&amp;q=XFRA%3aMBG&amp;form=skydnc</v>
    <v>Learn more on Bing</v>
  </rv>
  <rv s="5">
    <v>en-IN</v>
    <v>af7stc</v>
    <v>268435456</v>
    <v>1</v>
    <v>Powered by Refinitiv</v>
    <v>7</v>
    <v>Mercedes-Benz Group AG (XFRA:MBG)</v>
    <v>8</v>
    <v>11</v>
    <v>Finance</v>
    <v>12</v>
    <v>91.52</v>
    <v>21.055</v>
    <v>1.0061</v>
    <v>-1.27</v>
    <v>-2.1869999999999997E-2</v>
    <v>EUR</v>
    <v>Mercedes-Benz Group AG, formerly Daimler AG (Daimler), is a Germany-based automotive engineering company. The Company engages in the development, production and distribution of cars and vans in Germany. The segments include Mercedes-Benz Cars, Mercedes-Benz Vans and Mercedes-Benz Mobility. The Mercedes-Benz Cars segment includes vehicles of the Mercedes-Benz brand, Mercedes-AMG and Mercedes-Maybach, as well as the G-Class product brand. The Mercedes-Benz Vans sells vans under the brand name Mercedes-Benz, as well as corresponding spare parts and accessories. The Mercedes-Benz Mobility segment supports the sales of the Mercedes-Benz Group’s vehicle brands with customized financial and mobility services such as leasing, financing contracts, insurance, flexible subscription and rental models to fleet management services and digital services related to charging and payment.</v>
    <v>163132</v>
    <v>Deutsche Boerse AG</v>
    <v>XFRA</v>
    <v>XFRA</v>
    <v>Mercedesstrasse 120, STUTTGART, BADEN-WUERTTEMBERG, 70372 DE</v>
    <v>57.83</v>
    <v>Automobiles &amp; Auto Parts</v>
    <v>Stock</v>
    <v>45979.740810185183</v>
    <v>52</v>
    <v>56.4</v>
    <v>56349130000</v>
    <v>Mercedes-Benz Group AG</v>
    <v>Mercedes-Benz Group AG</v>
    <v>57.83</v>
    <v>8.7653999999999996</v>
    <v>58.07</v>
    <v>56.8</v>
    <v>962903700</v>
    <v>MBG</v>
    <v>Mercedes-Benz Group AG (XFRA:MBG)</v>
    <v>3026</v>
    <v>2136160</v>
    <v>1998</v>
  </rv>
  <rv s="4">
    <v>53</v>
  </rv>
</rvData>
</file>

<file path=xl/richData/rdrichvaluestructure.xml><?xml version="1.0" encoding="utf-8"?>
<rvStructures xmlns="http://schemas.microsoft.com/office/spreadsheetml/2017/richdata" count="7">
  <s t="_hyperlink">
    <k n="Address" t="s"/>
    <k n="Text" t="s"/>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3">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21">
    <spb s="0">
      <v>0</v>
      <v>Name</v>
      <v>LearnMoreOnLink</v>
    </spb>
    <spb s="1">
      <v>0</v>
      <v>0</v>
    </spb>
    <spb s="2">
      <v>0</v>
      <v>0</v>
      <v>0</v>
    </spb>
    <spb s="3">
      <v>1</v>
      <v>2</v>
      <v>2</v>
      <v>2</v>
      <v>2</v>
    </spb>
    <spb s="4">
      <v>1</v>
      <v>2</v>
      <v>2</v>
      <v>1</v>
      <v>3</v>
      <v>1</v>
      <v>4</v>
      <v>1</v>
      <v>1</v>
      <v>5</v>
      <v>5</v>
      <v>6</v>
      <v>7</v>
      <v>1</v>
      <v>1</v>
      <v>1</v>
      <v>5</v>
      <v>8</v>
      <v>9</v>
      <v>10</v>
      <v>5</v>
    </spb>
    <spb s="5">
      <v>Real-Time Nasdaq Last Sale</v>
      <v>from previous close</v>
      <v>from previous close</v>
      <v>Source: Nasdaq Last Sale</v>
      <v>GMT</v>
    </spb>
    <spb s="6">
      <v>Powered by Refinitiv</v>
    </spb>
    <spb s="0">
      <v>1</v>
      <v>Name</v>
      <v>LearnMoreOnLink</v>
    </spb>
    <spb s="7">
      <v>2</v>
      <v>2</v>
      <v>2</v>
      <v>2</v>
    </spb>
    <spb s="8">
      <v>1</v>
      <v>2</v>
      <v>2</v>
      <v>1</v>
      <v>3</v>
      <v>1</v>
      <v>1</v>
      <v>1</v>
      <v>5</v>
      <v>5</v>
      <v>6</v>
      <v>7</v>
      <v>1</v>
      <v>1</v>
      <v>1</v>
      <v>5</v>
      <v>8</v>
      <v>9</v>
      <v>10</v>
      <v>5</v>
    </spb>
    <spb s="8">
      <v>1</v>
      <v>2</v>
      <v>2</v>
      <v>1</v>
      <v>3</v>
      <v>1</v>
      <v>1</v>
      <v>1</v>
      <v>5</v>
      <v>5</v>
      <v>6</v>
      <v>11</v>
      <v>1</v>
      <v>1</v>
      <v>1</v>
      <v>5</v>
      <v>8</v>
      <v>9</v>
      <v>10</v>
      <v>5</v>
    </spb>
    <spb s="8">
      <v>12</v>
      <v>2</v>
      <v>2</v>
      <v>12</v>
      <v>3</v>
      <v>12</v>
      <v>12</v>
      <v>12</v>
      <v>5</v>
      <v>5</v>
      <v>6</v>
      <v>11</v>
      <v>12</v>
      <v>12</v>
      <v>12</v>
      <v>5</v>
      <v>8</v>
      <v>9</v>
      <v>10</v>
      <v>5</v>
    </spb>
    <spb s="9">
      <v>Delayed 15 minutes</v>
      <v>from previous close</v>
      <v>from previous close</v>
      <v>GMT</v>
    </spb>
    <spb s="8">
      <v>13</v>
      <v>2</v>
      <v>2</v>
      <v>13</v>
      <v>3</v>
      <v>13</v>
      <v>13</v>
      <v>13</v>
      <v>5</v>
      <v>5</v>
      <v>6</v>
      <v>14</v>
      <v>13</v>
      <v>13</v>
      <v>13</v>
      <v>5</v>
      <v>8</v>
      <v>9</v>
      <v>10</v>
      <v>5</v>
    </spb>
    <spb s="9">
      <v>Delayed 5 minutes</v>
      <v>from previous close</v>
      <v>from previous close</v>
      <v>GMT</v>
    </spb>
    <spb s="8">
      <v>15</v>
      <v>2</v>
      <v>2</v>
      <v>15</v>
      <v>3</v>
      <v>15</v>
      <v>15</v>
      <v>15</v>
      <v>5</v>
      <v>5</v>
      <v>6</v>
      <v>16</v>
      <v>15</v>
      <v>15</v>
      <v>15</v>
      <v>5</v>
      <v>8</v>
      <v>9</v>
      <v>10</v>
      <v>5</v>
    </spb>
    <spb s="5">
      <v>Delayed 20 minutes</v>
      <v>from previous close</v>
      <v>from previous close</v>
      <v>KSE</v>
      <v>GMT</v>
    </spb>
    <spb s="8">
      <v>1</v>
      <v>2</v>
      <v>2</v>
      <v>1</v>
      <v>3</v>
      <v>1</v>
      <v>1</v>
      <v>1</v>
      <v>5</v>
      <v>5</v>
      <v>6</v>
      <v>17</v>
      <v>1</v>
      <v>1</v>
      <v>1</v>
      <v>5</v>
      <v>8</v>
      <v>9</v>
      <v>10</v>
      <v>5</v>
    </spb>
    <spb s="0">
      <v>2</v>
      <v>Name</v>
      <v>LearnMoreOnLink</v>
    </spb>
    <spb s="10">
      <v>18</v>
      <v>2</v>
      <v>2</v>
      <v>18</v>
      <v>3</v>
      <v>18</v>
      <v>18</v>
      <v>18</v>
      <v>5</v>
      <v>5</v>
      <v>6</v>
      <v>19</v>
      <v>18</v>
      <v>18</v>
      <v>18</v>
      <v>5</v>
      <v>8</v>
      <v>9</v>
      <v>10</v>
      <v>5</v>
      <v>18</v>
      <v>18</v>
      <v>6</v>
    </spb>
    <spb s="11">
      <v>at close</v>
      <v>from previous close</v>
      <v>from previous close</v>
      <v>GMT</v>
      <v>Delayed 15 minutes</v>
      <v>from close</v>
      <v>from close</v>
    </spb>
  </spbData>
</supportingPropertyBags>
</file>

<file path=xl/richData/rdsupportingpropertybagstructure.xml><?xml version="1.0" encoding="utf-8"?>
<spbStructures xmlns="http://schemas.microsoft.com/office/spreadsheetml/2017/richdata2" count="12">
  <s>
    <k n="^Order" t="spba"/>
    <k n="TitleProperty" t="s"/>
    <k n="SubTitleProperty" t="s"/>
  </s>
  <s>
    <k n="ShowInDotNotation" t="b"/>
    <k n="ShowInAutoComplete" t="b"/>
  </s>
  <s>
    <k n="ShowInCardView" t="b"/>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name"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rpv i="2">1</rpv>
    </rSty>
    <rSty dxfid="4">
      <rpv i="0">#,##0</rpv>
    </rSty>
    <rSty dxfid="3"/>
    <rSty dxfid="1">
      <rpv i="0">_([$$-en-US]* #,##0_);_([$$-en-US]* (#,##0);_([$$-en-US]* "-"_);_(@_)</rpv>
    </rSty>
    <rSty dxfid="2"/>
    <rSty dxfid="6">
      <rpv i="0">0</rpv>
    </rSty>
    <rSty dxfid="0">
      <rpv i="0">0.00</rpv>
    </rSty>
    <rSty dxfid="1">
      <rpv i="0">_([$€-x-euro2] * #,##0_);_([$€-x-euro2] * (#,##0);_([$€-x-euro2] * "-"_);_(@_)</rpv>
    </rSty>
    <rSty dxfid="1">
      <rpv i="0">_([$€-x-euro2] * #,##0.00_);_([$€-x-euro2] * (#,##0.00);_([$€-x-euro2] * "-"??_);_(@_)</rpv>
    </rSty>
    <rSty dxfid="1">
      <rpv i="0" xml:space="preserve">_ [$₹-en-IN] * #,##0.00_ ;_ [$₹-en-IN] * -#,##0.00_ ;_ [$₹-en-IN] * "-"??_ ;_ @_ </rpv>
    </rSty>
    <rSty dxfid="1">
      <rpv i="0" xml:space="preserve">_ [$₹-en-IN] * #,##0_ ;_ [$₹-en-IN] * -#,##0_ ;_ [$₹-en-IN] * "-"_ ;_ @_ </rpv>
    </rSty>
    <rSty dxfid="1">
      <rpv i="0">_-[$₩-ko-KR]* #,##0.00_-;-[$₩-ko-KR]* #,##0.00_-;_-[$₩-ko-KR]* "-"??_-;_-@_-</rpv>
    </rSty>
    <rSty dxfid="1">
      <rpv i="0">_-[$₩-ko-KR]* #,##0_-;-[$₩-ko-KR]* #,##0_-;_-[$₩-ko-KR]* "-"_-;_-@_-</rpv>
    </rSty>
    <rSty dxfid="1">
      <rpv i="0">_-[$¥-ja-JP]* #,##0_-;-[$¥-ja-JP]* #,##0_-;_-[$¥-ja-JP]* "-"_-;_-@_-</rpv>
    </rSty>
    <rSty dxfid="1">
      <rpv i="0">_-[$$-en-HK]* #,##0.00_-;-[$$-en-HK]* #,##0.00_-;_-[$$-en-HK]* "-"??_-;_-@_-</rpv>
    </rSty>
    <rSty dxfid="1">
      <rpv i="0">_-[$$-en-HK]* #,##0_-;-[$$-en-HK]* #,##0_-;_-[$$-en-HK]*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99B552-3724-491C-B91B-B74FF79CE1BE}" name="Table1" displayName="Table1" ref="A2:F10" totalsRowShown="0" headerRowDxfId="342" dataDxfId="341" dataCellStyle="Comma">
  <autoFilter ref="A2:F10" xr:uid="{1799B552-3724-491C-B91B-B74FF79CE1BE}">
    <filterColumn colId="0" hiddenButton="1"/>
    <filterColumn colId="1" hiddenButton="1"/>
    <filterColumn colId="2" hiddenButton="1"/>
    <filterColumn colId="3" hiddenButton="1"/>
    <filterColumn colId="4" hiddenButton="1"/>
    <filterColumn colId="5" hiddenButton="1"/>
  </autoFilter>
  <tableColumns count="6">
    <tableColumn id="1" xr3:uid="{866242C8-88B8-4A7A-A5A8-854F84A22517}" name="Particulars" dataDxfId="340"/>
    <tableColumn id="2" xr3:uid="{6F42BF51-41D4-4B16-997E-9B5513EF8E43}" name="2020" dataDxfId="339" dataCellStyle="Comma"/>
    <tableColumn id="3" xr3:uid="{6F67D331-A0B6-4563-80AC-8D781226B3E4}" name="2021" dataDxfId="338" dataCellStyle="Comma"/>
    <tableColumn id="4" xr3:uid="{130D1575-912B-4628-A6CF-93819DED4C1E}" name="2022" dataDxfId="337" dataCellStyle="Comma"/>
    <tableColumn id="5" xr3:uid="{59D02AA0-DBB4-4A87-B2EA-DE8B715EA4B6}" name="2023" dataDxfId="336" dataCellStyle="Comma"/>
    <tableColumn id="6" xr3:uid="{6EA1D8C4-5AEF-401F-BEDA-FBFCFD8DA758}" name="2024" dataDxfId="335" dataCellStyle="Comma"/>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6D1C33-D91F-486C-A9D0-161E51C496FD}" name="Table2" displayName="Table2" ref="A13:F22" totalsRowShown="0" headerRowDxfId="334" dataDxfId="333" dataCellStyle="Comma">
  <autoFilter ref="A13:F22" xr:uid="{966D1C33-D91F-486C-A9D0-161E51C496FD}">
    <filterColumn colId="0" hiddenButton="1"/>
    <filterColumn colId="1" hiddenButton="1"/>
    <filterColumn colId="2" hiddenButton="1"/>
    <filterColumn colId="3" hiddenButton="1"/>
    <filterColumn colId="4" hiddenButton="1"/>
    <filterColumn colId="5" hiddenButton="1"/>
  </autoFilter>
  <tableColumns count="6">
    <tableColumn id="1" xr3:uid="{14D81EC1-3A25-4A42-8EC3-DDD552955CBC}" name="Particulars" dataDxfId="332"/>
    <tableColumn id="2" xr3:uid="{C919515E-5BD3-4108-8973-35A6B8D91BFB}" name="2020" dataDxfId="331" dataCellStyle="Comma"/>
    <tableColumn id="3" xr3:uid="{F11AFE31-CC6B-49E6-8740-A1772B94FCBD}" name="2021" dataDxfId="330" dataCellStyle="Comma"/>
    <tableColumn id="4" xr3:uid="{9E762D2A-C835-4CB4-A474-79AFF97353B1}" name="2022" dataDxfId="329" dataCellStyle="Comma"/>
    <tableColumn id="5" xr3:uid="{8CCF88E2-BCEB-40A5-9C08-AA12A6217E76}" name="2023" dataDxfId="328" dataCellStyle="Comma"/>
    <tableColumn id="6" xr3:uid="{FCC81ED1-2E0E-4D5B-85E7-70B3EEFDF88C}" name="2024" dataDxfId="327" dataCellStyle="Comma"/>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EBEF23-A66E-41B8-A5EC-C121EC067921}" name="Table3" displayName="Table3" ref="A25:F30" totalsRowShown="0" headerRowDxfId="326" dataDxfId="325" dataCellStyle="Comma">
  <autoFilter ref="A25:F30" xr:uid="{51EBEF23-A66E-41B8-A5EC-C121EC067921}">
    <filterColumn colId="0" hiddenButton="1"/>
    <filterColumn colId="1" hiddenButton="1"/>
    <filterColumn colId="2" hiddenButton="1"/>
    <filterColumn colId="3" hiddenButton="1"/>
    <filterColumn colId="4" hiddenButton="1"/>
    <filterColumn colId="5" hiddenButton="1"/>
  </autoFilter>
  <tableColumns count="6">
    <tableColumn id="1" xr3:uid="{7E032F3E-F863-4B90-AEB4-6ED1F35D8F6F}" name="Particulars" dataDxfId="324"/>
    <tableColumn id="2" xr3:uid="{4C87B5F3-FE0C-406B-AA2C-144673B9F9A6}" name="2020" dataDxfId="323" dataCellStyle="Comma"/>
    <tableColumn id="3" xr3:uid="{4F82FB63-8DBF-4F3A-99B0-56CA34DD5CDF}" name="2021" dataDxfId="322" dataCellStyle="Comma"/>
    <tableColumn id="4" xr3:uid="{5F288849-9644-4920-8B14-8A5FA53CE7E1}" name="2022" dataDxfId="321" dataCellStyle="Comma"/>
    <tableColumn id="5" xr3:uid="{366703B2-EE26-4AF1-8E04-BFC7E391AA8A}" name="2023" dataDxfId="320" dataCellStyle="Comma"/>
    <tableColumn id="6" xr3:uid="{217C5D03-65A5-4566-861B-C6DAB17B47AB}" name="2024" dataDxfId="319" dataCellStyle="Comma"/>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1BB32AC-05D1-411D-B140-71F7CC9331AB}" name="Table4" displayName="Table4" ref="H2:M10" totalsRowShown="0" headerRowDxfId="318" dataDxfId="317" tableBorderDxfId="316">
  <autoFilter ref="H2:M10" xr:uid="{71BB32AC-05D1-411D-B140-71F7CC9331AB}">
    <filterColumn colId="0" hiddenButton="1"/>
    <filterColumn colId="1" hiddenButton="1"/>
    <filterColumn colId="2" hiddenButton="1"/>
    <filterColumn colId="3" hiddenButton="1"/>
    <filterColumn colId="4" hiddenButton="1"/>
    <filterColumn colId="5" hiddenButton="1"/>
  </autoFilter>
  <tableColumns count="6">
    <tableColumn id="1" xr3:uid="{F65C411A-E97F-4BB6-B5AB-06E76C53CC09}" name="Particulars" dataDxfId="315"/>
    <tableColumn id="2" xr3:uid="{B1C1F1C5-6DD8-473F-8B04-BFED90950F9B}" name="2020" dataDxfId="314" dataCellStyle="Comma"/>
    <tableColumn id="3" xr3:uid="{194A314A-6415-4930-ADF2-7407ECE25234}" name="2021" dataDxfId="313" dataCellStyle="Comma"/>
    <tableColumn id="4" xr3:uid="{5704CB2D-EAFB-41F5-A9D4-F8F88726455A}" name="2022" dataDxfId="312" dataCellStyle="Comma"/>
    <tableColumn id="5" xr3:uid="{8B80CE48-A0D6-4AE3-940E-3C648A354112}" name="2023" dataDxfId="311" dataCellStyle="Comma"/>
    <tableColumn id="6" xr3:uid="{CB89C509-1A8D-4C18-9EAF-5982C04CDD49}" name="2024" dataDxfId="310" dataCellStyle="Comma"/>
  </tableColumns>
  <tableStyleInfo name="TableStyleMedium1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0BB730-DA66-4B6E-9B95-2A5EBB3E414C}" name="Table5" displayName="Table5" ref="H13:M22" totalsRowShown="0" headerRowDxfId="309" dataDxfId="308" tableBorderDxfId="307">
  <autoFilter ref="H13:M22" xr:uid="{740BB730-DA66-4B6E-9B95-2A5EBB3E414C}">
    <filterColumn colId="0" hiddenButton="1"/>
    <filterColumn colId="1" hiddenButton="1"/>
    <filterColumn colId="2" hiddenButton="1"/>
    <filterColumn colId="3" hiddenButton="1"/>
    <filterColumn colId="4" hiddenButton="1"/>
    <filterColumn colId="5" hiddenButton="1"/>
  </autoFilter>
  <tableColumns count="6">
    <tableColumn id="1" xr3:uid="{B6A19676-B49A-4555-9CFA-3BAC47D2AE14}" name="Particulars" dataDxfId="306"/>
    <tableColumn id="2" xr3:uid="{9A2E2257-3506-4865-A298-11685DDAF8DE}" name="2020" dataDxfId="305" dataCellStyle="Comma"/>
    <tableColumn id="3" xr3:uid="{655A0D74-F365-47D6-AEF9-2D279AAFF2E4}" name="2021" dataDxfId="304" dataCellStyle="Comma"/>
    <tableColumn id="4" xr3:uid="{9666D507-C659-44F5-AC45-E6D90BDECCAD}" name="2022" dataDxfId="303" dataCellStyle="Comma"/>
    <tableColumn id="5" xr3:uid="{312C985A-DFC4-474F-A7E8-ABB5FD76554F}" name="2023" dataDxfId="302" dataCellStyle="Comma"/>
    <tableColumn id="6" xr3:uid="{6AA0005C-DD85-454D-A9FB-D6FA726851E8}" name="2024" dataDxfId="301" dataCellStyle="Comma"/>
  </tableColumns>
  <tableStyleInfo name="TableStyleMedium1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1A019EA-F823-4426-BFF8-7653EF042F78}" name="Table6" displayName="Table6" ref="H25:M30" totalsRowShown="0" headerRowDxfId="300" dataDxfId="299" tableBorderDxfId="298">
  <autoFilter ref="H25:M30" xr:uid="{21A019EA-F823-4426-BFF8-7653EF042F78}">
    <filterColumn colId="0" hiddenButton="1"/>
    <filterColumn colId="1" hiddenButton="1"/>
    <filterColumn colId="2" hiddenButton="1"/>
    <filterColumn colId="3" hiddenButton="1"/>
    <filterColumn colId="4" hiddenButton="1"/>
    <filterColumn colId="5" hiddenButton="1"/>
  </autoFilter>
  <tableColumns count="6">
    <tableColumn id="1" xr3:uid="{DC26C73C-E79D-4993-B3AD-CAD77089E6C8}" name="Particulars" dataDxfId="297"/>
    <tableColumn id="2" xr3:uid="{668F589D-24C6-40C5-83FA-DA1B287780B8}" name="2020" dataDxfId="296" dataCellStyle="Comma"/>
    <tableColumn id="3" xr3:uid="{7094C237-538D-4C4A-A8E1-2F2753F2D3F1}" name="2021" dataDxfId="295" dataCellStyle="Comma"/>
    <tableColumn id="4" xr3:uid="{8958E57B-CC8C-4471-959F-0B416CD75DBB}" name="2022" dataDxfId="294" dataCellStyle="Comma"/>
    <tableColumn id="5" xr3:uid="{6B38EFC4-FD01-4FFB-9523-9CA36136AE95}" name="2023" dataDxfId="293" dataCellStyle="Comma"/>
    <tableColumn id="6" xr3:uid="{8C326C7A-E583-485D-83D4-DC004E1F13B7}" name="2024" dataDxfId="292" dataCellStyle="Comma"/>
  </tableColumns>
  <tableStyleInfo name="TableStyleMedium1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4FEC6BF-DCDF-45A9-9CAC-6F4BEBD1321D}" name="Table18" displayName="Table18" ref="O2:T10" totalsRowShown="0" headerRowDxfId="291" dataDxfId="290" dataCellStyle="Comma">
  <autoFilter ref="O2:T10" xr:uid="{84FEC6BF-DCDF-45A9-9CAC-6F4BEBD1321D}">
    <filterColumn colId="0" hiddenButton="1"/>
    <filterColumn colId="1" hiddenButton="1"/>
    <filterColumn colId="2" hiddenButton="1"/>
    <filterColumn colId="3" hiddenButton="1"/>
    <filterColumn colId="4" hiddenButton="1"/>
    <filterColumn colId="5" hiddenButton="1"/>
  </autoFilter>
  <tableColumns count="6">
    <tableColumn id="1" xr3:uid="{ECD56BFD-14D7-4BE6-B34A-86DB9B8ABE4F}" name="Particulars" dataDxfId="289"/>
    <tableColumn id="2" xr3:uid="{AFD8DE3F-062B-4E40-AEC7-9584A7787D29}" name="2020" dataDxfId="288" dataCellStyle="Comma"/>
    <tableColumn id="3" xr3:uid="{32CCE026-3957-4271-835B-3603B2719178}" name="2021" dataDxfId="287" dataCellStyle="Comma"/>
    <tableColumn id="4" xr3:uid="{7B272276-669B-4EDC-94AC-C7C6B300128F}" name="2022" dataDxfId="286" dataCellStyle="Comma"/>
    <tableColumn id="5" xr3:uid="{9FEE2EF0-984A-4EF4-884A-2969CFC5E5B3}" name="2023" dataDxfId="285" dataCellStyle="Comma"/>
    <tableColumn id="6" xr3:uid="{25445BE5-1FEE-4E44-A5F5-393B6EE4B69B}" name="2024" dataDxfId="284" dataCellStyle="Comma"/>
  </tableColumns>
  <tableStyleInfo name="TableStyleMedium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BAB793F-FE9C-48EB-8067-03D54B8BBC2C}" name="Table212" displayName="Table212" ref="O13:T22" totalsRowShown="0" headerRowDxfId="283" dataDxfId="282" dataCellStyle="Comma">
  <autoFilter ref="O13:T22" xr:uid="{CBAB793F-FE9C-48EB-8067-03D54B8BBC2C}">
    <filterColumn colId="0" hiddenButton="1"/>
    <filterColumn colId="1" hiddenButton="1"/>
    <filterColumn colId="2" hiddenButton="1"/>
    <filterColumn colId="3" hiddenButton="1"/>
    <filterColumn colId="4" hiddenButton="1"/>
    <filterColumn colId="5" hiddenButton="1"/>
  </autoFilter>
  <tableColumns count="6">
    <tableColumn id="1" xr3:uid="{3938C97F-AE43-44D3-B9FA-B96B686D775F}" name="Particulars" dataDxfId="281"/>
    <tableColumn id="2" xr3:uid="{0E4E8779-936E-47AA-AD45-EF3AB170905A}" name="2020" dataDxfId="280" dataCellStyle="Comma"/>
    <tableColumn id="3" xr3:uid="{DB5540C4-3CD7-495A-8828-26DFD3E04CD8}" name="2021" dataDxfId="279" dataCellStyle="Comma"/>
    <tableColumn id="4" xr3:uid="{7E4BEBC7-76E0-4F80-8CFC-6ED2DEBD63C3}" name="2022" dataDxfId="278" dataCellStyle="Comma"/>
    <tableColumn id="5" xr3:uid="{4DAA4465-3092-44AE-8473-EA428F9436AD}" name="2023" dataDxfId="277" dataCellStyle="Comma"/>
    <tableColumn id="6" xr3:uid="{F4ED9232-C563-4B57-9DD7-1FD081B6630D}" name="2024" dataDxfId="276" dataCellStyle="Comma"/>
  </tableColumns>
  <tableStyleInfo name="TableStyleMedium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1D54161-2BAE-4E5B-832E-1E71892B2CE0}" name="Table313" displayName="Table313" ref="O25:T30" totalsRowShown="0" headerRowDxfId="275" dataDxfId="274" dataCellStyle="Comma">
  <autoFilter ref="O25:T30" xr:uid="{51D54161-2BAE-4E5B-832E-1E71892B2CE0}">
    <filterColumn colId="0" hiddenButton="1"/>
    <filterColumn colId="1" hiddenButton="1"/>
    <filterColumn colId="2" hiddenButton="1"/>
    <filterColumn colId="3" hiddenButton="1"/>
    <filterColumn colId="4" hiddenButton="1"/>
    <filterColumn colId="5" hiddenButton="1"/>
  </autoFilter>
  <tableColumns count="6">
    <tableColumn id="1" xr3:uid="{0C45FD3E-1855-4816-A6C3-724BC03CED5A}" name="Particulars" dataDxfId="273"/>
    <tableColumn id="2" xr3:uid="{E8260389-1866-45B4-BB26-D294A6F7A95C}" name="2020" dataDxfId="272" dataCellStyle="Comma"/>
    <tableColumn id="3" xr3:uid="{6668262A-324F-4279-B2E1-3318310848E2}" name="2021" dataDxfId="271" dataCellStyle="Comma"/>
    <tableColumn id="4" xr3:uid="{D988F069-1E9F-4BC9-A3BA-74034867EC0B}" name="2022" dataDxfId="270" dataCellStyle="Comma"/>
    <tableColumn id="5" xr3:uid="{8ED26101-B931-4FE1-843E-7FD08E42B602}" name="2023" dataDxfId="269" dataCellStyle="Comma"/>
    <tableColumn id="6" xr3:uid="{25CEE246-47B6-4904-8F23-34A5935F8701}" name="2024" dataDxfId="268" dataCellStyle="Comma"/>
  </tableColumns>
  <tableStyleInfo name="TableStyleMedium1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89AEFC0-B9AB-4FB2-9460-B76F9BFD4CA9}" name="Table417" displayName="Table417" ref="V2:AA10" totalsRowShown="0" headerRowDxfId="267" dataDxfId="266" tableBorderDxfId="265">
  <autoFilter ref="V2:AA10" xr:uid="{089AEFC0-B9AB-4FB2-9460-B76F9BFD4CA9}">
    <filterColumn colId="0" hiddenButton="1"/>
    <filterColumn colId="1" hiddenButton="1"/>
    <filterColumn colId="2" hiddenButton="1"/>
    <filterColumn colId="3" hiddenButton="1"/>
    <filterColumn colId="4" hiddenButton="1"/>
    <filterColumn colId="5" hiddenButton="1"/>
  </autoFilter>
  <tableColumns count="6">
    <tableColumn id="1" xr3:uid="{9F894935-7843-47B8-A811-5FCEF7225AB2}" name="Particulars" dataDxfId="264"/>
    <tableColumn id="2" xr3:uid="{EAF32A50-9E56-4D75-B508-80DA4A131718}" name="2020" dataDxfId="263" dataCellStyle="Comma"/>
    <tableColumn id="3" xr3:uid="{BDDE9ECE-6E78-4400-A34E-8F4BA43C8C46}" name="2021" dataDxfId="262" dataCellStyle="Comma"/>
    <tableColumn id="4" xr3:uid="{21E11B4E-5CBC-45F6-A1B1-EFD9A6017D6C}" name="2022" dataDxfId="261" dataCellStyle="Comma"/>
    <tableColumn id="5" xr3:uid="{8DBF077D-4F14-4CD8-AA36-72A677A12540}" name="2023" dataDxfId="260" dataCellStyle="Comma"/>
    <tableColumn id="6" xr3:uid="{A1ED75A5-10B8-42C1-A6A8-F43F999E2F71}" name="2024" dataDxfId="259" dataCellStyle="Comma"/>
  </tableColumns>
  <tableStyleInfo name="TableStyleMedium1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653D25F-2B5B-4D4A-9E56-E86431FA6628}" name="Table518" displayName="Table518" ref="V13:AA22" totalsRowShown="0" headerRowDxfId="258" dataDxfId="257" tableBorderDxfId="256">
  <autoFilter ref="V13:AA22" xr:uid="{0653D25F-2B5B-4D4A-9E56-E86431FA6628}">
    <filterColumn colId="0" hiddenButton="1"/>
    <filterColumn colId="1" hiddenButton="1"/>
    <filterColumn colId="2" hiddenButton="1"/>
    <filterColumn colId="3" hiddenButton="1"/>
    <filterColumn colId="4" hiddenButton="1"/>
    <filterColumn colId="5" hiddenButton="1"/>
  </autoFilter>
  <tableColumns count="6">
    <tableColumn id="1" xr3:uid="{75E4EF39-11BA-45F0-8A8A-7CB99D3FF90E}" name="Particulars" dataDxfId="255"/>
    <tableColumn id="2" xr3:uid="{75017D8B-C0DB-4ED9-B331-7D67D1F8204C}" name="2020" dataDxfId="254" dataCellStyle="Comma"/>
    <tableColumn id="3" xr3:uid="{38BE7F73-1037-4BE9-888A-0CB0FB51410B}" name="2021" dataDxfId="253" dataCellStyle="Comma"/>
    <tableColumn id="4" xr3:uid="{FB38575E-2109-4740-A111-FFC22B0A0D2F}" name="2022" dataDxfId="252" dataCellStyle="Comma"/>
    <tableColumn id="5" xr3:uid="{3EBE63B4-750B-436E-AB59-C7D0D4C9556C}" name="2023" dataDxfId="251" dataCellStyle="Comma"/>
    <tableColumn id="6" xr3:uid="{921439AB-1AB3-4A89-A133-D2D348A69217}" name="2024" dataDxfId="250" dataCellStyle="Comma"/>
  </tableColumns>
  <tableStyleInfo name="TableStyleMedium1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0679AB1-D634-47ED-83D5-2ABEB6104756}" name="Table619" displayName="Table619" ref="V25:AA30" totalsRowShown="0" headerRowDxfId="249" dataDxfId="248" tableBorderDxfId="247">
  <autoFilter ref="V25:AA30" xr:uid="{D0679AB1-D634-47ED-83D5-2ABEB6104756}">
    <filterColumn colId="0" hiddenButton="1"/>
    <filterColumn colId="1" hiddenButton="1"/>
    <filterColumn colId="2" hiddenButton="1"/>
    <filterColumn colId="3" hiddenButton="1"/>
    <filterColumn colId="4" hiddenButton="1"/>
    <filterColumn colId="5" hiddenButton="1"/>
  </autoFilter>
  <tableColumns count="6">
    <tableColumn id="1" xr3:uid="{BCA1D441-4338-4298-A8DE-BF7192750F09}" name="Particulars" dataDxfId="246"/>
    <tableColumn id="2" xr3:uid="{AB1B427B-9027-47C7-9A76-E9922F78BF0C}" name="2020" dataDxfId="245" dataCellStyle="Comma"/>
    <tableColumn id="3" xr3:uid="{16153982-DC21-411C-B674-CB61B5AAF661}" name="2021" dataDxfId="244" dataCellStyle="Comma"/>
    <tableColumn id="4" xr3:uid="{898627B9-19C9-467B-A305-8AA722752939}" name="2022" dataDxfId="243" dataCellStyle="Comma"/>
    <tableColumn id="5" xr3:uid="{9FA0FF46-2735-40E9-B37E-32355627483F}" name="2023" dataDxfId="242" dataCellStyle="Comma"/>
    <tableColumn id="6" xr3:uid="{E89FC14B-0CEF-4682-BAF3-58E79676369A}" name="2024" dataDxfId="241" dataCellStyle="Comma"/>
  </tableColumns>
  <tableStyleInfo name="TableStyleMedium1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9677323-34A0-49B6-9559-84EE8DBDA126}" name="Table1826" displayName="Table1826" ref="AC2:AH10" totalsRowShown="0" headerRowDxfId="240" dataDxfId="239" dataCellStyle="Comma">
  <autoFilter ref="AC2:AH10" xr:uid="{99677323-34A0-49B6-9559-84EE8DBDA126}">
    <filterColumn colId="0" hiddenButton="1"/>
    <filterColumn colId="1" hiddenButton="1"/>
    <filterColumn colId="2" hiddenButton="1"/>
    <filterColumn colId="3" hiddenButton="1"/>
    <filterColumn colId="4" hiddenButton="1"/>
    <filterColumn colId="5" hiddenButton="1"/>
  </autoFilter>
  <tableColumns count="6">
    <tableColumn id="1" xr3:uid="{26323C88-352C-4CB1-9E1D-1D1F3B9E8D3E}" name="Particulars" dataDxfId="238"/>
    <tableColumn id="2" xr3:uid="{48621713-3BCA-440D-95FD-0A87478316FC}" name="2020" dataDxfId="237" dataCellStyle="Comma"/>
    <tableColumn id="3" xr3:uid="{AAB9BA95-1CC5-4280-8A7D-61EE4418305F}" name="2021" dataDxfId="236" dataCellStyle="Comma"/>
    <tableColumn id="4" xr3:uid="{4E7421B4-7F64-463E-ABB2-4E912EB5F11E}" name="2022" dataDxfId="235" dataCellStyle="Comma"/>
    <tableColumn id="5" xr3:uid="{1CD486A4-6954-4DE2-A1DA-00D17BBDC904}" name="2023" dataDxfId="234" dataCellStyle="Comma"/>
    <tableColumn id="6" xr3:uid="{5668FA41-D458-4B7E-AA9C-BDF25D6DBF71}" name="2024" dataDxfId="233" dataCellStyle="Comma"/>
  </tableColumns>
  <tableStyleInfo name="TableStyleMedium1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FD32F71-118B-4581-8348-E428710E19E6}" name="Table21227" displayName="Table21227" ref="AC13:AH22" totalsRowShown="0" headerRowDxfId="232" dataDxfId="231" dataCellStyle="Comma">
  <autoFilter ref="AC13:AH22" xr:uid="{0FD32F71-118B-4581-8348-E428710E19E6}">
    <filterColumn colId="0" hiddenButton="1"/>
    <filterColumn colId="1" hiddenButton="1"/>
    <filterColumn colId="2" hiddenButton="1"/>
    <filterColumn colId="3" hiddenButton="1"/>
    <filterColumn colId="4" hiddenButton="1"/>
    <filterColumn colId="5" hiddenButton="1"/>
  </autoFilter>
  <tableColumns count="6">
    <tableColumn id="1" xr3:uid="{30D7953A-E1ED-43D0-B788-75DF597FACFF}" name="Particulars" dataDxfId="230"/>
    <tableColumn id="2" xr3:uid="{82A63C1C-EB09-4981-BE42-4667FC518867}" name="2020" dataDxfId="229" dataCellStyle="Comma"/>
    <tableColumn id="3" xr3:uid="{781132E4-3479-43CC-9495-2A3A0AB2C249}" name="2021" dataDxfId="228" dataCellStyle="Comma"/>
    <tableColumn id="4" xr3:uid="{2A33017C-283B-4984-8BEF-A4CA0AA18DB1}" name="2022" dataDxfId="227" dataCellStyle="Comma"/>
    <tableColumn id="5" xr3:uid="{D57FE3AC-F369-492C-9381-E605255C27AD}" name="2023" dataDxfId="226" dataCellStyle="Comma"/>
    <tableColumn id="6" xr3:uid="{46675056-0DC3-46BA-9877-AA6C142EF0B8}" name="2024" dataDxfId="225" dataCellStyle="Comma"/>
  </tableColumns>
  <tableStyleInfo name="TableStyleMedium1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EF84B52-B60E-4C80-8F7E-E76853BB4E24}" name="Table31328" displayName="Table31328" ref="AC25:AH30" totalsRowShown="0" headerRowDxfId="224" dataDxfId="223" dataCellStyle="Comma">
  <autoFilter ref="AC25:AH30" xr:uid="{6EF84B52-B60E-4C80-8F7E-E76853BB4E24}">
    <filterColumn colId="0" hiddenButton="1"/>
    <filterColumn colId="1" hiddenButton="1"/>
    <filterColumn colId="2" hiddenButton="1"/>
    <filterColumn colId="3" hiddenButton="1"/>
    <filterColumn colId="4" hiddenButton="1"/>
    <filterColumn colId="5" hiddenButton="1"/>
  </autoFilter>
  <tableColumns count="6">
    <tableColumn id="1" xr3:uid="{D875D063-4923-43F9-98EE-DD4891DF6479}" name="Particulars" dataDxfId="222"/>
    <tableColumn id="2" xr3:uid="{40248281-0B8E-44BA-8992-788C548F5CDC}" name="2020" dataDxfId="221" dataCellStyle="Comma"/>
    <tableColumn id="3" xr3:uid="{C7AB6D7A-CA87-46DE-BDBC-3D69DF10FCBA}" name="2021" dataDxfId="220" dataCellStyle="Comma"/>
    <tableColumn id="4" xr3:uid="{D9A595E0-A7E5-4ECF-A91F-B0594062FE3D}" name="2022" dataDxfId="219" dataCellStyle="Comma"/>
    <tableColumn id="5" xr3:uid="{E14C5381-9467-4E37-BA41-FB0ED196D466}" name="2023" dataDxfId="218" dataCellStyle="Comma"/>
    <tableColumn id="6" xr3:uid="{0D6431F2-471E-4053-BDAB-8712BB25FF2B}" name="2024" dataDxfId="217" dataCellStyle="Comma"/>
  </tableColumns>
  <tableStyleInfo name="TableStyleMedium1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788CAB0-C8CE-431D-8296-E9C18F288E1D}" name="Table41729" displayName="Table41729" ref="AJ2:AO10" totalsRowShown="0" headerRowDxfId="216" dataDxfId="215" tableBorderDxfId="214">
  <autoFilter ref="AJ2:AO10" xr:uid="{E788CAB0-C8CE-431D-8296-E9C18F288E1D}">
    <filterColumn colId="0" hiddenButton="1"/>
    <filterColumn colId="1" hiddenButton="1"/>
    <filterColumn colId="2" hiddenButton="1"/>
    <filterColumn colId="3" hiddenButton="1"/>
    <filterColumn colId="4" hiddenButton="1"/>
    <filterColumn colId="5" hiddenButton="1"/>
  </autoFilter>
  <tableColumns count="6">
    <tableColumn id="1" xr3:uid="{920660E4-CD9D-4A33-AE3F-2CBE210A6B0E}" name="Particulars" dataDxfId="213"/>
    <tableColumn id="2" xr3:uid="{975E6162-7774-44F7-B2BD-A81CE6DB9D6C}" name="2020" dataDxfId="212" dataCellStyle="Comma"/>
    <tableColumn id="3" xr3:uid="{3A41ED73-00AF-45EA-8E12-F48A1B25CEC1}" name="2021" dataDxfId="211" dataCellStyle="Comma"/>
    <tableColumn id="4" xr3:uid="{228219FD-0D32-4081-9BE9-4839497CF67B}" name="2022" dataDxfId="210" dataCellStyle="Comma"/>
    <tableColumn id="5" xr3:uid="{7573E707-5604-4B93-BDAE-57A9B37D9737}" name="2023" dataDxfId="209" dataCellStyle="Comma"/>
    <tableColumn id="6" xr3:uid="{8C9F6172-C003-41B0-8911-A76807EEBA92}" name="2024" dataDxfId="208" dataCellStyle="Comma"/>
  </tableColumns>
  <tableStyleInfo name="TableStyleMedium1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DEE275B-091B-411B-B6AA-CC710097DFA4}" name="Table51830" displayName="Table51830" ref="AJ13:AO22" totalsRowShown="0" headerRowDxfId="207" dataDxfId="206" tableBorderDxfId="205">
  <autoFilter ref="AJ13:AO22" xr:uid="{5DEE275B-091B-411B-B6AA-CC710097DFA4}">
    <filterColumn colId="0" hiddenButton="1"/>
    <filterColumn colId="1" hiddenButton="1"/>
    <filterColumn colId="2" hiddenButton="1"/>
    <filterColumn colId="3" hiddenButton="1"/>
    <filterColumn colId="4" hiddenButton="1"/>
    <filterColumn colId="5" hiddenButton="1"/>
  </autoFilter>
  <tableColumns count="6">
    <tableColumn id="1" xr3:uid="{44C6E9CD-6039-4DF0-88DE-8D7EBAD810B2}" name="Particulars" dataDxfId="204"/>
    <tableColumn id="2" xr3:uid="{1AED3D52-BBDB-4A1F-A271-070CFA396C64}" name="2020" dataDxfId="203" dataCellStyle="Comma"/>
    <tableColumn id="3" xr3:uid="{74A3F9D4-001D-4A1F-83F5-D4F70151DA13}" name="2021" dataDxfId="202" dataCellStyle="Comma"/>
    <tableColumn id="4" xr3:uid="{3FFE0418-EC3E-4D0C-A700-5E5A690C52CB}" name="2022" dataDxfId="201" dataCellStyle="Comma"/>
    <tableColumn id="5" xr3:uid="{87064990-4613-40B1-8F7A-5E2B3A9CDEAA}" name="2023" dataDxfId="200" dataCellStyle="Comma"/>
    <tableColumn id="6" xr3:uid="{719D4149-927C-478E-8F34-8506FB01FA08}" name="2024" dataDxfId="199" dataCellStyle="Comma"/>
  </tableColumns>
  <tableStyleInfo name="TableStyleMedium1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C23F40D-7D83-4A18-8E83-D1EDE7342CEC}" name="Table61931" displayName="Table61931" ref="AJ25:AO30" totalsRowShown="0" headerRowDxfId="198" dataDxfId="197" tableBorderDxfId="196">
  <autoFilter ref="AJ25:AO30" xr:uid="{EC23F40D-7D83-4A18-8E83-D1EDE7342CEC}">
    <filterColumn colId="0" hiddenButton="1"/>
    <filterColumn colId="1" hiddenButton="1"/>
    <filterColumn colId="2" hiddenButton="1"/>
    <filterColumn colId="3" hiddenButton="1"/>
    <filterColumn colId="4" hiddenButton="1"/>
    <filterColumn colId="5" hiddenButton="1"/>
  </autoFilter>
  <tableColumns count="6">
    <tableColumn id="1" xr3:uid="{1F0AD18E-0AC8-4BCD-9332-6FF6BCCBA5E7}" name="Particulars" dataDxfId="195"/>
    <tableColumn id="2" xr3:uid="{1C9FC2BE-13F8-4EFB-8904-BEB48CC0E034}" name="2020" dataDxfId="194" dataCellStyle="Comma"/>
    <tableColumn id="3" xr3:uid="{36EC491F-C47A-414C-A57B-4582E32EAE09}" name="2021" dataDxfId="193" dataCellStyle="Comma"/>
    <tableColumn id="4" xr3:uid="{802E39FD-349A-4C18-91F2-1A0C7AE0F232}" name="2022" dataDxfId="192" dataCellStyle="Comma"/>
    <tableColumn id="5" xr3:uid="{BB41F4D7-E9D8-4CBA-9015-4B10102E14C5}" name="2023" dataDxfId="191" dataCellStyle="Comma"/>
    <tableColumn id="6" xr3:uid="{89A4BC14-DE03-4656-BC7A-13AAAB116DDF}" name="2024" dataDxfId="190" dataCellStyle="Comma"/>
  </tableColumns>
  <tableStyleInfo name="TableStyleMedium1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8F946D9-AED7-4CE2-8CE8-B1AC1333746A}" name="Table19" displayName="Table19" ref="O32:T35" totalsRowShown="0" headerRowDxfId="84" dataDxfId="85">
  <autoFilter ref="O32:T35" xr:uid="{88F946D9-AED7-4CE2-8CE8-B1AC1333746A}">
    <filterColumn colId="0" hiddenButton="1"/>
    <filterColumn colId="1" hiddenButton="1"/>
    <filterColumn colId="2" hiddenButton="1"/>
    <filterColumn colId="3" hiddenButton="1"/>
    <filterColumn colId="4" hiddenButton="1"/>
    <filterColumn colId="5" hiddenButton="1"/>
  </autoFilter>
  <tableColumns count="6">
    <tableColumn id="1" xr3:uid="{657CDAF8-108E-44E9-83D0-ED7AE1668267}" name="Particulars" dataDxfId="83"/>
    <tableColumn id="2" xr3:uid="{B2C2A0BF-7D97-46E4-BD34-5290630B5459}" name="2020" dataDxfId="82"/>
    <tableColumn id="3" xr3:uid="{CBE12D06-896F-4AE0-84A7-1565FB67F7E5}" name="2021" dataDxfId="81"/>
    <tableColumn id="4" xr3:uid="{0ECDB1F9-4681-4E6C-A7C9-882B1BA43797}" name="2022" dataDxfId="80"/>
    <tableColumn id="5" xr3:uid="{4D3AE06B-D01C-4155-9735-73045AA5DA2F}" name="2023" dataDxfId="79"/>
    <tableColumn id="6" xr3:uid="{B3402C76-B239-4108-B06D-3A8F829CE8E1}" name="2024" dataDxfId="78"/>
  </tableColumns>
  <tableStyleInfo name="TableStyleMedium13"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62E383D-2CDE-4847-99A8-C29A1CFEE0FF}" name="Table20" displayName="Table20" ref="O37:U41" totalsRowShown="0" headerRowDxfId="76" dataDxfId="77">
  <autoFilter ref="O37:U41" xr:uid="{662E383D-2CDE-4847-99A8-C29A1CFEE0F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D0C49F8-CB22-4448-B5ED-1EDF5736AAEF}" name="Particulars" dataDxfId="75"/>
    <tableColumn id="2" xr3:uid="{676EA066-43D1-49D7-92FD-BFD1CF3694E7}" name="2025" dataDxfId="74"/>
    <tableColumn id="3" xr3:uid="{BAF45FBA-5FA7-495D-800E-DD7F6FBAF7DA}" name="2026" dataDxfId="73"/>
    <tableColumn id="4" xr3:uid="{459DAB4F-58ED-420E-BEB9-D5ACB5A129C7}" name="2027" dataDxfId="72"/>
    <tableColumn id="5" xr3:uid="{B7083FC8-80F2-4C1A-9A7F-5DDE6F8A0389}" name="2028" dataDxfId="71"/>
    <tableColumn id="6" xr3:uid="{11B5E226-5D96-4B54-983D-F55CD0971E9A}" name="2029" dataDxfId="70"/>
    <tableColumn id="7" xr3:uid="{191436D3-2DA7-446B-9E9F-F359E0CAE7E0}" name="2030" dataDxfId="69"/>
  </tableColumns>
  <tableStyleInfo name="TableStyleMedium13"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225DEF1-A79F-4785-B296-DF6EBDAC5C53}" name="Table1923" displayName="Table1923" ref="V32:AA35" totalsRowShown="0" headerRowDxfId="68" dataDxfId="67">
  <autoFilter ref="V32:AA35" xr:uid="{0225DEF1-A79F-4785-B296-DF6EBDAC5C53}">
    <filterColumn colId="0" hiddenButton="1"/>
    <filterColumn colId="1" hiddenButton="1"/>
    <filterColumn colId="2" hiddenButton="1"/>
    <filterColumn colId="3" hiddenButton="1"/>
    <filterColumn colId="4" hiddenButton="1"/>
    <filterColumn colId="5" hiddenButton="1"/>
  </autoFilter>
  <tableColumns count="6">
    <tableColumn id="1" xr3:uid="{823F1343-3AE9-44EC-AEED-DAA517815F33}" name="Particulars" dataDxfId="66"/>
    <tableColumn id="2" xr3:uid="{BC93BBCA-25F4-4CC0-B2FE-803F6A7DFC78}" name="2020" dataDxfId="65"/>
    <tableColumn id="3" xr3:uid="{140E3191-26B8-4257-BA5E-425D3B6D70F5}" name="2021" dataDxfId="64"/>
    <tableColumn id="4" xr3:uid="{63977730-DDA7-4826-8EFC-4C3EA3184757}" name="2022" dataDxfId="63"/>
    <tableColumn id="5" xr3:uid="{D543AF23-F91B-4B01-AE2F-D44B3154CD3C}" name="2023" dataDxfId="62"/>
    <tableColumn id="6" xr3:uid="{87EA788D-0010-484F-82A9-3CCD6F7AD4AB}" name="2024" dataDxfId="61"/>
  </tableColumns>
  <tableStyleInfo name="TableStyleMedium13"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80C3D65-3C45-4FB6-8C2B-533D1244F06B}" name="Table2025" displayName="Table2025" ref="V42:AB46" totalsRowShown="0" headerRowDxfId="60" dataDxfId="59">
  <autoFilter ref="V42:AB46" xr:uid="{980C3D65-3C45-4FB6-8C2B-533D1244F06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9D37801-4603-4A34-A693-CF35CBC0B8F9}" name="Particulars" dataDxfId="58"/>
    <tableColumn id="2" xr3:uid="{9DB936E5-2DA6-4E81-874D-E75BECA73514}" name="2025" dataDxfId="57"/>
    <tableColumn id="3" xr3:uid="{FBE2BDFD-F27C-4424-AC0E-7E900F3B328C}" name="2026" dataDxfId="56"/>
    <tableColumn id="4" xr3:uid="{4B66CF2C-CFD1-47B1-A981-E968CF461627}" name="2027" dataDxfId="55"/>
    <tableColumn id="5" xr3:uid="{4989DC51-B419-462A-A37F-6414F9507E3A}" name="2028" dataDxfId="54"/>
    <tableColumn id="6" xr3:uid="{BEED3882-125D-49C9-860B-5FF2EEEFB1A0}" name="2029" dataDxfId="53"/>
    <tableColumn id="7" xr3:uid="{7808BDD3-FC15-496E-BCA6-2661FCCAC93C}" name="2030" dataDxfId="52"/>
  </tableColumns>
  <tableStyleInfo name="TableStyleMedium13"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8FC4DF3-D643-4D56-8361-252524FD3FD2}" name="Table192333" displayName="Table192333" ref="AC32:AH35" totalsRowShown="0" headerRowDxfId="33" dataDxfId="32">
  <autoFilter ref="AC32:AH35" xr:uid="{78FC4DF3-D643-4D56-8361-252524FD3FD2}">
    <filterColumn colId="0" hiddenButton="1"/>
    <filterColumn colId="1" hiddenButton="1"/>
    <filterColumn colId="2" hiddenButton="1"/>
    <filterColumn colId="3" hiddenButton="1"/>
    <filterColumn colId="4" hiddenButton="1"/>
    <filterColumn colId="5" hiddenButton="1"/>
  </autoFilter>
  <tableColumns count="6">
    <tableColumn id="1" xr3:uid="{BA4D0CB0-45BC-45BB-857B-E3BF52AE5805}" name="Particulars" dataDxfId="31"/>
    <tableColumn id="2" xr3:uid="{3794AC67-D9F7-4031-9049-E8A7D568F393}" name="2020" dataDxfId="30"/>
    <tableColumn id="3" xr3:uid="{50A403A6-3679-4099-9849-6AD128051D86}" name="2021" dataDxfId="29"/>
    <tableColumn id="4" xr3:uid="{D74BF4B6-BCB4-4CC4-9676-9DD0CD761DED}" name="2022" dataDxfId="28"/>
    <tableColumn id="5" xr3:uid="{78882F8B-3A7A-4061-8BFD-449EEAD58B14}" name="2023" dataDxfId="27"/>
    <tableColumn id="6" xr3:uid="{B78CD970-D827-44F6-9345-4050B5015F2D}" name="2024" dataDxfId="26"/>
  </tableColumns>
  <tableStyleInfo name="TableStyleMedium13"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993ADD7-EF49-4B80-BAC9-74CA20D5AA19}" name="Table2035" displayName="Table2035" ref="AC37:AI41" totalsRowShown="0" headerRowDxfId="25" dataDxfId="24">
  <autoFilter ref="AC37:AI41" xr:uid="{1993ADD7-EF49-4B80-BAC9-74CA20D5AA1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1F88FB9-BA0F-41D2-9A7E-6CE91DE004F7}" name="Particulars" dataDxfId="23"/>
    <tableColumn id="2" xr3:uid="{F5A34E51-2AAF-443B-9EA7-3CE1895EB9D1}" name="2025" dataDxfId="22"/>
    <tableColumn id="3" xr3:uid="{E86574D2-CBA5-4380-9263-BC2088900E11}" name="2026" dataDxfId="21"/>
    <tableColumn id="4" xr3:uid="{A494E21F-0873-4B04-958B-E3343B2175B1}" name="2027" dataDxfId="20"/>
    <tableColumn id="5" xr3:uid="{D504F6AF-BEFE-4571-A604-1848E6C7CD91}" name="2028" dataDxfId="19"/>
    <tableColumn id="6" xr3:uid="{A36C4CC9-F179-466A-9134-3CC286502E8D}" name="2029" dataDxfId="18"/>
    <tableColumn id="7" xr3:uid="{C2879953-A66A-481B-A069-C69FFCC4697A}" name="2030" dataDxfId="17"/>
  </tableColumns>
  <tableStyleInfo name="TableStyleMedium13"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CAAFD03-8744-4258-9030-A83222FB83F1}" name="Table19233345" displayName="Table19233345" ref="AJ32:AO35" totalsRowShown="0" headerRowDxfId="16" dataDxfId="15">
  <autoFilter ref="AJ32:AO35" xr:uid="{7CAAFD03-8744-4258-9030-A83222FB83F1}">
    <filterColumn colId="0" hiddenButton="1"/>
    <filterColumn colId="1" hiddenButton="1"/>
    <filterColumn colId="2" hiddenButton="1"/>
    <filterColumn colId="3" hiddenButton="1"/>
    <filterColumn colId="4" hiddenButton="1"/>
    <filterColumn colId="5" hiddenButton="1"/>
  </autoFilter>
  <tableColumns count="6">
    <tableColumn id="1" xr3:uid="{807786F6-6D2C-4356-A843-5E0037E724A6}" name="Particulars" dataDxfId="14"/>
    <tableColumn id="2" xr3:uid="{622628B5-072A-4BBB-95AB-984047FEAD72}" name="2020" dataDxfId="13"/>
    <tableColumn id="3" xr3:uid="{50622250-F74D-4D13-8FB4-DAF6D1307976}" name="2021" dataDxfId="12"/>
    <tableColumn id="4" xr3:uid="{6DB10838-B3E0-492D-BDD1-E6337387645A}" name="2022" dataDxfId="11"/>
    <tableColumn id="5" xr3:uid="{FE0F3644-9522-4B7E-84D2-B46A805E3689}" name="2023" dataDxfId="10"/>
    <tableColumn id="6" xr3:uid="{AB0CD6E1-23DE-466F-B478-441777141BFC}" name="2024" dataDxfId="9"/>
  </tableColumns>
  <tableStyleInfo name="TableStyleMedium13"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CB42127-48D6-49BB-A484-E754408BFA16}" name="Table202546" displayName="Table202546" ref="AJ42:AP46" totalsRowShown="0" headerRowDxfId="8" dataDxfId="7">
  <autoFilter ref="AJ42:AP46" xr:uid="{FCB42127-48D6-49BB-A484-E754408BFA1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214EA2-B765-480A-A573-F6A5622BD108}" name="Particulars" dataDxfId="6"/>
    <tableColumn id="2" xr3:uid="{E7DCB0AA-A916-4C82-9140-9E8C190F11E0}" name="2025" dataDxfId="5"/>
    <tableColumn id="3" xr3:uid="{15A29F87-1B2C-4949-8A6C-517E228C9BEA}" name="2026" dataDxfId="4"/>
    <tableColumn id="4" xr3:uid="{76FBB781-E12F-4078-8713-BF742AE60DE5}" name="2027" dataDxfId="3"/>
    <tableColumn id="5" xr3:uid="{9C65C455-8572-4CC7-9061-D7B41784451A}" name="2028" dataDxfId="2"/>
    <tableColumn id="6" xr3:uid="{6F98BCBE-84B8-4737-BE86-344C30157504}" name="2029" dataDxfId="1"/>
    <tableColumn id="7" xr3:uid="{13A78E03-B6A3-4D42-AF2B-0EF6B394FFC8}" name="2030" dataDxfId="0"/>
  </tableColumns>
  <tableStyleInfo name="TableStyleMedium13"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9F40D31-B133-40FF-BBBE-947BA3720C19}" name="Table8" displayName="Table8" ref="A12:B22" totalsRowShown="0" headerRowDxfId="189" dataDxfId="188">
  <autoFilter ref="A12:B22" xr:uid="{19F40D31-B133-40FF-BBBE-947BA3720C19}">
    <filterColumn colId="0" hiddenButton="1"/>
    <filterColumn colId="1" hiddenButton="1"/>
  </autoFilter>
  <tableColumns count="2">
    <tableColumn id="1" xr3:uid="{D11AAA8B-9920-4E58-A235-7F3D5DDAC4A6}" name="Metrics" dataDxfId="187"/>
    <tableColumn id="2" xr3:uid="{8114877F-2901-4D40-B822-B3DDEDB0899E}" name="Value" dataDxfId="186"/>
  </tableColumns>
  <tableStyleInfo name="TableStyleMedium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6F6CAF8-D832-4E73-853B-22AE820A0090}" name="Table9" displayName="Table9" ref="A2:G9" totalsRowShown="0" headerRowDxfId="185" dataDxfId="184" headerRowCellStyle="Percent">
  <autoFilter ref="A2:G9" xr:uid="{66F6CAF8-D832-4E73-853B-22AE820A009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90A220E-4986-4F43-80B2-284C2B5BF216}" name="Particulars" dataDxfId="183"/>
    <tableColumn id="2" xr3:uid="{0A299C0A-22FC-4361-81DE-B9470D31CC78}" name="2025" dataDxfId="182"/>
    <tableColumn id="3" xr3:uid="{B7FB57EC-5370-4BC6-95C5-6814DA31F807}" name="2026" dataDxfId="181"/>
    <tableColumn id="4" xr3:uid="{9C04ADD1-91B1-45C6-BD9B-FFF68BEC030A}" name="2027" dataDxfId="180"/>
    <tableColumn id="5" xr3:uid="{12C28BD0-686D-427A-A897-81791B95ABF4}" name="2028" dataDxfId="179"/>
    <tableColumn id="6" xr3:uid="{F248FC7D-F15D-4D9B-B857-3D8CFB465514}" name="2029" dataDxfId="178"/>
    <tableColumn id="7" xr3:uid="{9C96EF0B-4C0C-4B87-8222-5A7D85900C59}" name="2030" dataDxfId="177"/>
  </tableColumns>
  <tableStyleInfo name="TableStyleMedium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9C3EBC2-3956-43A2-9AD4-D42E728B169B}" name="Table10" displayName="Table10" ref="I2:O9" totalsRowShown="0" headerRowDxfId="176" dataDxfId="175" tableBorderDxfId="174" headerRowCellStyle="Percent">
  <autoFilter ref="I2:O9" xr:uid="{49C3EBC2-3956-43A2-9AD4-D42E728B169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87369A1-43C1-415E-B118-8BF6A40B416E}" name="Particulars" dataDxfId="173"/>
    <tableColumn id="2" xr3:uid="{F2B9ADC8-2CB0-4327-9531-140D042665A9}" name="2025" dataDxfId="172" dataCellStyle="Comma"/>
    <tableColumn id="3" xr3:uid="{32BBFDFC-31CC-46BE-AC3D-79235FA7B0C4}" name="2026" dataDxfId="171" dataCellStyle="Comma"/>
    <tableColumn id="4" xr3:uid="{E9FBAB2F-68DB-4A79-BF19-C2E1F5EBC90A}" name="2027" dataDxfId="170" dataCellStyle="Comma"/>
    <tableColumn id="5" xr3:uid="{EE765353-6B47-41CC-94E3-B50E9DA71EEC}" name="2028" dataDxfId="169" dataCellStyle="Comma"/>
    <tableColumn id="6" xr3:uid="{1A65598D-73CE-4A6E-876E-73B9F67BB8B3}" name="2029" dataDxfId="168" dataCellStyle="Comma"/>
    <tableColumn id="7" xr3:uid="{05B63583-411E-4559-BF92-71BA391F79C7}" name="2030" dataDxfId="167" dataCellStyle="Comma"/>
  </tableColumns>
  <tableStyleInfo name="TableStyleMedium17"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C8CE019-1B5D-4709-8DB1-D82BF2A5A676}" name="Table814" displayName="Table814" ref="I12:J22" totalsRowShown="0" headerRowDxfId="166" dataDxfId="165" tableBorderDxfId="164">
  <autoFilter ref="I12:J22" xr:uid="{5C8CE019-1B5D-4709-8DB1-D82BF2A5A676}">
    <filterColumn colId="0" hiddenButton="1"/>
    <filterColumn colId="1" hiddenButton="1"/>
  </autoFilter>
  <tableColumns count="2">
    <tableColumn id="1" xr3:uid="{0A468C84-E4CE-4CD6-8AB6-7F447FBFB2C8}" name="Metrics" dataDxfId="163"/>
    <tableColumn id="2" xr3:uid="{7D90875C-8D71-48A1-9CE4-2FC052FFE554}" name="Value" dataDxfId="162"/>
  </tableColumns>
  <tableStyleInfo name="TableStyleMedium17"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1C63123-7E06-4E5E-9A74-6EADDE1CA12B}" name="Table837" displayName="Table837" ref="Q12:R22" totalsRowShown="0" headerRowDxfId="161" dataDxfId="160">
  <autoFilter ref="Q12:R22" xr:uid="{11C63123-7E06-4E5E-9A74-6EADDE1CA12B}">
    <filterColumn colId="0" hiddenButton="1"/>
    <filterColumn colId="1" hiddenButton="1"/>
  </autoFilter>
  <tableColumns count="2">
    <tableColumn id="1" xr3:uid="{24C79399-5673-4DEB-AEFB-C19081CD4237}" name="Metrics" dataDxfId="159"/>
    <tableColumn id="2" xr3:uid="{8E2040B9-83E2-4E52-A780-8858A8BC0507}" name="Value" dataDxfId="158"/>
  </tableColumns>
  <tableStyleInfo name="TableStyleMedium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6AC01C9-F26D-4E98-AA2E-E877FF185D6A}" name="Table938" displayName="Table938" ref="Q2:W9" totalsRowShown="0" headerRowDxfId="157" dataDxfId="156" headerRowCellStyle="Percent">
  <autoFilter ref="Q2:W9" xr:uid="{96AC01C9-F26D-4E98-AA2E-E877FF185D6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535245C-350B-4BD4-87A1-D4991F6463A2}" name="Particulars" dataDxfId="155"/>
    <tableColumn id="2" xr3:uid="{92C3C7FD-2AB4-4557-82AB-38BA3F392F96}" name="2025" dataDxfId="154"/>
    <tableColumn id="3" xr3:uid="{66DA5886-62DE-4CC1-B575-74DB8CED0798}" name="2026" dataDxfId="153"/>
    <tableColumn id="4" xr3:uid="{B32FE010-A6D2-4967-8683-AC1EE5F1C215}" name="2027" dataDxfId="152"/>
    <tableColumn id="5" xr3:uid="{25742F17-7680-43C0-966C-C8E77E14B44D}" name="2028" dataDxfId="151"/>
    <tableColumn id="6" xr3:uid="{4D495249-B95A-43C7-AA21-C5D273C303E9}" name="2029" dataDxfId="150"/>
    <tableColumn id="7" xr3:uid="{ACFACF31-F848-4E3C-9E34-52A926F776CF}" name="2030" dataDxfId="149"/>
  </tableColumns>
  <tableStyleInfo name="TableStyleMedium9"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737937A-0AC5-4C5B-925B-42517043CE8F}" name="Table1039" displayName="Table1039" ref="Y2:AE9" totalsRowShown="0" headerRowDxfId="148" dataDxfId="147" tableBorderDxfId="146" headerRowCellStyle="Percent">
  <autoFilter ref="Y2:AE9" xr:uid="{2737937A-0AC5-4C5B-925B-42517043CE8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F0F0670-6A5E-468E-9BC0-42D36EE680D4}" name="Particulars" dataDxfId="145"/>
    <tableColumn id="2" xr3:uid="{C5C39923-95A2-4EE9-9EC6-BADDF022E972}" name="2025" dataDxfId="144" dataCellStyle="Comma"/>
    <tableColumn id="3" xr3:uid="{1E4875D0-7480-4F99-8091-D570F0AB2925}" name="2026" dataDxfId="143" dataCellStyle="Comma"/>
    <tableColumn id="4" xr3:uid="{9534F697-E716-4FBB-854D-5DEAF742D77C}" name="2027" dataDxfId="142" dataCellStyle="Comma"/>
    <tableColumn id="5" xr3:uid="{C02504FA-1FC9-46E9-A950-DC581963A07F}" name="2028" dataDxfId="141" dataCellStyle="Comma"/>
    <tableColumn id="6" xr3:uid="{C74BA394-DE46-422A-9E0C-353983F90DF5}" name="2029" dataDxfId="140" dataCellStyle="Comma"/>
    <tableColumn id="7" xr3:uid="{8AACAF26-E07D-4124-8652-FE7E3E478E4A}" name="2030" dataDxfId="139" dataCellStyle="Comma"/>
  </tableColumns>
  <tableStyleInfo name="TableStyleMedium17"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DBF211E-B651-4CDD-9B3C-330C0D28F053}" name="Table81440" displayName="Table81440" ref="Y12:Z22" totalsRowShown="0" headerRowDxfId="138" dataDxfId="137" tableBorderDxfId="136">
  <autoFilter ref="Y12:Z22" xr:uid="{4DBF211E-B651-4CDD-9B3C-330C0D28F053}">
    <filterColumn colId="0" hiddenButton="1"/>
    <filterColumn colId="1" hiddenButton="1"/>
  </autoFilter>
  <tableColumns count="2">
    <tableColumn id="1" xr3:uid="{CDA3D5B8-4E8E-45C0-BDDF-E37B96F2AABC}" name="Metrics" dataDxfId="135"/>
    <tableColumn id="2" xr3:uid="{EBAD9394-3BAD-403A-BD28-23A3AF9B2FF6}" name="Value" dataDxfId="134"/>
  </tableColumns>
  <tableStyleInfo name="TableStyleMedium17"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4E870AD-E4AA-44BC-BB7A-6C46309FC65B}" name="Table841" displayName="Table841" ref="AG12:AH22" totalsRowShown="0" headerRowDxfId="133" dataDxfId="132">
  <autoFilter ref="AG12:AH22" xr:uid="{C4E870AD-E4AA-44BC-BB7A-6C46309FC65B}">
    <filterColumn colId="0" hiddenButton="1"/>
    <filterColumn colId="1" hiddenButton="1"/>
  </autoFilter>
  <tableColumns count="2">
    <tableColumn id="1" xr3:uid="{529D479B-3DB3-4285-BEF5-1B074916366A}" name="Metrics" dataDxfId="131"/>
    <tableColumn id="2" xr3:uid="{C32F9AF1-E970-48AE-866C-CCC63470321B}" name="Value" dataDxfId="130"/>
  </tableColumns>
  <tableStyleInfo name="TableStyleMedium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D388B79-420F-4D90-967A-FC4539CED5A9}" name="Table942" displayName="Table942" ref="AG2:AM9" totalsRowShown="0" headerRowDxfId="129" dataDxfId="128" headerRowCellStyle="Percent">
  <autoFilter ref="AG2:AM9" xr:uid="{4D388B79-420F-4D90-967A-FC4539CED5A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0688455-C375-48E0-A2F2-5E5F3704A6DE}" name="Particulars" dataDxfId="127"/>
    <tableColumn id="2" xr3:uid="{67C677F3-92F6-49F0-91BA-D4DE05AE5F4F}" name="2025" dataDxfId="126"/>
    <tableColumn id="3" xr3:uid="{73DF13A0-BDE7-4A0F-BD8B-3A23050B4AA4}" name="2026" dataDxfId="125"/>
    <tableColumn id="4" xr3:uid="{CC830B24-9BDF-4E91-B56A-A475D979C5E6}" name="2027" dataDxfId="124"/>
    <tableColumn id="5" xr3:uid="{32FF881A-7066-4E83-843F-FB73C5BFDD68}" name="2028" dataDxfId="123"/>
    <tableColumn id="6" xr3:uid="{CEEAFA88-26BA-471C-927F-074022258BA6}" name="2029" dataDxfId="122"/>
    <tableColumn id="7" xr3:uid="{7C691453-1C1D-41FC-9B0C-4A2F1568D429}" name="2030" dataDxfId="121"/>
  </tableColumns>
  <tableStyleInfo name="TableStyleMedium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AC9B703-802B-4A01-AF5E-1AA53C40F90E}" name="Table1043" displayName="Table1043" ref="AO2:AU9" totalsRowShown="0" headerRowDxfId="120" dataDxfId="119" tableBorderDxfId="118" headerRowCellStyle="Percent">
  <autoFilter ref="AO2:AU9" xr:uid="{8AC9B703-802B-4A01-AF5E-1AA53C40F90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36FA396-258F-4918-B022-72C813DDA0AF}" name="Particulars" dataDxfId="117"/>
    <tableColumn id="2" xr3:uid="{98FADA36-231E-442C-BE0A-1B51CA7461CD}" name="2025" dataDxfId="116" dataCellStyle="Comma"/>
    <tableColumn id="3" xr3:uid="{8F43A5BC-DF8C-46D7-85FA-3DFA1343CEAF}" name="2026" dataDxfId="115" dataCellStyle="Comma"/>
    <tableColumn id="4" xr3:uid="{7008A2B8-D0A4-4363-A1D1-9F7A079E9C17}" name="2027" dataDxfId="114" dataCellStyle="Comma"/>
    <tableColumn id="5" xr3:uid="{2B42DA8E-6144-4C01-9F3D-54988B00ABBC}" name="2028" dataDxfId="113" dataCellStyle="Comma"/>
    <tableColumn id="6" xr3:uid="{D521DD2A-D9A9-459E-A277-FA9D82ECC822}" name="2029" dataDxfId="112" dataCellStyle="Comma"/>
    <tableColumn id="7" xr3:uid="{556F886D-5A3A-4E87-94DB-5D43DEE9CE12}" name="2030" dataDxfId="111" dataCellStyle="Comma"/>
  </tableColumns>
  <tableStyleInfo name="TableStyleMedium17"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4F836DC8-621C-40DF-8D0C-A098BCF5D8B6}" name="Table81444" displayName="Table81444" ref="AO12:AP22" totalsRowShown="0" headerRowDxfId="110" dataDxfId="109" tableBorderDxfId="108">
  <autoFilter ref="AO12:AP22" xr:uid="{4F836DC8-621C-40DF-8D0C-A098BCF5D8B6}">
    <filterColumn colId="0" hiddenButton="1"/>
    <filterColumn colId="1" hiddenButton="1"/>
  </autoFilter>
  <tableColumns count="2">
    <tableColumn id="1" xr3:uid="{808EAA6A-6CE1-409B-A17A-515F254BE307}" name="Metrics" dataDxfId="107"/>
    <tableColumn id="2" xr3:uid="{C54ADD6B-B44A-4952-BA3C-D394A16F75DD}" name="Value" dataDxfId="106"/>
  </tableColumns>
  <tableStyleInfo name="TableStyleMedium17"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DFD24BB-F982-4E49-BCF5-51548CF1300F}" name="Table14" displayName="Table14" ref="A19:E25" totalsRowShown="0" headerRowDxfId="105" dataDxfId="104" tableBorderDxfId="103">
  <autoFilter ref="A19:E25" xr:uid="{7DFD24BB-F982-4E49-BCF5-51548CF1300F}">
    <filterColumn colId="0" hiddenButton="1"/>
    <filterColumn colId="1" hiddenButton="1"/>
    <filterColumn colId="2" hiddenButton="1"/>
    <filterColumn colId="3" hiddenButton="1"/>
    <filterColumn colId="4" hiddenButton="1"/>
  </autoFilter>
  <tableColumns count="5">
    <tableColumn id="1" xr3:uid="{D6A4AB9F-F386-41A7-9456-083F21890901}" name="Company" dataDxfId="102"/>
    <tableColumn id="2" xr3:uid="{21306A76-61E9-48C5-8532-265A35780704}" name="EBITDA" dataDxfId="101"/>
    <tableColumn id="3" xr3:uid="{3E6E1314-DCF6-4372-BB71-D036D25DAD3E}" name="Net Income" dataDxfId="100"/>
    <tableColumn id="4" xr3:uid="{4C64048D-4EEB-41A6-967D-3B805E377888}" name="Revenue" dataDxfId="99"/>
    <tableColumn id="5" xr3:uid="{6B243B4F-1B00-44AB-84E0-11D3F6204AC4}" name="Book Value" dataDxfId="98"/>
  </tableColumns>
  <tableStyleInfo name="TableStyleMedium17"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5E33701-C9FB-4748-99D3-0AE7B0BCB8F3}" name="Table15" displayName="Table15" ref="G2:O15" totalsRowShown="0" headerRowDxfId="97" dataDxfId="96" tableBorderDxfId="95" dataCellStyle="Comma">
  <autoFilter ref="G2:O15" xr:uid="{55E33701-C9FB-4748-99D3-0AE7B0BCB8F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AA45F8C-C91E-4B7A-9796-D4ACDDB7BE1E}" name="Company" dataDxfId="94"/>
    <tableColumn id="2" xr3:uid="{2FC474A5-20EA-4156-9472-842F1EAC59A5}" name="EV/EBITDA" dataDxfId="93" dataCellStyle="Comma"/>
    <tableColumn id="3" xr3:uid="{EFB9263A-1464-453E-975E-86EC670FC667}" name="P/E" dataDxfId="92" dataCellStyle="Comma"/>
    <tableColumn id="4" xr3:uid="{7830D3C2-9B09-4036-BBE9-7A0618E6026D}" name="P/S" dataDxfId="91" dataCellStyle="Comma"/>
    <tableColumn id="5" xr3:uid="{E620D867-4D13-48BD-B55A-E997952F3C54}" name="P/B" dataDxfId="90" dataCellStyle="Comma"/>
    <tableColumn id="6" xr3:uid="{4B459A3A-5463-4E13-9BD8-6B11ADD9A427}" name="Shares" dataDxfId="89" dataCellStyle="Comma"/>
    <tableColumn id="7" xr3:uid="{8218B1BF-F273-4CB0-9362-5CC7A18C4031}" name="Target price" dataDxfId="88" dataCellStyle="Comma">
      <calculatedColumnFormula>AVERAGE(Table15[[#This Row],[EV/EBITDA]:[P/B]])/L3</calculatedColumnFormula>
    </tableColumn>
    <tableColumn id="8" xr3:uid="{54876CB3-2535-4DCB-A571-772966598DB0}" name="Current price" dataDxfId="87" dataCellStyle="Comma"/>
    <tableColumn id="9" xr3:uid="{7CA8387D-6AC5-4154-A03C-B5A8663C03C0}" name="U/D" dataDxfId="86" dataCellStyle="Comma"/>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4.xml"/><Relationship Id="rId3" Type="http://schemas.openxmlformats.org/officeDocument/2006/relationships/table" Target="../tables/table29.xml"/><Relationship Id="rId7" Type="http://schemas.openxmlformats.org/officeDocument/2006/relationships/table" Target="../tables/table33.xml"/><Relationship Id="rId12" Type="http://schemas.openxmlformats.org/officeDocument/2006/relationships/table" Target="../tables/table38.xml"/><Relationship Id="rId2" Type="http://schemas.openxmlformats.org/officeDocument/2006/relationships/table" Target="../tables/table28.xml"/><Relationship Id="rId1" Type="http://schemas.openxmlformats.org/officeDocument/2006/relationships/table" Target="../tables/table27.xml"/><Relationship Id="rId6" Type="http://schemas.openxmlformats.org/officeDocument/2006/relationships/table" Target="../tables/table32.xml"/><Relationship Id="rId11" Type="http://schemas.openxmlformats.org/officeDocument/2006/relationships/table" Target="../tables/table37.xml"/><Relationship Id="rId5" Type="http://schemas.openxmlformats.org/officeDocument/2006/relationships/table" Target="../tables/table31.xml"/><Relationship Id="rId10" Type="http://schemas.openxmlformats.org/officeDocument/2006/relationships/table" Target="../tables/table36.xml"/><Relationship Id="rId4" Type="http://schemas.openxmlformats.org/officeDocument/2006/relationships/table" Target="../tables/table30.xml"/><Relationship Id="rId9" Type="http://schemas.openxmlformats.org/officeDocument/2006/relationships/table" Target="../tables/table35.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opLeftCell="E1" workbookViewId="0">
      <selection activeCell="E10" sqref="E10"/>
    </sheetView>
  </sheetViews>
  <sheetFormatPr defaultRowHeight="14.4" x14ac:dyDescent="0.3"/>
  <cols>
    <col min="1" max="1" width="16.6640625" style="1" bestFit="1" customWidth="1"/>
    <col min="2" max="3" width="22.88671875" style="15" customWidth="1"/>
    <col min="4" max="7" width="20.88671875" style="15" customWidth="1"/>
    <col min="8" max="16384" width="8.88671875" style="1"/>
  </cols>
  <sheetData>
    <row r="1" spans="1:7" s="2" customFormat="1" ht="43.2" x14ac:dyDescent="0.3">
      <c r="A1" s="4" t="s">
        <v>0</v>
      </c>
      <c r="B1" s="5" t="e" vm="1">
        <v>#VALUE!</v>
      </c>
      <c r="C1" s="5" t="e" vm="2">
        <v>#VALUE!</v>
      </c>
      <c r="D1" s="5" t="e" vm="3">
        <v>#VALUE!</v>
      </c>
      <c r="E1" s="5" t="e" vm="4">
        <v>#VALUE!</v>
      </c>
      <c r="F1" s="5" t="e" vm="5">
        <v>#VALUE!</v>
      </c>
      <c r="G1" s="5" t="e" vm="6">
        <v>#VALUE!</v>
      </c>
    </row>
    <row r="2" spans="1:7" s="2" customFormat="1" ht="28.8" x14ac:dyDescent="0.3">
      <c r="A2" s="4" t="s">
        <v>2</v>
      </c>
      <c r="B2" s="5" t="str" cm="1">
        <f t="array" aca="1" ref="B2" ca="1">_FV(B1,"Official name",TRUE)</f>
        <v>FORD MOTOR COMPANY</v>
      </c>
      <c r="C2" s="5" t="str" cm="1">
        <f t="array" aca="1" ref="C2" ca="1">_FV(C1,"Official name",TRUE)</f>
        <v>GENERAL MOTORS COMPANY</v>
      </c>
      <c r="D2" s="5" t="str" cm="1">
        <f t="array" aca="1" ref="D2" ca="1">_FV(D1,"Official name",TRUE)</f>
        <v>HARLEY-DAVIDSON, INC.</v>
      </c>
      <c r="E2" s="5" t="str" cm="1">
        <f t="array" aca="1" ref="E2" ca="1">_FV(E1,"Official name",TRUE)</f>
        <v>RIVIAN AUTOMOTIVE, INC.</v>
      </c>
      <c r="F2" s="5" t="str" cm="1">
        <f t="array" aca="1" ref="F2" ca="1">_FV(F1,"Official name",TRUE)</f>
        <v>Stellantis NV</v>
      </c>
      <c r="G2" s="5" t="str" cm="1">
        <f t="array" aca="1" ref="G2" ca="1">_FV(G1,"Official name",TRUE)</f>
        <v>TESLA, INC.</v>
      </c>
    </row>
    <row r="3" spans="1:7" x14ac:dyDescent="0.3">
      <c r="A3" s="6" t="s">
        <v>3</v>
      </c>
      <c r="B3" s="7" cm="1">
        <f t="array" aca="1" ref="B3" ca="1">_FV(B1,"Price")</f>
        <v>13.0299</v>
      </c>
      <c r="C3" s="7" cm="1">
        <f t="array" aca="1" ref="C3" ca="1">_FV(C1,"Price")</f>
        <v>68.25</v>
      </c>
      <c r="D3" s="7" cm="1">
        <f t="array" aca="1" ref="D3" ca="1">_FV(D1,"Price")</f>
        <v>23.75</v>
      </c>
      <c r="E3" s="7" cm="1">
        <f t="array" aca="1" ref="E3" ca="1">_FV(E1,"Price")</f>
        <v>15.015000000000001</v>
      </c>
      <c r="F3" s="7" cm="1">
        <f t="array" aca="1" ref="F3" ca="1">_FV(F1,"Price")</f>
        <v>9.77</v>
      </c>
      <c r="G3" s="7" cm="1">
        <f t="array" aca="1" ref="G3" ca="1">_FV(G1,"Price")</f>
        <v>403.74</v>
      </c>
    </row>
    <row r="4" spans="1:7" x14ac:dyDescent="0.3">
      <c r="A4" s="6" t="s">
        <v>4</v>
      </c>
      <c r="B4" s="8" cm="1">
        <f t="array" aca="1" ref="B4" ca="1">_FV(B1,"Change (%)",TRUE)</f>
        <v>1.1637999999999999E-2</v>
      </c>
      <c r="C4" s="8" cm="1">
        <f t="array" aca="1" ref="C4" ca="1">_FV(C1,"Change (%)",TRUE)</f>
        <v>5.0070000000000002E-3</v>
      </c>
      <c r="D4" s="8" cm="1">
        <f t="array" aca="1" ref="D4" ca="1">_FV(D1,"Change (%)",TRUE)</f>
        <v>-5.8599999999999998E-3</v>
      </c>
      <c r="E4" s="8" cm="1">
        <f t="array" aca="1" ref="E4" ca="1">_FV(E1,"Change (%)",TRUE)</f>
        <v>9.7509999999999993E-3</v>
      </c>
      <c r="F4" s="8" cm="1">
        <f t="array" aca="1" ref="F4" ca="1">_FV(F1,"Change (%)",TRUE)</f>
        <v>-2.1042000000000002E-2</v>
      </c>
      <c r="G4" s="8" cm="1">
        <f t="array" aca="1" ref="G4" ca="1">_FV(G1,"Change (%)",TRUE)</f>
        <v>-1.2667999999999999E-2</v>
      </c>
    </row>
    <row r="5" spans="1:7" x14ac:dyDescent="0.3">
      <c r="A5" s="6" t="s">
        <v>5</v>
      </c>
      <c r="B5" s="9" cm="1">
        <f t="array" aca="1" ref="B5" ca="1">_FV(B1,"Beta")</f>
        <v>1.5994999999999999</v>
      </c>
      <c r="C5" s="9" cm="1">
        <f t="array" aca="1" ref="C5" ca="1">_FV(C1,"Beta")</f>
        <v>1.3095000000000001</v>
      </c>
      <c r="D5" s="9" cm="1">
        <f t="array" aca="1" ref="D5" ca="1">_FV(D1,"Beta")</f>
        <v>1.3438000000000001</v>
      </c>
      <c r="E5" s="9" cm="1">
        <f t="array" aca="1" ref="E5" ca="1">_FV(E1,"Beta")</f>
        <v>1.7784</v>
      </c>
      <c r="F5" s="9" cm="1">
        <f t="array" aca="1" ref="F5" ca="1">_FV(F1,"Beta")</f>
        <v>1.6129</v>
      </c>
      <c r="G5" s="9" cm="1">
        <f t="array" aca="1" ref="G5" ca="1">_FV(G1,"Beta")</f>
        <v>1.8911</v>
      </c>
    </row>
    <row r="6" spans="1:7" x14ac:dyDescent="0.3">
      <c r="A6" s="6" t="s">
        <v>6</v>
      </c>
      <c r="B6" s="10" cm="1">
        <f t="array" aca="1" ref="B6" ca="1">_FV(B1,"Shares outstanding",TRUE)</f>
        <v>3984499000</v>
      </c>
      <c r="C6" s="10" cm="1">
        <f t="array" aca="1" ref="C6" ca="1">_FV(C1,"Shares outstanding",TRUE)</f>
        <v>932861300</v>
      </c>
      <c r="D6" s="10" cm="1">
        <f t="array" aca="1" ref="D6" ca="1">_FV(D1,"Shares outstanding",TRUE)</f>
        <v>118141900</v>
      </c>
      <c r="E6" s="10" cm="1">
        <f t="array" aca="1" ref="E6" ca="1">_FV(E1,"Shares outstanding",TRUE)</f>
        <v>1225913000</v>
      </c>
      <c r="F6" s="10" cm="1">
        <f t="array" aca="1" ref="F6" ca="1">_FV(F1,"Shares outstanding",TRUE)</f>
        <v>2896073000</v>
      </c>
      <c r="G6" s="10" cm="1">
        <f t="array" aca="1" ref="G6" ca="1">_FV(G1,"Shares outstanding",TRUE)</f>
        <v>3325819000</v>
      </c>
    </row>
    <row r="7" spans="1:7" x14ac:dyDescent="0.3">
      <c r="A7" s="6" t="s">
        <v>8</v>
      </c>
      <c r="B7" s="11">
        <f ca="1">B6/1000000</f>
        <v>3984.4989999999998</v>
      </c>
      <c r="C7" s="11">
        <f ca="1">C6/1000000</f>
        <v>932.86130000000003</v>
      </c>
      <c r="D7" s="11">
        <f t="shared" ref="D7:G7" ca="1" si="0">D6/1000000</f>
        <v>118.14190000000001</v>
      </c>
      <c r="E7" s="11">
        <f t="shared" ca="1" si="0"/>
        <v>1225.913</v>
      </c>
      <c r="F7" s="11">
        <f t="shared" ca="1" si="0"/>
        <v>2896.0729999999999</v>
      </c>
      <c r="G7" s="11">
        <f t="shared" ca="1" si="0"/>
        <v>3325.819</v>
      </c>
    </row>
    <row r="8" spans="1:7" x14ac:dyDescent="0.3">
      <c r="A8" s="6" t="s">
        <v>7</v>
      </c>
      <c r="B8" s="12" cm="1">
        <f t="array" aca="1" ref="B8" ca="1">_FV(B1,"Market cap",TRUE)</f>
        <v>51917623520</v>
      </c>
      <c r="C8" s="12" cm="1">
        <f t="array" aca="1" ref="C8" ca="1">_FV(C1,"Market cap",TRUE)</f>
        <v>63667783725</v>
      </c>
      <c r="D8" s="12" cm="1">
        <f t="array" aca="1" ref="D8" ca="1">_FV(D1,"Market cap",TRUE)</f>
        <v>2822409000</v>
      </c>
      <c r="E8" s="12" cm="1">
        <f t="array" aca="1" ref="E8" ca="1">_FV(E1,"Market cap",TRUE)</f>
        <v>18407083695</v>
      </c>
      <c r="F8" s="12" cm="1">
        <f t="array" aca="1" ref="F8" ca="1">_FV(F1,"Market cap",TRUE)</f>
        <v>25439110000</v>
      </c>
      <c r="G8" s="12" cm="1">
        <f t="array" aca="1" ref="G8" ca="1">_FV(G1,"Market cap",TRUE)</f>
        <v>1342766163060</v>
      </c>
    </row>
    <row r="9" spans="1:7" x14ac:dyDescent="0.3">
      <c r="A9" s="6" t="s">
        <v>8</v>
      </c>
      <c r="B9" s="13">
        <f ca="1">B8/1000000</f>
        <v>51917.623520000001</v>
      </c>
      <c r="C9" s="13">
        <f ca="1">C8/1000000</f>
        <v>63667.783725000001</v>
      </c>
      <c r="D9" s="13">
        <f t="shared" ref="D9:G9" ca="1" si="1">D8/1000000</f>
        <v>2822.4090000000001</v>
      </c>
      <c r="E9" s="13">
        <f t="shared" ca="1" si="1"/>
        <v>18407.083695000001</v>
      </c>
      <c r="F9" s="13">
        <f t="shared" ca="1" si="1"/>
        <v>25439.11</v>
      </c>
      <c r="G9" s="13">
        <f t="shared" ca="1" si="1"/>
        <v>1342766.1630599999</v>
      </c>
    </row>
    <row r="10" spans="1:7" x14ac:dyDescent="0.3">
      <c r="A10" s="6" t="s">
        <v>9</v>
      </c>
      <c r="B10" s="9" cm="1">
        <f t="array" aca="1" ref="B10" ca="1">_FV(B1,"P/E",TRUE)</f>
        <v>11.189299999999999</v>
      </c>
      <c r="C10" s="9" cm="1">
        <f t="array" aca="1" ref="C10" ca="1">_FV(C1,"P/E",TRUE)</f>
        <v>13.127000000000001</v>
      </c>
      <c r="D10" s="9" cm="1">
        <f t="array" aca="1" ref="D10" ca="1">_FV(D1,"P/E",TRUE)</f>
        <v>5.7606000000000002</v>
      </c>
      <c r="E10" s="9"/>
      <c r="F10" s="9"/>
      <c r="G10" s="9" cm="1">
        <f t="array" aca="1" ref="G10" ca="1">_FV(G1,"P/E",TRUE)</f>
        <v>279.92790000000002</v>
      </c>
    </row>
    <row r="11" spans="1:7" x14ac:dyDescent="0.3">
      <c r="A11" s="6" t="s">
        <v>10</v>
      </c>
      <c r="B11" s="14" cm="1">
        <f t="array" aca="1" ref="B11" ca="1">_FV(B1,"Year incorporated",TRUE)</f>
        <v>1919</v>
      </c>
      <c r="C11" s="14" cm="1">
        <f t="array" aca="1" ref="C11" ca="1">_FV(C1,"Year incorporated",TRUE)</f>
        <v>2009</v>
      </c>
      <c r="D11" s="14" cm="1">
        <f t="array" aca="1" ref="D11" ca="1">_FV(D1,"Year incorporated",TRUE)</f>
        <v>1991</v>
      </c>
      <c r="E11" s="14" cm="1">
        <f t="array" aca="1" ref="E11" ca="1">_FV(E1,"Year incorporated",TRUE)</f>
        <v>2015</v>
      </c>
      <c r="F11" s="14" cm="1">
        <f t="array" aca="1" ref="F11" ca="1">_FV(F1,"Year incorporated",TRUE)</f>
        <v>2014</v>
      </c>
      <c r="G11" s="14" cm="1">
        <f t="array" aca="1" ref="G11" ca="1">_FV(G1,"Year incorporated",TRUE)</f>
        <v>2024</v>
      </c>
    </row>
  </sheetData>
  <conditionalFormatting sqref="B4:G4">
    <cfRule type="cellIs" dxfId="51" priority="1" operator="lessThan">
      <formula>0</formula>
    </cfRule>
    <cfRule type="cellIs" dxfId="50" priority="2"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6C72B-EFAD-4AF6-86FA-5AE38C8324C2}">
  <dimension ref="A1:AW46"/>
  <sheetViews>
    <sheetView topLeftCell="AJ25" workbookViewId="0">
      <selection activeCell="AM48" sqref="AM48"/>
    </sheetView>
  </sheetViews>
  <sheetFormatPr defaultRowHeight="14.4" x14ac:dyDescent="0.3"/>
  <cols>
    <col min="1" max="1" width="28.77734375" style="1" bestFit="1" customWidth="1"/>
    <col min="2" max="4" width="10.88671875" style="1" bestFit="1" customWidth="1"/>
    <col min="5" max="6" width="10.88671875" style="18" bestFit="1" customWidth="1"/>
    <col min="7" max="7" width="8.88671875" style="1"/>
    <col min="8" max="8" width="28.77734375" style="1" bestFit="1" customWidth="1"/>
    <col min="9" max="13" width="10.88671875" style="15" bestFit="1" customWidth="1"/>
    <col min="14" max="14" width="8.88671875" style="1"/>
    <col min="15" max="15" width="28.77734375" style="1" bestFit="1" customWidth="1"/>
    <col min="16" max="20" width="9" style="1" bestFit="1" customWidth="1"/>
    <col min="21" max="21" width="8.88671875" style="1"/>
    <col min="22" max="22" width="28.77734375" style="1" bestFit="1" customWidth="1"/>
    <col min="23" max="23" width="9.5546875" style="1" bestFit="1" customWidth="1"/>
    <col min="24" max="27" width="10" style="1" bestFit="1" customWidth="1"/>
    <col min="28" max="28" width="9.5546875" style="1" bestFit="1" customWidth="1"/>
    <col min="29" max="29" width="28.77734375" style="1" bestFit="1" customWidth="1"/>
    <col min="30" max="35" width="10.88671875" style="1" bestFit="1" customWidth="1"/>
    <col min="36" max="36" width="28.77734375" style="1" bestFit="1" customWidth="1"/>
    <col min="37" max="42" width="10.88671875" style="1" bestFit="1" customWidth="1"/>
    <col min="43" max="43" width="15.5546875" style="1" bestFit="1" customWidth="1"/>
    <col min="44" max="44" width="11" style="15" bestFit="1" customWidth="1"/>
    <col min="45" max="48" width="10.88671875" style="15" bestFit="1" customWidth="1"/>
    <col min="49" max="49" width="10.88671875" style="1" bestFit="1" customWidth="1"/>
    <col min="50" max="16384" width="8.88671875" style="1"/>
  </cols>
  <sheetData>
    <row r="1" spans="1:48" x14ac:dyDescent="0.3">
      <c r="A1" s="17" t="s">
        <v>20</v>
      </c>
      <c r="E1" s="1"/>
      <c r="F1" s="19" t="s">
        <v>42</v>
      </c>
      <c r="H1" s="17" t="s">
        <v>20</v>
      </c>
      <c r="L1" s="111" t="s">
        <v>1</v>
      </c>
      <c r="M1" s="111"/>
      <c r="O1" s="17" t="s">
        <v>20</v>
      </c>
      <c r="T1" s="19" t="s">
        <v>116</v>
      </c>
      <c r="V1" s="17" t="s">
        <v>20</v>
      </c>
      <c r="W1" s="15"/>
      <c r="X1" s="15"/>
      <c r="Y1" s="15"/>
      <c r="Z1" s="111" t="s">
        <v>113</v>
      </c>
      <c r="AA1" s="111"/>
      <c r="AC1" s="17" t="s">
        <v>20</v>
      </c>
      <c r="AH1" s="19" t="s">
        <v>114</v>
      </c>
      <c r="AJ1" s="17" t="s">
        <v>20</v>
      </c>
      <c r="AK1" s="15"/>
      <c r="AL1" s="15"/>
      <c r="AM1" s="15"/>
      <c r="AN1" s="111" t="s">
        <v>115</v>
      </c>
      <c r="AO1" s="111"/>
    </row>
    <row r="2" spans="1:48" x14ac:dyDescent="0.3">
      <c r="A2" s="1" t="s">
        <v>11</v>
      </c>
      <c r="B2" s="15" t="s">
        <v>37</v>
      </c>
      <c r="C2" s="15" t="s">
        <v>38</v>
      </c>
      <c r="D2" s="15" t="s">
        <v>39</v>
      </c>
      <c r="E2" s="15" t="s">
        <v>40</v>
      </c>
      <c r="F2" s="15" t="s">
        <v>41</v>
      </c>
      <c r="H2" s="1" t="s">
        <v>11</v>
      </c>
      <c r="I2" s="15" t="s">
        <v>37</v>
      </c>
      <c r="J2" s="15" t="s">
        <v>38</v>
      </c>
      <c r="K2" s="15" t="s">
        <v>39</v>
      </c>
      <c r="L2" s="15" t="s">
        <v>40</v>
      </c>
      <c r="M2" s="15" t="s">
        <v>41</v>
      </c>
      <c r="O2" s="1" t="s">
        <v>11</v>
      </c>
      <c r="P2" s="15" t="s">
        <v>37</v>
      </c>
      <c r="Q2" s="15" t="s">
        <v>38</v>
      </c>
      <c r="R2" s="15" t="s">
        <v>39</v>
      </c>
      <c r="S2" s="15" t="s">
        <v>40</v>
      </c>
      <c r="T2" s="15" t="s">
        <v>41</v>
      </c>
      <c r="V2" s="1" t="s">
        <v>11</v>
      </c>
      <c r="W2" s="15" t="s">
        <v>37</v>
      </c>
      <c r="X2" s="15" t="s">
        <v>38</v>
      </c>
      <c r="Y2" s="15" t="s">
        <v>39</v>
      </c>
      <c r="Z2" s="15" t="s">
        <v>40</v>
      </c>
      <c r="AA2" s="15" t="s">
        <v>41</v>
      </c>
      <c r="AC2" s="1" t="s">
        <v>11</v>
      </c>
      <c r="AD2" s="15" t="s">
        <v>37</v>
      </c>
      <c r="AE2" s="15" t="s">
        <v>38</v>
      </c>
      <c r="AF2" s="15" t="s">
        <v>39</v>
      </c>
      <c r="AG2" s="15" t="s">
        <v>40</v>
      </c>
      <c r="AH2" s="15" t="s">
        <v>41</v>
      </c>
      <c r="AJ2" s="1" t="s">
        <v>11</v>
      </c>
      <c r="AK2" s="15" t="s">
        <v>37</v>
      </c>
      <c r="AL2" s="15" t="s">
        <v>38</v>
      </c>
      <c r="AM2" s="15" t="s">
        <v>39</v>
      </c>
      <c r="AN2" s="15" t="s">
        <v>40</v>
      </c>
      <c r="AO2" s="15" t="s">
        <v>41</v>
      </c>
    </row>
    <row r="3" spans="1:48" x14ac:dyDescent="0.3">
      <c r="A3" s="1" t="s">
        <v>12</v>
      </c>
      <c r="B3" s="20">
        <v>127144</v>
      </c>
      <c r="C3" s="20">
        <v>136341</v>
      </c>
      <c r="D3" s="20">
        <v>158057</v>
      </c>
      <c r="E3" s="20">
        <v>176191</v>
      </c>
      <c r="F3" s="20">
        <v>184992</v>
      </c>
      <c r="H3" s="6" t="s">
        <v>12</v>
      </c>
      <c r="I3" s="21">
        <v>122485</v>
      </c>
      <c r="J3" s="21">
        <v>127004</v>
      </c>
      <c r="K3" s="21">
        <v>156735</v>
      </c>
      <c r="L3" s="21">
        <v>171842</v>
      </c>
      <c r="M3" s="21">
        <v>187442</v>
      </c>
      <c r="O3" s="1" t="s">
        <v>12</v>
      </c>
      <c r="P3" s="20">
        <v>4054.377</v>
      </c>
      <c r="Q3" s="20">
        <v>5336.308</v>
      </c>
      <c r="R3" s="20">
        <v>5755.13</v>
      </c>
      <c r="S3" s="20">
        <v>5836.4780000000001</v>
      </c>
      <c r="T3" s="20">
        <v>5186.8019999999997</v>
      </c>
      <c r="V3" s="6" t="s">
        <v>12</v>
      </c>
      <c r="W3" s="30">
        <v>0</v>
      </c>
      <c r="X3" s="21">
        <v>55</v>
      </c>
      <c r="Y3" s="21">
        <v>1658</v>
      </c>
      <c r="Z3" s="21">
        <v>4434</v>
      </c>
      <c r="AA3" s="21">
        <v>4970</v>
      </c>
      <c r="AC3" s="1" t="s">
        <v>12</v>
      </c>
      <c r="AD3" s="20">
        <v>86676</v>
      </c>
      <c r="AE3" s="20">
        <v>149419</v>
      </c>
      <c r="AF3" s="20">
        <v>179592</v>
      </c>
      <c r="AG3" s="20">
        <v>189544</v>
      </c>
      <c r="AH3" s="20">
        <v>156878</v>
      </c>
      <c r="AJ3" s="6" t="s">
        <v>12</v>
      </c>
      <c r="AK3" s="21">
        <v>31536</v>
      </c>
      <c r="AL3" s="21">
        <v>53823</v>
      </c>
      <c r="AM3" s="21">
        <v>81462</v>
      </c>
      <c r="AN3" s="21">
        <v>96773</v>
      </c>
      <c r="AO3" s="21">
        <v>97690</v>
      </c>
    </row>
    <row r="4" spans="1:48" x14ac:dyDescent="0.3">
      <c r="A4" s="1" t="s">
        <v>13</v>
      </c>
      <c r="B4" s="20">
        <v>112752</v>
      </c>
      <c r="C4" s="20">
        <v>114651</v>
      </c>
      <c r="D4" s="20">
        <v>134397</v>
      </c>
      <c r="E4" s="20">
        <v>150550</v>
      </c>
      <c r="F4" s="20">
        <v>158434</v>
      </c>
      <c r="H4" s="6" t="s">
        <v>13</v>
      </c>
      <c r="I4" s="21">
        <v>97539</v>
      </c>
      <c r="J4" s="21">
        <v>100544</v>
      </c>
      <c r="K4" s="21">
        <v>126892</v>
      </c>
      <c r="L4" s="21">
        <v>141330</v>
      </c>
      <c r="M4" s="21">
        <v>151065</v>
      </c>
      <c r="O4" s="1" t="s">
        <v>13</v>
      </c>
      <c r="P4" s="20">
        <v>2435.7449999999999</v>
      </c>
      <c r="Q4" s="20">
        <v>3243.2869999999998</v>
      </c>
      <c r="R4" s="20">
        <v>3403.7280000000001</v>
      </c>
      <c r="S4" s="20">
        <v>3322.306</v>
      </c>
      <c r="T4" s="20">
        <v>3005.94</v>
      </c>
      <c r="V4" s="6" t="s">
        <v>13</v>
      </c>
      <c r="W4" s="84">
        <v>0</v>
      </c>
      <c r="X4" s="21">
        <v>520</v>
      </c>
      <c r="Y4" s="21">
        <v>4781</v>
      </c>
      <c r="Z4" s="21">
        <v>6464</v>
      </c>
      <c r="AA4" s="21">
        <v>6170</v>
      </c>
      <c r="AC4" s="1" t="s">
        <v>13</v>
      </c>
      <c r="AD4" s="20">
        <v>75962</v>
      </c>
      <c r="AE4" s="20">
        <v>119943</v>
      </c>
      <c r="AF4" s="20">
        <v>144327</v>
      </c>
      <c r="AG4" s="20">
        <v>151400</v>
      </c>
      <c r="AH4" s="20">
        <v>136360</v>
      </c>
      <c r="AJ4" s="6" t="s">
        <v>13</v>
      </c>
      <c r="AK4" s="21">
        <v>24906</v>
      </c>
      <c r="AL4" s="21">
        <v>40217</v>
      </c>
      <c r="AM4" s="21">
        <v>60609</v>
      </c>
      <c r="AN4" s="21">
        <v>79113</v>
      </c>
      <c r="AO4" s="21">
        <v>80240</v>
      </c>
    </row>
    <row r="5" spans="1:48" s="17" customFormat="1" x14ac:dyDescent="0.3">
      <c r="A5" s="17" t="s">
        <v>14</v>
      </c>
      <c r="B5" s="81">
        <f>B3-B4</f>
        <v>14392</v>
      </c>
      <c r="C5" s="81">
        <f t="shared" ref="C5:F5" si="0">C3-C4</f>
        <v>21690</v>
      </c>
      <c r="D5" s="81">
        <f t="shared" si="0"/>
        <v>23660</v>
      </c>
      <c r="E5" s="81">
        <f t="shared" si="0"/>
        <v>25641</v>
      </c>
      <c r="F5" s="81">
        <f t="shared" si="0"/>
        <v>26558</v>
      </c>
      <c r="H5" s="32" t="s">
        <v>14</v>
      </c>
      <c r="I5" s="43">
        <f>I3-I4</f>
        <v>24946</v>
      </c>
      <c r="J5" s="43">
        <f t="shared" ref="J5:M5" si="1">J3-J4</f>
        <v>26460</v>
      </c>
      <c r="K5" s="43">
        <f t="shared" si="1"/>
        <v>29843</v>
      </c>
      <c r="L5" s="43">
        <f t="shared" si="1"/>
        <v>30512</v>
      </c>
      <c r="M5" s="43">
        <f t="shared" si="1"/>
        <v>36377</v>
      </c>
      <c r="O5" s="17" t="s">
        <v>14</v>
      </c>
      <c r="P5" s="81">
        <f>P3-P4</f>
        <v>1618.6320000000001</v>
      </c>
      <c r="Q5" s="81">
        <f t="shared" ref="Q5:T5" si="2">Q3-Q4</f>
        <v>2093.0210000000002</v>
      </c>
      <c r="R5" s="81">
        <f t="shared" si="2"/>
        <v>2351.402</v>
      </c>
      <c r="S5" s="81">
        <f t="shared" si="2"/>
        <v>2514.172</v>
      </c>
      <c r="T5" s="81">
        <f t="shared" si="2"/>
        <v>2180.8619999999996</v>
      </c>
      <c r="V5" s="32" t="s">
        <v>14</v>
      </c>
      <c r="W5" s="85">
        <v>0</v>
      </c>
      <c r="X5" s="43">
        <f>X3-X4</f>
        <v>-465</v>
      </c>
      <c r="Y5" s="43">
        <f t="shared" ref="Y5:AA5" si="3">Y3-Y4</f>
        <v>-3123</v>
      </c>
      <c r="Z5" s="43">
        <f t="shared" si="3"/>
        <v>-2030</v>
      </c>
      <c r="AA5" s="43">
        <f t="shared" si="3"/>
        <v>-1200</v>
      </c>
      <c r="AC5" s="17" t="s">
        <v>14</v>
      </c>
      <c r="AD5" s="81">
        <f>AD3-AD4</f>
        <v>10714</v>
      </c>
      <c r="AE5" s="81">
        <f t="shared" ref="AE5:AH5" si="4">AE3-AE4</f>
        <v>29476</v>
      </c>
      <c r="AF5" s="81">
        <f t="shared" si="4"/>
        <v>35265</v>
      </c>
      <c r="AG5" s="81">
        <f t="shared" si="4"/>
        <v>38144</v>
      </c>
      <c r="AH5" s="81">
        <f t="shared" si="4"/>
        <v>20518</v>
      </c>
      <c r="AJ5" s="32" t="s">
        <v>14</v>
      </c>
      <c r="AK5" s="43">
        <f>AK3-AK4</f>
        <v>6630</v>
      </c>
      <c r="AL5" s="43">
        <f t="shared" ref="AL5:AO5" si="5">AL3-AL4</f>
        <v>13606</v>
      </c>
      <c r="AM5" s="43">
        <f t="shared" si="5"/>
        <v>20853</v>
      </c>
      <c r="AN5" s="43">
        <f t="shared" si="5"/>
        <v>17660</v>
      </c>
      <c r="AO5" s="43">
        <f t="shared" si="5"/>
        <v>17450</v>
      </c>
      <c r="AR5" s="72"/>
      <c r="AS5" s="72"/>
      <c r="AT5" s="72"/>
      <c r="AU5" s="72"/>
      <c r="AV5" s="72"/>
    </row>
    <row r="6" spans="1:48" x14ac:dyDescent="0.3">
      <c r="A6" s="1" t="s">
        <v>15</v>
      </c>
      <c r="B6" s="20">
        <f>10193+8607</f>
        <v>18800</v>
      </c>
      <c r="C6" s="20">
        <f>11915+5252</f>
        <v>17167</v>
      </c>
      <c r="D6" s="20">
        <f>10888+6496</f>
        <v>17384</v>
      </c>
      <c r="E6" s="20">
        <f>10702+9481</f>
        <v>20183</v>
      </c>
      <c r="F6" s="20">
        <f>10287+11052</f>
        <v>21339</v>
      </c>
      <c r="H6" s="6" t="s">
        <v>15</v>
      </c>
      <c r="I6" s="21">
        <f>11274+7038</f>
        <v>18312</v>
      </c>
      <c r="J6" s="21">
        <f>8582+8554</f>
        <v>17136</v>
      </c>
      <c r="K6" s="21">
        <f>8862+10667</f>
        <v>19529</v>
      </c>
      <c r="L6" s="21">
        <f>11374+9840</f>
        <v>21214</v>
      </c>
      <c r="M6" s="21">
        <f>12972+10621</f>
        <v>23593</v>
      </c>
      <c r="O6" s="1" t="s">
        <v>15</v>
      </c>
      <c r="P6" s="20">
        <f>246.447+181.87+1050.627+130.009</f>
        <v>1608.953</v>
      </c>
      <c r="Q6" s="20">
        <f>192.944+25.049+1048.174+3.415</f>
        <v>1269.5819999999999</v>
      </c>
      <c r="R6" s="20">
        <f>217.653+145.133+1079.882-0.544</f>
        <v>1442.124</v>
      </c>
      <c r="S6" s="20">
        <f>332.38+227.158+1175.55</f>
        <v>1735.088</v>
      </c>
      <c r="T6" s="20">
        <f>371.766+247.225+1145.244</f>
        <v>1764.2349999999999</v>
      </c>
      <c r="V6" s="6" t="s">
        <v>15</v>
      </c>
      <c r="W6" s="84">
        <v>0</v>
      </c>
      <c r="X6" s="21">
        <v>3755</v>
      </c>
      <c r="Y6" s="21">
        <v>3733</v>
      </c>
      <c r="Z6" s="21">
        <v>3709</v>
      </c>
      <c r="AA6" s="21">
        <v>3489</v>
      </c>
      <c r="AC6" s="1" t="s">
        <v>15</v>
      </c>
      <c r="AD6" s="20">
        <f>5501+2979+184+73</f>
        <v>8737</v>
      </c>
      <c r="AE6" s="20">
        <f>9130+4487+698-35</f>
        <v>14280</v>
      </c>
      <c r="AF6" s="20">
        <f>8981+5200+72+1144</f>
        <v>15397</v>
      </c>
      <c r="AG6" s="20">
        <f>9541+5619+20+1119+491</f>
        <v>16790</v>
      </c>
      <c r="AH6" s="20">
        <f>9299+5784+1617-98-33</f>
        <v>16569</v>
      </c>
      <c r="AJ6" s="6" t="s">
        <v>15</v>
      </c>
      <c r="AK6" s="21">
        <v>4636</v>
      </c>
      <c r="AL6" s="21">
        <v>7083</v>
      </c>
      <c r="AM6" s="21">
        <v>7197</v>
      </c>
      <c r="AN6" s="21">
        <v>8769</v>
      </c>
      <c r="AO6" s="21">
        <v>10374</v>
      </c>
    </row>
    <row r="7" spans="1:48" s="17" customFormat="1" x14ac:dyDescent="0.3">
      <c r="A7" s="17" t="s">
        <v>16</v>
      </c>
      <c r="B7" s="81">
        <f>B5-B6</f>
        <v>-4408</v>
      </c>
      <c r="C7" s="81">
        <f t="shared" ref="C7:F7" si="6">C5-C6</f>
        <v>4523</v>
      </c>
      <c r="D7" s="81">
        <f t="shared" si="6"/>
        <v>6276</v>
      </c>
      <c r="E7" s="81">
        <f t="shared" si="6"/>
        <v>5458</v>
      </c>
      <c r="F7" s="81">
        <f t="shared" si="6"/>
        <v>5219</v>
      </c>
      <c r="H7" s="32" t="s">
        <v>16</v>
      </c>
      <c r="I7" s="43">
        <f>I5-I6</f>
        <v>6634</v>
      </c>
      <c r="J7" s="43">
        <f t="shared" ref="J7:M7" si="7">J5-J6</f>
        <v>9324</v>
      </c>
      <c r="K7" s="43">
        <f t="shared" si="7"/>
        <v>10314</v>
      </c>
      <c r="L7" s="43">
        <f t="shared" si="7"/>
        <v>9298</v>
      </c>
      <c r="M7" s="43">
        <f t="shared" si="7"/>
        <v>12784</v>
      </c>
      <c r="O7" s="17" t="s">
        <v>16</v>
      </c>
      <c r="P7" s="81">
        <f>P5-P6</f>
        <v>9.6790000000000873</v>
      </c>
      <c r="Q7" s="81">
        <f t="shared" ref="Q7:T7" si="8">Q5-Q6</f>
        <v>823.43900000000031</v>
      </c>
      <c r="R7" s="81">
        <f t="shared" si="8"/>
        <v>909.27800000000002</v>
      </c>
      <c r="S7" s="81">
        <f t="shared" si="8"/>
        <v>779.08400000000006</v>
      </c>
      <c r="T7" s="81">
        <f t="shared" si="8"/>
        <v>416.62699999999973</v>
      </c>
      <c r="V7" s="32" t="s">
        <v>16</v>
      </c>
      <c r="W7" s="85">
        <v>0</v>
      </c>
      <c r="X7" s="43">
        <f>X5-X6</f>
        <v>-4220</v>
      </c>
      <c r="Y7" s="43">
        <f t="shared" ref="Y7:AA7" si="9">Y5-Y6</f>
        <v>-6856</v>
      </c>
      <c r="Z7" s="43">
        <f t="shared" si="9"/>
        <v>-5739</v>
      </c>
      <c r="AA7" s="43">
        <f t="shared" si="9"/>
        <v>-4689</v>
      </c>
      <c r="AC7" s="17" t="s">
        <v>16</v>
      </c>
      <c r="AD7" s="81">
        <f>AD5-AD6</f>
        <v>1977</v>
      </c>
      <c r="AE7" s="81">
        <f t="shared" ref="AE7:AH7" si="10">AE5-AE6</f>
        <v>15196</v>
      </c>
      <c r="AF7" s="81">
        <f t="shared" si="10"/>
        <v>19868</v>
      </c>
      <c r="AG7" s="81">
        <f t="shared" si="10"/>
        <v>21354</v>
      </c>
      <c r="AH7" s="81">
        <f t="shared" si="10"/>
        <v>3949</v>
      </c>
      <c r="AJ7" s="32" t="s">
        <v>16</v>
      </c>
      <c r="AK7" s="43">
        <f>AK5-AK6</f>
        <v>1994</v>
      </c>
      <c r="AL7" s="43">
        <f t="shared" ref="AL7:AO7" si="11">AL5-AL6</f>
        <v>6523</v>
      </c>
      <c r="AM7" s="43">
        <f t="shared" si="11"/>
        <v>13656</v>
      </c>
      <c r="AN7" s="43">
        <f t="shared" si="11"/>
        <v>8891</v>
      </c>
      <c r="AO7" s="43">
        <f t="shared" si="11"/>
        <v>7076</v>
      </c>
      <c r="AQ7" s="79" t="s">
        <v>11</v>
      </c>
      <c r="AR7" s="80">
        <v>2020</v>
      </c>
      <c r="AS7" s="80">
        <v>2021</v>
      </c>
      <c r="AT7" s="80">
        <v>2022</v>
      </c>
      <c r="AU7" s="80">
        <v>2023</v>
      </c>
      <c r="AV7" s="80">
        <v>2024</v>
      </c>
    </row>
    <row r="8" spans="1:48" x14ac:dyDescent="0.3">
      <c r="A8" s="1" t="s">
        <v>17</v>
      </c>
      <c r="B8" s="20">
        <v>1649</v>
      </c>
      <c r="C8" s="20">
        <v>1803</v>
      </c>
      <c r="D8" s="20">
        <v>1259</v>
      </c>
      <c r="E8" s="20">
        <v>1302</v>
      </c>
      <c r="F8" s="20">
        <v>1115</v>
      </c>
      <c r="H8" s="6" t="s">
        <v>17</v>
      </c>
      <c r="I8" s="21">
        <v>1098</v>
      </c>
      <c r="J8" s="21">
        <v>950</v>
      </c>
      <c r="K8" s="21">
        <v>987</v>
      </c>
      <c r="L8" s="21">
        <v>911</v>
      </c>
      <c r="M8" s="21">
        <v>846</v>
      </c>
      <c r="O8" s="1" t="s">
        <v>17</v>
      </c>
      <c r="P8" s="20">
        <v>31.120999999999999</v>
      </c>
      <c r="Q8" s="20">
        <v>30.972000000000001</v>
      </c>
      <c r="R8" s="20">
        <v>31.234999999999999</v>
      </c>
      <c r="S8" s="20">
        <v>30.786999999999999</v>
      </c>
      <c r="T8" s="20">
        <f>30.748</f>
        <v>30.748000000000001</v>
      </c>
      <c r="V8" s="6" t="s">
        <v>17</v>
      </c>
      <c r="W8" s="84">
        <v>0</v>
      </c>
      <c r="X8" s="21">
        <v>29</v>
      </c>
      <c r="Y8" s="21">
        <v>103</v>
      </c>
      <c r="Z8" s="21">
        <v>220</v>
      </c>
      <c r="AA8" s="21">
        <v>318</v>
      </c>
      <c r="AC8" s="1" t="s">
        <v>17</v>
      </c>
      <c r="AD8" s="20">
        <v>988</v>
      </c>
      <c r="AE8" s="20">
        <v>734</v>
      </c>
      <c r="AF8" s="20">
        <v>768</v>
      </c>
      <c r="AG8" s="20">
        <v>-42</v>
      </c>
      <c r="AH8" s="20">
        <v>-345</v>
      </c>
      <c r="AJ8" s="6" t="s">
        <v>17</v>
      </c>
      <c r="AK8" s="21">
        <v>748</v>
      </c>
      <c r="AL8" s="21">
        <v>371</v>
      </c>
      <c r="AM8" s="21">
        <v>191</v>
      </c>
      <c r="AN8" s="21">
        <v>156</v>
      </c>
      <c r="AO8" s="21">
        <v>350</v>
      </c>
      <c r="AQ8" s="6" t="s">
        <v>72</v>
      </c>
      <c r="AR8" s="21" cm="1">
        <f t="array" ref="AR8:AV8">B3:F3</f>
        <v>127144</v>
      </c>
      <c r="AS8" s="21">
        <v>136341</v>
      </c>
      <c r="AT8" s="21">
        <v>158057</v>
      </c>
      <c r="AU8" s="21">
        <v>176191</v>
      </c>
      <c r="AV8" s="21">
        <v>184992</v>
      </c>
    </row>
    <row r="9" spans="1:48" x14ac:dyDescent="0.3">
      <c r="A9" s="1" t="s">
        <v>18</v>
      </c>
      <c r="B9" s="20">
        <v>160</v>
      </c>
      <c r="C9" s="20">
        <v>-130</v>
      </c>
      <c r="D9" s="20">
        <v>-864</v>
      </c>
      <c r="E9" s="20">
        <v>-362</v>
      </c>
      <c r="F9" s="20">
        <v>1339</v>
      </c>
      <c r="H9" s="6" t="s">
        <v>18</v>
      </c>
      <c r="I9" s="21">
        <v>1774</v>
      </c>
      <c r="J9" s="21">
        <v>2771</v>
      </c>
      <c r="K9" s="21">
        <v>1888</v>
      </c>
      <c r="L9" s="21">
        <v>563</v>
      </c>
      <c r="M9" s="21">
        <v>2556</v>
      </c>
      <c r="O9" s="1" t="s">
        <v>18</v>
      </c>
      <c r="P9" s="20">
        <v>-17.027999999999999</v>
      </c>
      <c r="Q9" s="20">
        <v>169.21299999999999</v>
      </c>
      <c r="R9" s="20">
        <v>192.01900000000001</v>
      </c>
      <c r="S9" s="20">
        <v>171.83</v>
      </c>
      <c r="T9" s="20">
        <v>71.962999999999994</v>
      </c>
      <c r="V9" s="6" t="s">
        <v>18</v>
      </c>
      <c r="W9" s="84">
        <v>0</v>
      </c>
      <c r="X9" s="21">
        <v>0</v>
      </c>
      <c r="Y9" s="21">
        <v>4</v>
      </c>
      <c r="Z9" s="21">
        <v>1</v>
      </c>
      <c r="AA9" s="21">
        <v>5</v>
      </c>
      <c r="AC9" s="1" t="s">
        <v>18</v>
      </c>
      <c r="AD9" s="20">
        <v>1332</v>
      </c>
      <c r="AE9" s="20">
        <v>1911</v>
      </c>
      <c r="AF9" s="20">
        <v>2729</v>
      </c>
      <c r="AG9" s="20">
        <v>3793</v>
      </c>
      <c r="AH9" s="20">
        <v>-1488</v>
      </c>
      <c r="AJ9" s="6" t="s">
        <v>18</v>
      </c>
      <c r="AK9" s="21">
        <v>292</v>
      </c>
      <c r="AL9" s="21">
        <v>699</v>
      </c>
      <c r="AM9" s="21">
        <v>1132</v>
      </c>
      <c r="AN9" s="21">
        <v>-5001</v>
      </c>
      <c r="AO9" s="21">
        <v>1837</v>
      </c>
      <c r="AQ9" s="6" t="s">
        <v>109</v>
      </c>
      <c r="AR9" s="21" cm="1">
        <f t="array" ref="AR9:AV9">B7:F7</f>
        <v>-4408</v>
      </c>
      <c r="AS9" s="21">
        <v>4523</v>
      </c>
      <c r="AT9" s="21">
        <v>6276</v>
      </c>
      <c r="AU9" s="21">
        <v>5458</v>
      </c>
      <c r="AV9" s="21">
        <v>5219</v>
      </c>
    </row>
    <row r="10" spans="1:48" s="17" customFormat="1" x14ac:dyDescent="0.3">
      <c r="A10" s="17" t="s">
        <v>19</v>
      </c>
      <c r="B10" s="81">
        <f>B7-B8-B9</f>
        <v>-6217</v>
      </c>
      <c r="C10" s="81">
        <f t="shared" ref="C10:F10" si="12">C7-C8-C9</f>
        <v>2850</v>
      </c>
      <c r="D10" s="81">
        <f t="shared" si="12"/>
        <v>5881</v>
      </c>
      <c r="E10" s="81">
        <f t="shared" si="12"/>
        <v>4518</v>
      </c>
      <c r="F10" s="81">
        <f t="shared" si="12"/>
        <v>2765</v>
      </c>
      <c r="H10" s="32" t="s">
        <v>19</v>
      </c>
      <c r="I10" s="43">
        <f>I7-I8-I9</f>
        <v>3762</v>
      </c>
      <c r="J10" s="43">
        <f t="shared" ref="J10:M10" si="13">J7-J8-J9</f>
        <v>5603</v>
      </c>
      <c r="K10" s="43">
        <f t="shared" si="13"/>
        <v>7439</v>
      </c>
      <c r="L10" s="43">
        <f t="shared" si="13"/>
        <v>7824</v>
      </c>
      <c r="M10" s="43">
        <f t="shared" si="13"/>
        <v>9382</v>
      </c>
      <c r="O10" s="17" t="s">
        <v>19</v>
      </c>
      <c r="P10" s="81">
        <f>P7-P8-P9</f>
        <v>-4.4139999999999127</v>
      </c>
      <c r="Q10" s="81">
        <f t="shared" ref="Q10:T10" si="14">Q7-Q8-Q9</f>
        <v>623.25400000000036</v>
      </c>
      <c r="R10" s="81">
        <f t="shared" si="14"/>
        <v>686.024</v>
      </c>
      <c r="S10" s="81">
        <f t="shared" si="14"/>
        <v>576.46699999999998</v>
      </c>
      <c r="T10" s="81">
        <f t="shared" si="14"/>
        <v>313.91599999999971</v>
      </c>
      <c r="V10" s="32" t="s">
        <v>19</v>
      </c>
      <c r="W10" s="85">
        <v>0</v>
      </c>
      <c r="X10" s="43">
        <f>X7-X8-X9</f>
        <v>-4249</v>
      </c>
      <c r="Y10" s="43">
        <f t="shared" ref="Y10:AA10" si="15">Y7-Y8-Y9</f>
        <v>-6963</v>
      </c>
      <c r="Z10" s="43">
        <f t="shared" si="15"/>
        <v>-5960</v>
      </c>
      <c r="AA10" s="43">
        <f t="shared" si="15"/>
        <v>-5012</v>
      </c>
      <c r="AC10" s="17" t="s">
        <v>19</v>
      </c>
      <c r="AD10" s="81">
        <f>AD7-AD8-AD9</f>
        <v>-343</v>
      </c>
      <c r="AE10" s="81">
        <f t="shared" ref="AE10:AH10" si="16">AE7-AE8-AE9</f>
        <v>12551</v>
      </c>
      <c r="AF10" s="81">
        <f t="shared" si="16"/>
        <v>16371</v>
      </c>
      <c r="AG10" s="81">
        <f t="shared" si="16"/>
        <v>17603</v>
      </c>
      <c r="AH10" s="81">
        <f t="shared" si="16"/>
        <v>5782</v>
      </c>
      <c r="AJ10" s="32" t="s">
        <v>19</v>
      </c>
      <c r="AK10" s="43">
        <f>AK7-AK8-AK9</f>
        <v>954</v>
      </c>
      <c r="AL10" s="43">
        <f t="shared" ref="AL10:AO10" si="17">AL7-AL8-AL9</f>
        <v>5453</v>
      </c>
      <c r="AM10" s="43">
        <f t="shared" si="17"/>
        <v>12333</v>
      </c>
      <c r="AN10" s="43">
        <f t="shared" si="17"/>
        <v>13736</v>
      </c>
      <c r="AO10" s="43">
        <f t="shared" si="17"/>
        <v>4889</v>
      </c>
      <c r="AQ10" s="32" t="s">
        <v>19</v>
      </c>
      <c r="AR10" s="43" cm="1">
        <f t="array" ref="AR10:AV10">Table1[[#This Row],[2020]:[2024]]</f>
        <v>-6217</v>
      </c>
      <c r="AS10" s="43">
        <v>2850</v>
      </c>
      <c r="AT10" s="43">
        <v>5881</v>
      </c>
      <c r="AU10" s="43">
        <v>4518</v>
      </c>
      <c r="AV10" s="43">
        <v>2765</v>
      </c>
    </row>
    <row r="11" spans="1:48" x14ac:dyDescent="0.3">
      <c r="B11" s="15"/>
      <c r="C11" s="15"/>
      <c r="D11" s="15"/>
      <c r="E11" s="15"/>
      <c r="F11" s="15"/>
      <c r="P11" s="15"/>
      <c r="Q11" s="15"/>
      <c r="R11" s="15"/>
      <c r="S11" s="15"/>
      <c r="T11" s="15"/>
      <c r="W11" s="15"/>
      <c r="X11" s="15"/>
      <c r="Y11" s="15"/>
      <c r="Z11" s="15"/>
      <c r="AA11" s="15"/>
      <c r="AD11" s="15"/>
      <c r="AE11" s="15"/>
      <c r="AF11" s="15"/>
      <c r="AG11" s="15"/>
      <c r="AH11" s="15"/>
      <c r="AK11" s="15"/>
      <c r="AL11" s="15"/>
      <c r="AM11" s="15"/>
      <c r="AN11" s="15"/>
      <c r="AO11" s="15"/>
    </row>
    <row r="12" spans="1:48" x14ac:dyDescent="0.3">
      <c r="A12" s="17" t="s">
        <v>21</v>
      </c>
      <c r="B12" s="15"/>
      <c r="C12" s="15"/>
      <c r="D12" s="15"/>
      <c r="E12" s="15"/>
      <c r="F12" s="15"/>
      <c r="H12" s="17" t="s">
        <v>21</v>
      </c>
      <c r="O12" s="17" t="s">
        <v>21</v>
      </c>
      <c r="P12" s="15"/>
      <c r="Q12" s="15"/>
      <c r="R12" s="15"/>
      <c r="S12" s="15"/>
      <c r="T12" s="15"/>
      <c r="V12" s="17" t="s">
        <v>21</v>
      </c>
      <c r="W12" s="15"/>
      <c r="X12" s="15"/>
      <c r="Y12" s="15"/>
      <c r="Z12" s="15"/>
      <c r="AA12" s="15"/>
      <c r="AC12" s="17" t="s">
        <v>21</v>
      </c>
      <c r="AD12" s="15"/>
      <c r="AE12" s="15"/>
      <c r="AF12" s="15"/>
      <c r="AG12" s="15"/>
      <c r="AH12" s="15"/>
      <c r="AJ12" s="17" t="s">
        <v>21</v>
      </c>
      <c r="AK12" s="15"/>
      <c r="AL12" s="15"/>
      <c r="AM12" s="15"/>
      <c r="AN12" s="15"/>
      <c r="AO12" s="15"/>
      <c r="AQ12" s="79" t="s">
        <v>11</v>
      </c>
      <c r="AR12" s="80">
        <v>2020</v>
      </c>
      <c r="AS12" s="80">
        <v>2021</v>
      </c>
      <c r="AT12" s="80">
        <v>2022</v>
      </c>
      <c r="AU12" s="80">
        <v>2023</v>
      </c>
      <c r="AV12" s="80">
        <v>2024</v>
      </c>
    </row>
    <row r="13" spans="1:48" x14ac:dyDescent="0.3">
      <c r="A13" s="1" t="s">
        <v>11</v>
      </c>
      <c r="B13" s="15" t="s">
        <v>37</v>
      </c>
      <c r="C13" s="15" t="s">
        <v>38</v>
      </c>
      <c r="D13" s="15" t="s">
        <v>39</v>
      </c>
      <c r="E13" s="15" t="s">
        <v>40</v>
      </c>
      <c r="F13" s="15" t="s">
        <v>41</v>
      </c>
      <c r="H13" s="1" t="s">
        <v>11</v>
      </c>
      <c r="I13" s="15" t="s">
        <v>37</v>
      </c>
      <c r="J13" s="15" t="s">
        <v>38</v>
      </c>
      <c r="K13" s="15" t="s">
        <v>39</v>
      </c>
      <c r="L13" s="15" t="s">
        <v>40</v>
      </c>
      <c r="M13" s="15" t="s">
        <v>41</v>
      </c>
      <c r="O13" s="1" t="s">
        <v>11</v>
      </c>
      <c r="P13" s="15" t="s">
        <v>37</v>
      </c>
      <c r="Q13" s="15" t="s">
        <v>38</v>
      </c>
      <c r="R13" s="15" t="s">
        <v>39</v>
      </c>
      <c r="S13" s="15" t="s">
        <v>40</v>
      </c>
      <c r="T13" s="15" t="s">
        <v>41</v>
      </c>
      <c r="V13" s="1" t="s">
        <v>11</v>
      </c>
      <c r="W13" s="15" t="s">
        <v>37</v>
      </c>
      <c r="X13" s="15" t="s">
        <v>38</v>
      </c>
      <c r="Y13" s="15" t="s">
        <v>39</v>
      </c>
      <c r="Z13" s="15" t="s">
        <v>40</v>
      </c>
      <c r="AA13" s="15" t="s">
        <v>41</v>
      </c>
      <c r="AC13" s="1" t="s">
        <v>11</v>
      </c>
      <c r="AD13" s="15" t="s">
        <v>37</v>
      </c>
      <c r="AE13" s="15" t="s">
        <v>38</v>
      </c>
      <c r="AF13" s="15" t="s">
        <v>39</v>
      </c>
      <c r="AG13" s="15" t="s">
        <v>40</v>
      </c>
      <c r="AH13" s="15" t="s">
        <v>41</v>
      </c>
      <c r="AJ13" s="1" t="s">
        <v>11</v>
      </c>
      <c r="AK13" s="15" t="s">
        <v>37</v>
      </c>
      <c r="AL13" s="15" t="s">
        <v>38</v>
      </c>
      <c r="AM13" s="15" t="s">
        <v>39</v>
      </c>
      <c r="AN13" s="15" t="s">
        <v>40</v>
      </c>
      <c r="AO13" s="15" t="s">
        <v>41</v>
      </c>
      <c r="AQ13" s="6" t="s">
        <v>72</v>
      </c>
      <c r="AR13" s="78" cm="1">
        <f t="array" ref="AR13:AV13">I3:M3</f>
        <v>122485</v>
      </c>
      <c r="AS13" s="78">
        <v>127004</v>
      </c>
      <c r="AT13" s="78">
        <v>156735</v>
      </c>
      <c r="AU13" s="78">
        <v>171842</v>
      </c>
      <c r="AV13" s="78">
        <v>187442</v>
      </c>
    </row>
    <row r="14" spans="1:48" s="17" customFormat="1" x14ac:dyDescent="0.3">
      <c r="A14" s="17" t="s">
        <v>22</v>
      </c>
      <c r="B14" s="81">
        <v>116744</v>
      </c>
      <c r="C14" s="81">
        <v>108996</v>
      </c>
      <c r="D14" s="81">
        <v>116476</v>
      </c>
      <c r="E14" s="81">
        <v>121481</v>
      </c>
      <c r="F14" s="81">
        <v>124474</v>
      </c>
      <c r="G14" s="82"/>
      <c r="H14" s="32" t="s">
        <v>22</v>
      </c>
      <c r="I14" s="43">
        <v>80924</v>
      </c>
      <c r="J14" s="43">
        <v>82103</v>
      </c>
      <c r="K14" s="43">
        <v>100451</v>
      </c>
      <c r="L14" s="43">
        <v>101618</v>
      </c>
      <c r="M14" s="43">
        <v>108545</v>
      </c>
      <c r="O14" s="17" t="s">
        <v>22</v>
      </c>
      <c r="P14" s="81">
        <v>5845.433</v>
      </c>
      <c r="Q14" s="81">
        <v>4550.0910000000003</v>
      </c>
      <c r="R14" s="81">
        <v>4750.6530000000002</v>
      </c>
      <c r="S14" s="81">
        <v>5163.7290000000003</v>
      </c>
      <c r="T14" s="81">
        <v>4996.6369999999997</v>
      </c>
      <c r="U14" s="82"/>
      <c r="V14" s="32" t="s">
        <v>22</v>
      </c>
      <c r="W14" s="43">
        <v>3016</v>
      </c>
      <c r="X14" s="43">
        <v>18559</v>
      </c>
      <c r="Y14" s="43">
        <v>13130</v>
      </c>
      <c r="Z14" s="43">
        <v>12313</v>
      </c>
      <c r="AA14" s="43">
        <v>10583</v>
      </c>
      <c r="AC14" s="17" t="s">
        <v>22</v>
      </c>
      <c r="AD14" s="81">
        <v>40053</v>
      </c>
      <c r="AE14" s="81">
        <v>74795</v>
      </c>
      <c r="AF14" s="81">
        <v>84776</v>
      </c>
      <c r="AG14" s="81">
        <v>91520</v>
      </c>
      <c r="AH14" s="81">
        <v>81578</v>
      </c>
      <c r="AI14" s="82"/>
      <c r="AJ14" s="32" t="s">
        <v>22</v>
      </c>
      <c r="AK14" s="43">
        <v>26217</v>
      </c>
      <c r="AL14" s="43">
        <v>27100</v>
      </c>
      <c r="AM14" s="43">
        <v>40917</v>
      </c>
      <c r="AN14" s="43">
        <v>49616</v>
      </c>
      <c r="AO14" s="43">
        <v>58360</v>
      </c>
      <c r="AQ14" s="32" t="s">
        <v>109</v>
      </c>
      <c r="AR14" s="43" cm="1">
        <f t="array" ref="AR14:AV14">I7:M7</f>
        <v>6634</v>
      </c>
      <c r="AS14" s="43">
        <v>9324</v>
      </c>
      <c r="AT14" s="43">
        <v>10314</v>
      </c>
      <c r="AU14" s="43">
        <v>9298</v>
      </c>
      <c r="AV14" s="43">
        <v>12784</v>
      </c>
    </row>
    <row r="15" spans="1:48" x14ac:dyDescent="0.3">
      <c r="A15" s="1" t="s">
        <v>23</v>
      </c>
      <c r="B15" s="20">
        <v>25243</v>
      </c>
      <c r="C15" s="20">
        <v>20540</v>
      </c>
      <c r="D15" s="20">
        <v>25134</v>
      </c>
      <c r="E15" s="20">
        <v>24862</v>
      </c>
      <c r="F15" s="20">
        <v>22935</v>
      </c>
      <c r="G15" s="18"/>
      <c r="H15" s="6" t="s">
        <v>23</v>
      </c>
      <c r="I15" s="21">
        <v>19992</v>
      </c>
      <c r="J15" s="21">
        <v>20067</v>
      </c>
      <c r="K15" s="21">
        <v>19153</v>
      </c>
      <c r="L15" s="21">
        <v>18853</v>
      </c>
      <c r="M15" s="21">
        <v>19872</v>
      </c>
      <c r="O15" s="1" t="s">
        <v>23</v>
      </c>
      <c r="P15" s="20">
        <v>3257.203</v>
      </c>
      <c r="Q15" s="20">
        <v>1874.7449999999999</v>
      </c>
      <c r="R15" s="20">
        <v>1433.175</v>
      </c>
      <c r="S15" s="20">
        <v>1533.806</v>
      </c>
      <c r="T15" s="20">
        <v>1589.6079999999999</v>
      </c>
      <c r="U15" s="18"/>
      <c r="V15" s="6" t="s">
        <v>23</v>
      </c>
      <c r="W15" s="21">
        <v>2979</v>
      </c>
      <c r="X15" s="21">
        <v>18133</v>
      </c>
      <c r="Y15" s="21">
        <v>11568</v>
      </c>
      <c r="Z15" s="21">
        <v>7857</v>
      </c>
      <c r="AA15" s="21">
        <v>5294</v>
      </c>
      <c r="AC15" s="1" t="s">
        <v>23</v>
      </c>
      <c r="AD15" s="20">
        <v>23846</v>
      </c>
      <c r="AE15" s="20">
        <v>49629</v>
      </c>
      <c r="AF15" s="20">
        <v>46433</v>
      </c>
      <c r="AG15" s="20">
        <v>43669</v>
      </c>
      <c r="AH15" s="20">
        <v>34100</v>
      </c>
      <c r="AI15" s="18"/>
      <c r="AJ15" s="6" t="s">
        <v>23</v>
      </c>
      <c r="AK15" s="21">
        <v>19384</v>
      </c>
      <c r="AL15" s="21">
        <v>17576</v>
      </c>
      <c r="AM15" s="21">
        <v>16253</v>
      </c>
      <c r="AN15" s="21">
        <v>16398</v>
      </c>
      <c r="AO15" s="21">
        <v>16139</v>
      </c>
      <c r="AQ15" s="6" t="s">
        <v>19</v>
      </c>
      <c r="AR15" s="78" cm="1">
        <f t="array" ref="AR15:AV15">I10:M10</f>
        <v>3762</v>
      </c>
      <c r="AS15" s="78">
        <v>5603</v>
      </c>
      <c r="AT15" s="78">
        <v>7439</v>
      </c>
      <c r="AU15" s="78">
        <v>7824</v>
      </c>
      <c r="AV15" s="78">
        <v>9382</v>
      </c>
    </row>
    <row r="16" spans="1:48" s="17" customFormat="1" x14ac:dyDescent="0.3">
      <c r="A16" s="17" t="s">
        <v>24</v>
      </c>
      <c r="B16" s="81">
        <v>97192</v>
      </c>
      <c r="C16" s="81">
        <v>90727</v>
      </c>
      <c r="D16" s="81">
        <v>96866</v>
      </c>
      <c r="E16" s="81">
        <v>101531</v>
      </c>
      <c r="F16" s="81">
        <v>106859</v>
      </c>
      <c r="G16" s="82"/>
      <c r="H16" s="32" t="s">
        <v>24</v>
      </c>
      <c r="I16" s="43">
        <v>79910</v>
      </c>
      <c r="J16" s="43">
        <v>74408</v>
      </c>
      <c r="K16" s="43">
        <v>91173</v>
      </c>
      <c r="L16" s="43">
        <v>94445</v>
      </c>
      <c r="M16" s="43">
        <v>96265</v>
      </c>
      <c r="O16" s="17" t="s">
        <v>24</v>
      </c>
      <c r="P16" s="81">
        <v>3981.9540000000002</v>
      </c>
      <c r="Q16" s="81">
        <v>3342.8870000000002</v>
      </c>
      <c r="R16" s="81">
        <v>3533.9070000000002</v>
      </c>
      <c r="S16" s="81">
        <v>3384.2640000000001</v>
      </c>
      <c r="T16" s="81">
        <v>3557.4940000000001</v>
      </c>
      <c r="U16" s="82"/>
      <c r="V16" s="32" t="s">
        <v>24</v>
      </c>
      <c r="W16" s="43">
        <v>611</v>
      </c>
      <c r="X16" s="43">
        <v>1313</v>
      </c>
      <c r="Y16" s="43">
        <v>2424</v>
      </c>
      <c r="Z16" s="43">
        <v>2487</v>
      </c>
      <c r="AA16" s="43">
        <v>2251</v>
      </c>
      <c r="AC16" s="17" t="s">
        <v>24</v>
      </c>
      <c r="AD16" s="81">
        <v>39037</v>
      </c>
      <c r="AE16" s="81">
        <v>64857</v>
      </c>
      <c r="AF16" s="81">
        <v>66825</v>
      </c>
      <c r="AG16" s="81">
        <v>73940</v>
      </c>
      <c r="AH16" s="81">
        <v>75186</v>
      </c>
      <c r="AI16" s="82"/>
      <c r="AJ16" s="32" t="s">
        <v>24</v>
      </c>
      <c r="AK16" s="43">
        <v>14248</v>
      </c>
      <c r="AL16" s="43">
        <v>19705</v>
      </c>
      <c r="AM16" s="43">
        <v>26709</v>
      </c>
      <c r="AN16" s="43">
        <v>28748</v>
      </c>
      <c r="AO16" s="43">
        <v>28821</v>
      </c>
      <c r="AR16" s="72"/>
      <c r="AS16" s="72"/>
      <c r="AT16" s="72"/>
      <c r="AU16" s="72"/>
      <c r="AV16" s="72"/>
    </row>
    <row r="17" spans="1:49" x14ac:dyDescent="0.3">
      <c r="A17" s="1" t="s">
        <v>25</v>
      </c>
      <c r="B17" s="20">
        <v>10808</v>
      </c>
      <c r="C17" s="20">
        <v>12066</v>
      </c>
      <c r="D17" s="20">
        <v>14080</v>
      </c>
      <c r="E17" s="20">
        <v>15651</v>
      </c>
      <c r="F17" s="20">
        <v>14951</v>
      </c>
      <c r="G17" s="18"/>
      <c r="H17" s="6" t="s">
        <v>25</v>
      </c>
      <c r="I17" s="21">
        <v>10235</v>
      </c>
      <c r="J17" s="21">
        <v>12988</v>
      </c>
      <c r="K17" s="21">
        <v>15366</v>
      </c>
      <c r="L17" s="21">
        <v>16461</v>
      </c>
      <c r="M17" s="21">
        <v>14564</v>
      </c>
      <c r="O17" s="1" t="s">
        <v>25</v>
      </c>
      <c r="P17" s="20">
        <v>523.49699999999996</v>
      </c>
      <c r="Q17" s="20">
        <v>712.94200000000001</v>
      </c>
      <c r="R17" s="20">
        <v>950.96</v>
      </c>
      <c r="S17" s="20">
        <v>929.95100000000002</v>
      </c>
      <c r="T17" s="20">
        <v>745.79300000000001</v>
      </c>
      <c r="U17" s="18"/>
      <c r="V17" s="6" t="s">
        <v>25</v>
      </c>
      <c r="W17" s="21">
        <v>0</v>
      </c>
      <c r="X17" s="21">
        <v>274</v>
      </c>
      <c r="Y17" s="21">
        <v>1348</v>
      </c>
      <c r="Z17" s="21">
        <v>2620</v>
      </c>
      <c r="AA17" s="21">
        <v>2248</v>
      </c>
      <c r="AC17" s="1" t="s">
        <v>25</v>
      </c>
      <c r="AD17" s="20">
        <v>8094</v>
      </c>
      <c r="AE17" s="20">
        <v>11361</v>
      </c>
      <c r="AF17" s="20">
        <v>17360</v>
      </c>
      <c r="AG17" s="20">
        <v>21414</v>
      </c>
      <c r="AH17" s="20">
        <v>20861</v>
      </c>
      <c r="AI17" s="18"/>
      <c r="AJ17" s="6" t="s">
        <v>25</v>
      </c>
      <c r="AK17" s="21">
        <v>4101</v>
      </c>
      <c r="AL17" s="21">
        <v>5757</v>
      </c>
      <c r="AM17" s="21">
        <v>12839</v>
      </c>
      <c r="AN17" s="21">
        <v>13626</v>
      </c>
      <c r="AO17" s="21">
        <v>12017</v>
      </c>
      <c r="AQ17" s="79" t="s">
        <v>11</v>
      </c>
      <c r="AR17" s="80">
        <v>2025</v>
      </c>
      <c r="AS17" s="80">
        <v>2026</v>
      </c>
      <c r="AT17" s="80">
        <v>2027</v>
      </c>
      <c r="AU17" s="80">
        <v>2028</v>
      </c>
      <c r="AV17" s="80">
        <v>2029</v>
      </c>
      <c r="AW17" s="80">
        <v>2030</v>
      </c>
    </row>
    <row r="18" spans="1:49" x14ac:dyDescent="0.3">
      <c r="A18" s="1" t="s">
        <v>26</v>
      </c>
      <c r="B18" s="20">
        <v>9993</v>
      </c>
      <c r="C18" s="20">
        <v>11370</v>
      </c>
      <c r="D18" s="20">
        <v>15729</v>
      </c>
      <c r="E18" s="20">
        <v>15601</v>
      </c>
      <c r="F18" s="20">
        <v>14723</v>
      </c>
      <c r="G18" s="18"/>
      <c r="H18" s="6" t="s">
        <v>26</v>
      </c>
      <c r="I18" s="21">
        <v>8035</v>
      </c>
      <c r="J18" s="21">
        <v>7394</v>
      </c>
      <c r="K18" s="21">
        <v>13333</v>
      </c>
      <c r="L18" s="21">
        <v>12378</v>
      </c>
      <c r="M18" s="21">
        <v>12827</v>
      </c>
      <c r="O18" s="1" t="s">
        <v>26</v>
      </c>
      <c r="P18" s="20">
        <v>143.08199999999999</v>
      </c>
      <c r="Q18" s="20">
        <v>182.148</v>
      </c>
      <c r="R18" s="20">
        <v>252.22499999999999</v>
      </c>
      <c r="S18" s="20">
        <v>267.2</v>
      </c>
      <c r="T18" s="20">
        <v>234.315</v>
      </c>
      <c r="U18" s="18"/>
      <c r="V18" s="6" t="s">
        <v>26</v>
      </c>
      <c r="W18" s="21">
        <v>6</v>
      </c>
      <c r="X18" s="21">
        <v>26</v>
      </c>
      <c r="Y18" s="21">
        <v>102</v>
      </c>
      <c r="Z18" s="21">
        <v>161</v>
      </c>
      <c r="AA18" s="21">
        <v>443</v>
      </c>
      <c r="AC18" s="1" t="s">
        <v>26</v>
      </c>
      <c r="AD18" s="20">
        <v>5545</v>
      </c>
      <c r="AE18" s="20">
        <v>2998</v>
      </c>
      <c r="AF18" s="20">
        <v>4928</v>
      </c>
      <c r="AG18" s="20">
        <v>6426</v>
      </c>
      <c r="AH18" s="20">
        <v>5506</v>
      </c>
      <c r="AI18" s="18"/>
      <c r="AJ18" s="6" t="s">
        <v>26</v>
      </c>
      <c r="AK18" s="21">
        <v>1886</v>
      </c>
      <c r="AL18" s="21">
        <v>1913</v>
      </c>
      <c r="AM18" s="21">
        <v>2952</v>
      </c>
      <c r="AN18" s="21">
        <v>3508</v>
      </c>
      <c r="AO18" s="21">
        <v>4418</v>
      </c>
      <c r="AQ18" s="6" t="s">
        <v>72</v>
      </c>
      <c r="AR18" s="21" cm="1">
        <f t="array" ref="AR18:AW18">DCF!B3:G3</f>
        <v>199399.63690757393</v>
      </c>
      <c r="AS18" s="21">
        <v>214929.37639937035</v>
      </c>
      <c r="AT18" s="21">
        <v>231668.61061454407</v>
      </c>
      <c r="AU18" s="21">
        <v>249711.5380093313</v>
      </c>
      <c r="AV18" s="21">
        <v>269159.69344994653</v>
      </c>
      <c r="AW18" s="30">
        <v>290122.51959043223</v>
      </c>
    </row>
    <row r="19" spans="1:49" x14ac:dyDescent="0.3">
      <c r="A19" s="1" t="s">
        <v>27</v>
      </c>
      <c r="B19" s="20">
        <v>22204</v>
      </c>
      <c r="C19" s="20">
        <v>22349</v>
      </c>
      <c r="D19" s="20">
        <v>25605</v>
      </c>
      <c r="E19" s="20">
        <v>25992</v>
      </c>
      <c r="F19" s="20">
        <v>24128</v>
      </c>
      <c r="G19" s="18"/>
      <c r="H19" s="6" t="s">
        <v>27</v>
      </c>
      <c r="I19" s="21">
        <v>19928</v>
      </c>
      <c r="J19" s="21">
        <v>20391</v>
      </c>
      <c r="K19" s="21">
        <v>27486</v>
      </c>
      <c r="L19" s="21">
        <v>28114</v>
      </c>
      <c r="M19" s="21">
        <v>25680</v>
      </c>
      <c r="O19" s="1" t="s">
        <v>27</v>
      </c>
      <c r="P19" s="20">
        <v>290.904</v>
      </c>
      <c r="Q19" s="20">
        <v>374.97800000000001</v>
      </c>
      <c r="R19" s="20">
        <v>378.00200000000001</v>
      </c>
      <c r="S19" s="20">
        <v>349.16199999999998</v>
      </c>
      <c r="T19" s="20">
        <v>298.71800000000002</v>
      </c>
      <c r="U19" s="18"/>
      <c r="V19" s="6" t="s">
        <v>27</v>
      </c>
      <c r="W19" s="21">
        <v>90</v>
      </c>
      <c r="X19" s="21">
        <v>483</v>
      </c>
      <c r="Y19" s="21">
        <v>1000</v>
      </c>
      <c r="Z19" s="21">
        <v>981</v>
      </c>
      <c r="AA19" s="21">
        <v>499</v>
      </c>
      <c r="AC19" s="1" t="s">
        <v>27</v>
      </c>
      <c r="AD19" s="20">
        <v>20576</v>
      </c>
      <c r="AE19" s="20">
        <v>28181</v>
      </c>
      <c r="AF19" s="20">
        <v>31726</v>
      </c>
      <c r="AG19" s="20">
        <v>33008</v>
      </c>
      <c r="AH19" s="20">
        <v>29684</v>
      </c>
      <c r="AI19" s="18"/>
      <c r="AJ19" s="6" t="s">
        <v>27</v>
      </c>
      <c r="AK19" s="21">
        <v>6051</v>
      </c>
      <c r="AL19" s="21">
        <v>10025</v>
      </c>
      <c r="AM19" s="21">
        <v>15255</v>
      </c>
      <c r="AN19" s="21">
        <v>14431</v>
      </c>
      <c r="AO19" s="21">
        <v>12474</v>
      </c>
      <c r="AQ19" s="6" t="s">
        <v>109</v>
      </c>
      <c r="AR19" s="21" cm="1">
        <f t="array" ref="AR19:AW19">DCF!B4:G4</f>
        <v>6532.0785718729767</v>
      </c>
      <c r="AS19" s="21">
        <v>7040.813091826758</v>
      </c>
      <c r="AT19" s="21">
        <v>7589.1691210665795</v>
      </c>
      <c r="AU19" s="21">
        <v>8180.2324812470151</v>
      </c>
      <c r="AV19" s="21">
        <v>8817.3293254854125</v>
      </c>
      <c r="AW19" s="30">
        <v>9504.0448559737433</v>
      </c>
    </row>
    <row r="20" spans="1:49" x14ac:dyDescent="0.3">
      <c r="A20" s="1" t="s">
        <v>28</v>
      </c>
      <c r="B20" s="20">
        <v>37083</v>
      </c>
      <c r="C20" s="20">
        <v>37139</v>
      </c>
      <c r="D20" s="20">
        <v>37265</v>
      </c>
      <c r="E20" s="20">
        <v>40821</v>
      </c>
      <c r="F20" s="20">
        <v>41928</v>
      </c>
      <c r="G20" s="18"/>
      <c r="H20" s="6" t="s">
        <v>28</v>
      </c>
      <c r="I20" s="21">
        <v>37632</v>
      </c>
      <c r="J20" s="21">
        <v>41115</v>
      </c>
      <c r="K20" s="21">
        <v>45248</v>
      </c>
      <c r="L20" s="21">
        <v>50321</v>
      </c>
      <c r="M20" s="21">
        <v>51904</v>
      </c>
      <c r="O20" s="1" t="s">
        <v>28</v>
      </c>
      <c r="P20" s="20">
        <v>743.78399999999999</v>
      </c>
      <c r="Q20" s="20">
        <v>683.98400000000004</v>
      </c>
      <c r="R20" s="20">
        <v>689.88599999999997</v>
      </c>
      <c r="S20" s="20">
        <v>731.72400000000005</v>
      </c>
      <c r="T20" s="20">
        <v>757.072</v>
      </c>
      <c r="U20" s="18"/>
      <c r="V20" s="6" t="s">
        <v>28</v>
      </c>
      <c r="W20" s="21">
        <v>1445</v>
      </c>
      <c r="X20" s="21">
        <v>3183</v>
      </c>
      <c r="Y20" s="21">
        <v>3758</v>
      </c>
      <c r="Z20" s="21">
        <v>3874</v>
      </c>
      <c r="AA20" s="21">
        <v>3965</v>
      </c>
      <c r="AC20" s="1" t="s">
        <v>28</v>
      </c>
      <c r="AD20" s="20">
        <v>27582</v>
      </c>
      <c r="AE20" s="20">
        <v>35488</v>
      </c>
      <c r="AF20" s="20">
        <v>36205</v>
      </c>
      <c r="AG20" s="20">
        <v>37687</v>
      </c>
      <c r="AH20" s="20">
        <v>45011</v>
      </c>
      <c r="AI20" s="18"/>
      <c r="AJ20" s="6" t="s">
        <v>28</v>
      </c>
      <c r="AK20" s="21">
        <v>12747</v>
      </c>
      <c r="AL20" s="21">
        <v>18884</v>
      </c>
      <c r="AM20" s="21">
        <v>23548</v>
      </c>
      <c r="AN20" s="21">
        <v>35836</v>
      </c>
      <c r="AO20" s="21">
        <v>29725</v>
      </c>
      <c r="AQ20" s="6" t="s">
        <v>110</v>
      </c>
      <c r="AR20" s="21" cm="1">
        <f t="array" ref="AR20:AW20">DCF!B5:G5</f>
        <v>5029.7005003421918</v>
      </c>
      <c r="AS20" s="21">
        <v>5421.4260807066039</v>
      </c>
      <c r="AT20" s="21">
        <v>5843.6602232212663</v>
      </c>
      <c r="AU20" s="21">
        <v>6298.7790105602016</v>
      </c>
      <c r="AV20" s="21">
        <v>6789.3435806237676</v>
      </c>
      <c r="AW20" s="30">
        <v>7318.1145390997826</v>
      </c>
    </row>
    <row r="21" spans="1:49" s="17" customFormat="1" x14ac:dyDescent="0.3">
      <c r="A21" s="17" t="s">
        <v>29</v>
      </c>
      <c r="B21" s="81">
        <v>139485</v>
      </c>
      <c r="C21" s="81">
        <v>151107</v>
      </c>
      <c r="D21" s="81">
        <v>140474</v>
      </c>
      <c r="E21" s="81">
        <v>50150</v>
      </c>
      <c r="F21" s="81">
        <v>55507</v>
      </c>
      <c r="G21" s="82"/>
      <c r="H21" s="32" t="s">
        <v>29</v>
      </c>
      <c r="I21" s="43">
        <f>1276+35637+16193+56788</f>
        <v>109894</v>
      </c>
      <c r="J21" s="43">
        <f>463+33257+16355+59304</f>
        <v>109379</v>
      </c>
      <c r="K21" s="43">
        <f>1959+36819+15885+60036</f>
        <v>114699</v>
      </c>
      <c r="L21" s="43">
        <f>428+38540+15985+66788</f>
        <v>121741</v>
      </c>
      <c r="M21" s="43">
        <f>2141+37291+13327+76973</f>
        <v>129732</v>
      </c>
      <c r="O21" s="17" t="s">
        <v>29</v>
      </c>
      <c r="P21" s="81">
        <f>1014.274+2039.597+5932.933</f>
        <v>8986.8040000000001</v>
      </c>
      <c r="Q21" s="81">
        <f>751.286+1542.496+4595.617</f>
        <v>6889.3990000000003</v>
      </c>
      <c r="R21" s="81">
        <f>770.468+1684.782+4457.052</f>
        <v>6912.3019999999997</v>
      </c>
      <c r="S21" s="81">
        <f>878.935+1255.999+4990.586</f>
        <v>7125.52</v>
      </c>
      <c r="T21" s="81">
        <f>640.204+1851.513+4468.665</f>
        <v>6960.3819999999996</v>
      </c>
      <c r="U21" s="82"/>
      <c r="V21" s="32" t="s">
        <v>29</v>
      </c>
      <c r="W21" s="43">
        <f>28+47</f>
        <v>75</v>
      </c>
      <c r="X21" s="43">
        <f>1226</f>
        <v>1226</v>
      </c>
      <c r="Y21" s="43">
        <f>270+1231</f>
        <v>1501</v>
      </c>
      <c r="Z21" s="43">
        <f>361+4431</f>
        <v>4792</v>
      </c>
      <c r="AA21" s="43">
        <f>917+4441</f>
        <v>5358</v>
      </c>
      <c r="AC21" s="17" t="s">
        <v>29</v>
      </c>
      <c r="AD21" s="81">
        <f>17036+4081</f>
        <v>21117</v>
      </c>
      <c r="AE21" s="81">
        <f>22624+10958</f>
        <v>33582</v>
      </c>
      <c r="AF21" s="81">
        <f>19469+7684</f>
        <v>27153</v>
      </c>
      <c r="AG21" s="81">
        <f>20001+9462</f>
        <v>29463</v>
      </c>
      <c r="AH21" s="81">
        <f>25028+12199</f>
        <v>37227</v>
      </c>
      <c r="AI21" s="82"/>
      <c r="AJ21" s="32" t="s">
        <v>29</v>
      </c>
      <c r="AK21" s="43">
        <f>2132+9556</f>
        <v>11688</v>
      </c>
      <c r="AL21" s="43">
        <f>1589+5245</f>
        <v>6834</v>
      </c>
      <c r="AM21" s="43">
        <f>1502+1597</f>
        <v>3099</v>
      </c>
      <c r="AN21" s="43">
        <f>2373+2857</f>
        <v>5230</v>
      </c>
      <c r="AO21" s="43">
        <f>2456+5757</f>
        <v>8213</v>
      </c>
      <c r="AQ21" s="32" t="s">
        <v>111</v>
      </c>
      <c r="AR21" s="43" cm="1">
        <f t="array" ref="AR21:AW21">DCF!B9:G9</f>
        <v>-737.07071469228504</v>
      </c>
      <c r="AS21" s="43">
        <v>4418.9091732467496</v>
      </c>
      <c r="AT21" s="43">
        <v>4763.0648064400066</v>
      </c>
      <c r="AU21" s="43">
        <v>5134.0241360241562</v>
      </c>
      <c r="AV21" s="43">
        <v>5533.8747005164423</v>
      </c>
      <c r="AW21" s="83">
        <v>5964.8666211240979</v>
      </c>
    </row>
    <row r="22" spans="1:49" x14ac:dyDescent="0.3">
      <c r="A22" s="1" t="s">
        <v>30</v>
      </c>
      <c r="B22" s="20">
        <v>30811</v>
      </c>
      <c r="C22" s="20">
        <v>48622</v>
      </c>
      <c r="D22" s="20">
        <v>43167</v>
      </c>
      <c r="E22" s="20">
        <v>42798</v>
      </c>
      <c r="F22" s="20">
        <v>44858</v>
      </c>
      <c r="G22" s="18"/>
      <c r="H22" s="6" t="s">
        <v>30</v>
      </c>
      <c r="I22" s="21">
        <v>49677</v>
      </c>
      <c r="J22" s="21">
        <v>65815</v>
      </c>
      <c r="K22" s="21">
        <v>71927</v>
      </c>
      <c r="L22" s="21">
        <v>68189</v>
      </c>
      <c r="M22" s="21">
        <v>65590</v>
      </c>
      <c r="O22" s="1" t="s">
        <v>30</v>
      </c>
      <c r="P22" s="20">
        <v>1722.7850000000001</v>
      </c>
      <c r="Q22" s="20">
        <v>2553.2440000000001</v>
      </c>
      <c r="R22" s="20">
        <v>2906.808</v>
      </c>
      <c r="S22" s="20">
        <v>3252.2950000000001</v>
      </c>
      <c r="T22" s="20">
        <v>3158.5</v>
      </c>
      <c r="U22" s="18"/>
      <c r="V22" s="6" t="s">
        <v>30</v>
      </c>
      <c r="W22" s="21">
        <v>-1384</v>
      </c>
      <c r="X22" s="21">
        <v>19514</v>
      </c>
      <c r="Y22" s="21">
        <v>13799</v>
      </c>
      <c r="Z22" s="21">
        <v>9141</v>
      </c>
      <c r="AA22" s="21">
        <v>6562</v>
      </c>
      <c r="AC22" s="1" t="s">
        <v>30</v>
      </c>
      <c r="AD22" s="20">
        <v>25861</v>
      </c>
      <c r="AE22" s="20">
        <v>56307</v>
      </c>
      <c r="AF22" s="20">
        <v>72382</v>
      </c>
      <c r="AG22" s="20">
        <v>82120</v>
      </c>
      <c r="AH22" s="20">
        <v>82115</v>
      </c>
      <c r="AI22" s="18"/>
      <c r="AJ22" s="6" t="s">
        <v>30</v>
      </c>
      <c r="AK22" s="21">
        <v>22225</v>
      </c>
      <c r="AL22" s="21">
        <v>30189</v>
      </c>
      <c r="AM22" s="21">
        <v>44704</v>
      </c>
      <c r="AN22" s="21">
        <v>62634</v>
      </c>
      <c r="AO22" s="21">
        <v>72913</v>
      </c>
    </row>
    <row r="23" spans="1:49" x14ac:dyDescent="0.3">
      <c r="B23" s="15"/>
      <c r="C23" s="15"/>
      <c r="D23" s="15"/>
      <c r="E23" s="15"/>
      <c r="F23" s="15"/>
      <c r="P23" s="15"/>
      <c r="Q23" s="15"/>
      <c r="R23" s="15"/>
      <c r="S23" s="15"/>
      <c r="T23" s="15"/>
      <c r="W23" s="15"/>
      <c r="X23" s="15"/>
      <c r="Y23" s="15"/>
      <c r="Z23" s="15"/>
      <c r="AA23" s="15"/>
      <c r="AD23" s="15"/>
      <c r="AE23" s="15"/>
      <c r="AF23" s="15"/>
      <c r="AG23" s="15"/>
      <c r="AH23" s="15"/>
      <c r="AK23" s="15"/>
      <c r="AL23" s="15"/>
      <c r="AM23" s="15"/>
      <c r="AN23" s="15"/>
      <c r="AO23" s="15"/>
      <c r="AQ23" s="79" t="s">
        <v>11</v>
      </c>
      <c r="AR23" s="80">
        <v>2025</v>
      </c>
      <c r="AS23" s="80">
        <v>2026</v>
      </c>
      <c r="AT23" s="80">
        <v>2027</v>
      </c>
      <c r="AU23" s="80">
        <v>2028</v>
      </c>
      <c r="AV23" s="80">
        <v>2029</v>
      </c>
      <c r="AW23" s="80">
        <v>2030</v>
      </c>
    </row>
    <row r="24" spans="1:49" x14ac:dyDescent="0.3">
      <c r="A24" s="17" t="s">
        <v>31</v>
      </c>
      <c r="B24" s="15"/>
      <c r="C24" s="15"/>
      <c r="D24" s="15"/>
      <c r="E24" s="15"/>
      <c r="F24" s="15"/>
      <c r="H24" s="17" t="s">
        <v>31</v>
      </c>
      <c r="O24" s="17" t="s">
        <v>31</v>
      </c>
      <c r="P24" s="15"/>
      <c r="Q24" s="15"/>
      <c r="R24" s="15"/>
      <c r="S24" s="15"/>
      <c r="T24" s="15"/>
      <c r="V24" s="17" t="s">
        <v>31</v>
      </c>
      <c r="W24" s="15"/>
      <c r="X24" s="15"/>
      <c r="Y24" s="15"/>
      <c r="Z24" s="15"/>
      <c r="AA24" s="15"/>
      <c r="AC24" s="17" t="s">
        <v>31</v>
      </c>
      <c r="AD24" s="15"/>
      <c r="AE24" s="15"/>
      <c r="AF24" s="15"/>
      <c r="AG24" s="15"/>
      <c r="AH24" s="15"/>
      <c r="AJ24" s="17" t="s">
        <v>31</v>
      </c>
      <c r="AK24" s="15"/>
      <c r="AL24" s="15"/>
      <c r="AM24" s="15"/>
      <c r="AN24" s="15"/>
      <c r="AO24" s="15"/>
      <c r="AQ24" s="6" t="s">
        <v>72</v>
      </c>
      <c r="AR24" s="21" cm="1">
        <f t="array" ref="AR24:AW24">DCF!J3:O3</f>
        <v>204090.93255910472</v>
      </c>
      <c r="AS24" s="21">
        <v>222218.65298516359</v>
      </c>
      <c r="AT24" s="21">
        <v>241956.50985248832</v>
      </c>
      <c r="AU24" s="21">
        <v>263447.51834989252</v>
      </c>
      <c r="AV24" s="21">
        <v>286847.39653018757</v>
      </c>
      <c r="AW24" s="30">
        <v>312325.69360120612</v>
      </c>
    </row>
    <row r="25" spans="1:49" x14ac:dyDescent="0.3">
      <c r="A25" s="1" t="s">
        <v>11</v>
      </c>
      <c r="B25" s="15" t="s">
        <v>37</v>
      </c>
      <c r="C25" s="15" t="s">
        <v>38</v>
      </c>
      <c r="D25" s="15" t="s">
        <v>39</v>
      </c>
      <c r="E25" s="15" t="s">
        <v>40</v>
      </c>
      <c r="F25" s="15" t="s">
        <v>41</v>
      </c>
      <c r="H25" s="1" t="s">
        <v>11</v>
      </c>
      <c r="I25" s="15" t="s">
        <v>37</v>
      </c>
      <c r="J25" s="15" t="s">
        <v>38</v>
      </c>
      <c r="K25" s="15" t="s">
        <v>39</v>
      </c>
      <c r="L25" s="15" t="s">
        <v>40</v>
      </c>
      <c r="M25" s="15" t="s">
        <v>41</v>
      </c>
      <c r="O25" s="1" t="s">
        <v>11</v>
      </c>
      <c r="P25" s="15" t="s">
        <v>37</v>
      </c>
      <c r="Q25" s="15" t="s">
        <v>38</v>
      </c>
      <c r="R25" s="15" t="s">
        <v>39</v>
      </c>
      <c r="S25" s="15" t="s">
        <v>40</v>
      </c>
      <c r="T25" s="15" t="s">
        <v>41</v>
      </c>
      <c r="V25" s="1" t="s">
        <v>11</v>
      </c>
      <c r="W25" s="15" t="s">
        <v>37</v>
      </c>
      <c r="X25" s="15" t="s">
        <v>38</v>
      </c>
      <c r="Y25" s="15" t="s">
        <v>39</v>
      </c>
      <c r="Z25" s="15" t="s">
        <v>40</v>
      </c>
      <c r="AA25" s="15" t="s">
        <v>41</v>
      </c>
      <c r="AC25" s="1" t="s">
        <v>11</v>
      </c>
      <c r="AD25" s="15" t="s">
        <v>37</v>
      </c>
      <c r="AE25" s="15" t="s">
        <v>38</v>
      </c>
      <c r="AF25" s="15" t="s">
        <v>39</v>
      </c>
      <c r="AG25" s="15" t="s">
        <v>40</v>
      </c>
      <c r="AH25" s="15" t="s">
        <v>41</v>
      </c>
      <c r="AJ25" s="1" t="s">
        <v>11</v>
      </c>
      <c r="AK25" s="15" t="s">
        <v>37</v>
      </c>
      <c r="AL25" s="15" t="s">
        <v>38</v>
      </c>
      <c r="AM25" s="15" t="s">
        <v>39</v>
      </c>
      <c r="AN25" s="15" t="s">
        <v>40</v>
      </c>
      <c r="AO25" s="15" t="s">
        <v>41</v>
      </c>
      <c r="AQ25" s="6" t="s">
        <v>109</v>
      </c>
      <c r="AR25" s="21" cm="1">
        <f t="array" ref="AR25:AW25">DCF!J4:O4</f>
        <v>12891.586963118541</v>
      </c>
      <c r="AS25" s="21">
        <v>14036.640696693697</v>
      </c>
      <c r="AT25" s="21">
        <v>15283.400143966124</v>
      </c>
      <c r="AU25" s="21">
        <v>16640.898987718876</v>
      </c>
      <c r="AV25" s="21">
        <v>18118.973298542522</v>
      </c>
      <c r="AW25" s="30">
        <v>19728.33280435047</v>
      </c>
    </row>
    <row r="26" spans="1:49" x14ac:dyDescent="0.3">
      <c r="A26" s="1" t="s">
        <v>32</v>
      </c>
      <c r="B26" s="20">
        <v>24269</v>
      </c>
      <c r="C26" s="20">
        <v>15787</v>
      </c>
      <c r="D26" s="20">
        <v>6853</v>
      </c>
      <c r="E26" s="20">
        <v>14918</v>
      </c>
      <c r="F26" s="20">
        <v>15423</v>
      </c>
      <c r="H26" s="6" t="s">
        <v>32</v>
      </c>
      <c r="I26" s="21">
        <v>16670</v>
      </c>
      <c r="J26" s="21">
        <v>15188</v>
      </c>
      <c r="K26" s="21">
        <v>16043</v>
      </c>
      <c r="L26" s="21">
        <v>20930</v>
      </c>
      <c r="M26" s="21">
        <v>20129</v>
      </c>
      <c r="O26" s="1" t="s">
        <v>32</v>
      </c>
      <c r="P26" s="20">
        <v>1177.8900000000001</v>
      </c>
      <c r="Q26" s="20">
        <v>975.70100000000002</v>
      </c>
      <c r="R26" s="20">
        <v>548.46100000000001</v>
      </c>
      <c r="S26" s="20">
        <v>754.88699999999994</v>
      </c>
      <c r="T26" s="20">
        <v>1063.8330000000001</v>
      </c>
      <c r="V26" s="6" t="s">
        <v>32</v>
      </c>
      <c r="W26" s="21">
        <v>-848</v>
      </c>
      <c r="X26" s="21">
        <v>-2622</v>
      </c>
      <c r="Y26" s="21">
        <v>5052</v>
      </c>
      <c r="Z26" s="21">
        <v>-4866</v>
      </c>
      <c r="AA26" s="21">
        <v>-1716</v>
      </c>
      <c r="AC26" s="1" t="s">
        <v>32</v>
      </c>
      <c r="AD26" s="20">
        <v>9183</v>
      </c>
      <c r="AE26" s="20">
        <v>18646</v>
      </c>
      <c r="AF26" s="20">
        <v>19959</v>
      </c>
      <c r="AG26" s="20">
        <v>22485</v>
      </c>
      <c r="AH26" s="20">
        <v>4008</v>
      </c>
      <c r="AJ26" s="6" t="s">
        <v>32</v>
      </c>
      <c r="AK26" s="21">
        <v>5943</v>
      </c>
      <c r="AL26" s="21">
        <v>11497</v>
      </c>
      <c r="AM26" s="21">
        <v>14724</v>
      </c>
      <c r="AN26" s="21">
        <v>13256</v>
      </c>
      <c r="AO26" s="21">
        <v>14923</v>
      </c>
      <c r="AQ26" s="6" t="s">
        <v>110</v>
      </c>
      <c r="AR26" s="21" cm="1">
        <f t="array" ref="AR26:AW26">DCF!J5:O5</f>
        <v>9926.5219616012764</v>
      </c>
      <c r="AS26" s="21">
        <v>10808.213336454148</v>
      </c>
      <c r="AT26" s="21">
        <v>11768.218110853915</v>
      </c>
      <c r="AU26" s="21">
        <v>12813.492220543534</v>
      </c>
      <c r="AV26" s="21">
        <v>13951.609439877742</v>
      </c>
      <c r="AW26" s="30">
        <v>15190.816259349862</v>
      </c>
    </row>
    <row r="27" spans="1:49" x14ac:dyDescent="0.3">
      <c r="A27" s="1" t="s">
        <v>33</v>
      </c>
      <c r="B27" s="20">
        <v>5742</v>
      </c>
      <c r="C27" s="20">
        <v>6227</v>
      </c>
      <c r="D27" s="20">
        <v>6866</v>
      </c>
      <c r="E27" s="20">
        <v>8236</v>
      </c>
      <c r="F27" s="20">
        <v>8684</v>
      </c>
      <c r="H27" s="6" t="s">
        <v>33</v>
      </c>
      <c r="I27" s="21">
        <v>5300</v>
      </c>
      <c r="J27" s="21">
        <v>7509</v>
      </c>
      <c r="K27" s="21">
        <v>9238</v>
      </c>
      <c r="L27" s="21">
        <v>10970</v>
      </c>
      <c r="M27" s="21">
        <v>10830</v>
      </c>
      <c r="O27" s="1" t="s">
        <v>33</v>
      </c>
      <c r="P27" s="20">
        <v>131.05000000000001</v>
      </c>
      <c r="Q27" s="20">
        <v>120.181</v>
      </c>
      <c r="R27" s="20">
        <v>151.66900000000001</v>
      </c>
      <c r="S27" s="20">
        <v>207.404</v>
      </c>
      <c r="T27" s="20">
        <v>196.56299999999999</v>
      </c>
      <c r="V27" s="6" t="s">
        <v>33</v>
      </c>
      <c r="W27" s="21">
        <v>914</v>
      </c>
      <c r="X27" s="21">
        <v>1794</v>
      </c>
      <c r="Y27" s="21">
        <v>1369</v>
      </c>
      <c r="Z27" s="21">
        <v>1026</v>
      </c>
      <c r="AA27" s="21">
        <v>1141</v>
      </c>
      <c r="AC27" s="1" t="s">
        <v>33</v>
      </c>
      <c r="AD27" s="20">
        <v>8600</v>
      </c>
      <c r="AE27" s="20">
        <v>8687</v>
      </c>
      <c r="AF27" s="20">
        <v>8615</v>
      </c>
      <c r="AG27" s="20">
        <v>10193</v>
      </c>
      <c r="AH27" s="20">
        <v>11060</v>
      </c>
      <c r="AJ27" s="6" t="s">
        <v>33</v>
      </c>
      <c r="AK27" s="21">
        <v>3157</v>
      </c>
      <c r="AL27" s="21">
        <v>6482</v>
      </c>
      <c r="AM27" s="21">
        <v>7158</v>
      </c>
      <c r="AN27" s="21">
        <v>8899</v>
      </c>
      <c r="AO27" s="21">
        <v>11342</v>
      </c>
      <c r="AQ27" s="6" t="s">
        <v>111</v>
      </c>
      <c r="AR27" s="21" cm="1">
        <f t="array" ref="AR27:AW27">DCF!J9:O9</f>
        <v>7644.4897458423075</v>
      </c>
      <c r="AS27" s="21">
        <v>6514.1091142219811</v>
      </c>
      <c r="AT27" s="21">
        <v>7092.7038972766368</v>
      </c>
      <c r="AU27" s="21">
        <v>7722.6905003189531</v>
      </c>
      <c r="AV27" s="21">
        <v>8408.6336364071831</v>
      </c>
      <c r="AW27" s="30">
        <v>9155.5034645500855</v>
      </c>
    </row>
    <row r="28" spans="1:49" x14ac:dyDescent="0.3">
      <c r="A28" s="1" t="s">
        <v>34</v>
      </c>
      <c r="B28" s="20">
        <v>8751</v>
      </c>
      <c r="C28" s="20">
        <v>7318</v>
      </c>
      <c r="D28" s="20">
        <v>7642</v>
      </c>
      <c r="E28" s="20">
        <v>7690</v>
      </c>
      <c r="F28" s="20">
        <v>7567</v>
      </c>
      <c r="H28" s="6" t="s">
        <v>34</v>
      </c>
      <c r="I28" s="21">
        <v>5637</v>
      </c>
      <c r="J28" s="21">
        <v>5975</v>
      </c>
      <c r="K28" s="21">
        <v>6451</v>
      </c>
      <c r="L28" s="21">
        <v>6984</v>
      </c>
      <c r="M28" s="21">
        <v>7545</v>
      </c>
      <c r="O28" s="1" t="s">
        <v>34</v>
      </c>
      <c r="P28" s="20">
        <v>185.715</v>
      </c>
      <c r="Q28" s="20">
        <v>165.185</v>
      </c>
      <c r="R28" s="20">
        <v>151.94200000000001</v>
      </c>
      <c r="S28" s="20">
        <v>158.11199999999999</v>
      </c>
      <c r="T28" s="20">
        <v>160.673</v>
      </c>
      <c r="V28" s="6" t="s">
        <v>34</v>
      </c>
      <c r="W28" s="21">
        <v>29</v>
      </c>
      <c r="X28" s="21">
        <v>197</v>
      </c>
      <c r="Y28" s="21">
        <v>652</v>
      </c>
      <c r="Z28" s="21">
        <v>937</v>
      </c>
      <c r="AA28" s="21">
        <v>1031</v>
      </c>
      <c r="AC28" s="1" t="s">
        <v>34</v>
      </c>
      <c r="AD28" s="20">
        <v>5143</v>
      </c>
      <c r="AE28" s="20">
        <v>5871</v>
      </c>
      <c r="AF28" s="20">
        <v>6797</v>
      </c>
      <c r="AG28" s="20">
        <v>7549</v>
      </c>
      <c r="AH28" s="20">
        <v>7226</v>
      </c>
      <c r="AJ28" s="6" t="s">
        <v>34</v>
      </c>
      <c r="AK28" s="21">
        <v>2322</v>
      </c>
      <c r="AL28" s="21">
        <v>2911</v>
      </c>
      <c r="AM28" s="21">
        <v>3747</v>
      </c>
      <c r="AN28" s="21">
        <v>4667</v>
      </c>
      <c r="AO28" s="21">
        <v>5368</v>
      </c>
    </row>
    <row r="29" spans="1:49" x14ac:dyDescent="0.3">
      <c r="A29" s="1" t="s">
        <v>36</v>
      </c>
      <c r="B29" s="20">
        <v>60514</v>
      </c>
      <c r="C29" s="20">
        <v>54164</v>
      </c>
      <c r="D29" s="20">
        <v>45655</v>
      </c>
      <c r="E29" s="20">
        <v>41965</v>
      </c>
      <c r="F29" s="20">
        <v>45680</v>
      </c>
      <c r="H29" s="6" t="s">
        <v>36</v>
      </c>
      <c r="I29" s="21">
        <v>72663</v>
      </c>
      <c r="J29" s="21">
        <v>47806</v>
      </c>
      <c r="K29" s="21">
        <v>39606</v>
      </c>
      <c r="L29" s="21">
        <v>44675</v>
      </c>
      <c r="M29" s="21">
        <v>43399</v>
      </c>
      <c r="O29" s="1" t="s">
        <v>36</v>
      </c>
      <c r="P29" s="20">
        <f>1400+1041.751+318.828</f>
        <v>2760.5790000000002</v>
      </c>
      <c r="Q29" s="20">
        <f>1400+1340.638+261.367</f>
        <v>3002.0050000000001</v>
      </c>
      <c r="R29" s="20">
        <f>950+1442.86+302.922</f>
        <v>2695.7819999999997</v>
      </c>
      <c r="S29" s="20">
        <f>1056.68+1193.526+237.37</f>
        <v>2487.576</v>
      </c>
      <c r="T29" s="20">
        <f>660.78+1078.248+258.077</f>
        <v>1997.105</v>
      </c>
      <c r="V29" s="6" t="s">
        <v>36</v>
      </c>
      <c r="W29" s="21">
        <v>6</v>
      </c>
      <c r="X29" s="21">
        <v>86</v>
      </c>
      <c r="Y29" s="21">
        <v>3</v>
      </c>
      <c r="Z29" s="21">
        <v>0</v>
      </c>
      <c r="AA29" s="21">
        <v>0</v>
      </c>
      <c r="AC29" s="1" t="s">
        <v>36</v>
      </c>
      <c r="AD29" s="20">
        <f>1376+8295</f>
        <v>9671</v>
      </c>
      <c r="AE29" s="20">
        <v>0</v>
      </c>
      <c r="AF29" s="20">
        <v>0</v>
      </c>
      <c r="AG29" s="20">
        <v>0</v>
      </c>
      <c r="AH29" s="20">
        <v>0</v>
      </c>
      <c r="AJ29" s="6" t="s">
        <v>36</v>
      </c>
      <c r="AK29" s="21">
        <f>11623+338</f>
        <v>11961</v>
      </c>
      <c r="AL29" s="21">
        <f>14167+439</f>
        <v>14606</v>
      </c>
      <c r="AM29" s="21">
        <f>3364+502</f>
        <v>3866</v>
      </c>
      <c r="AN29" s="21">
        <v>1351</v>
      </c>
      <c r="AO29" s="21">
        <v>2500</v>
      </c>
    </row>
    <row r="30" spans="1:49" x14ac:dyDescent="0.3">
      <c r="A30" s="1" t="s">
        <v>35</v>
      </c>
      <c r="B30" s="20">
        <v>596</v>
      </c>
      <c r="C30" s="20">
        <v>403</v>
      </c>
      <c r="D30" s="20">
        <v>2009</v>
      </c>
      <c r="E30" s="20">
        <v>4995</v>
      </c>
      <c r="F30" s="20">
        <v>3118</v>
      </c>
      <c r="H30" s="6" t="s">
        <v>35</v>
      </c>
      <c r="I30" s="21">
        <v>669</v>
      </c>
      <c r="J30" s="21">
        <v>186</v>
      </c>
      <c r="K30" s="21">
        <v>397</v>
      </c>
      <c r="L30" s="21">
        <v>597</v>
      </c>
      <c r="M30" s="21">
        <v>653</v>
      </c>
      <c r="O30" s="1" t="s">
        <v>35</v>
      </c>
      <c r="P30" s="20">
        <f>68.087</f>
        <v>68.087000000000003</v>
      </c>
      <c r="Q30" s="20">
        <v>92.426000000000002</v>
      </c>
      <c r="R30" s="20">
        <v>93.18</v>
      </c>
      <c r="S30" s="20">
        <v>96.31</v>
      </c>
      <c r="T30" s="20">
        <v>91.224000000000004</v>
      </c>
      <c r="V30" s="6" t="s">
        <v>35</v>
      </c>
      <c r="W30" s="21">
        <v>0</v>
      </c>
      <c r="X30" s="21">
        <v>0</v>
      </c>
      <c r="Y30" s="21">
        <v>0</v>
      </c>
      <c r="Z30" s="21">
        <v>0</v>
      </c>
      <c r="AA30" s="21">
        <v>0</v>
      </c>
      <c r="AC30" s="1" t="s">
        <v>35</v>
      </c>
      <c r="AD30" s="20">
        <v>2</v>
      </c>
      <c r="AE30" s="20">
        <v>4204</v>
      </c>
      <c r="AF30" s="20">
        <v>3354</v>
      </c>
      <c r="AG30" s="20">
        <v>4208</v>
      </c>
      <c r="AH30" s="20">
        <v>4661</v>
      </c>
      <c r="AJ30" s="6" t="s">
        <v>35</v>
      </c>
      <c r="AK30" s="21">
        <f>208</f>
        <v>208</v>
      </c>
      <c r="AL30" s="21">
        <f>161</f>
        <v>161</v>
      </c>
      <c r="AM30" s="21">
        <v>157</v>
      </c>
      <c r="AN30" s="21">
        <v>144</v>
      </c>
      <c r="AO30" s="21">
        <v>104</v>
      </c>
    </row>
    <row r="32" spans="1:49" x14ac:dyDescent="0.3">
      <c r="O32" s="1" t="s">
        <v>11</v>
      </c>
      <c r="P32" s="15" t="s">
        <v>37</v>
      </c>
      <c r="Q32" s="15" t="s">
        <v>38</v>
      </c>
      <c r="R32" s="15" t="s">
        <v>39</v>
      </c>
      <c r="S32" s="15" t="s">
        <v>40</v>
      </c>
      <c r="T32" s="15" t="s">
        <v>41</v>
      </c>
      <c r="V32" s="1" t="s">
        <v>11</v>
      </c>
      <c r="W32" s="15" t="s">
        <v>37</v>
      </c>
      <c r="X32" s="15" t="s">
        <v>38</v>
      </c>
      <c r="Y32" s="15" t="s">
        <v>39</v>
      </c>
      <c r="Z32" s="15" t="s">
        <v>40</v>
      </c>
      <c r="AA32" s="15" t="s">
        <v>41</v>
      </c>
      <c r="AC32" s="1" t="s">
        <v>11</v>
      </c>
      <c r="AD32" s="15" t="s">
        <v>37</v>
      </c>
      <c r="AE32" s="15" t="s">
        <v>38</v>
      </c>
      <c r="AF32" s="15" t="s">
        <v>39</v>
      </c>
      <c r="AG32" s="15" t="s">
        <v>40</v>
      </c>
      <c r="AH32" s="15" t="s">
        <v>41</v>
      </c>
      <c r="AJ32" s="1" t="s">
        <v>11</v>
      </c>
      <c r="AK32" s="15" t="s">
        <v>37</v>
      </c>
      <c r="AL32" s="15" t="s">
        <v>38</v>
      </c>
      <c r="AM32" s="15" t="s">
        <v>39</v>
      </c>
      <c r="AN32" s="15" t="s">
        <v>40</v>
      </c>
      <c r="AO32" s="15" t="s">
        <v>41</v>
      </c>
    </row>
    <row r="33" spans="15:42" x14ac:dyDescent="0.3">
      <c r="O33" s="1" t="s">
        <v>72</v>
      </c>
      <c r="P33" s="55">
        <f>P3</f>
        <v>4054.377</v>
      </c>
      <c r="Q33" s="55">
        <f t="shared" ref="Q33:T33" si="18">Q3</f>
        <v>5336.308</v>
      </c>
      <c r="R33" s="55">
        <f t="shared" si="18"/>
        <v>5755.13</v>
      </c>
      <c r="S33" s="55">
        <f t="shared" si="18"/>
        <v>5836.4780000000001</v>
      </c>
      <c r="T33" s="55">
        <f t="shared" si="18"/>
        <v>5186.8019999999997</v>
      </c>
      <c r="V33" s="1" t="s">
        <v>72</v>
      </c>
      <c r="W33" s="55">
        <f>W3</f>
        <v>0</v>
      </c>
      <c r="X33" s="55">
        <f t="shared" ref="X33:AA33" si="19">X3</f>
        <v>55</v>
      </c>
      <c r="Y33" s="55">
        <f t="shared" si="19"/>
        <v>1658</v>
      </c>
      <c r="Z33" s="55">
        <f t="shared" si="19"/>
        <v>4434</v>
      </c>
      <c r="AA33" s="55">
        <f t="shared" si="19"/>
        <v>4970</v>
      </c>
      <c r="AC33" s="1" t="s">
        <v>72</v>
      </c>
      <c r="AD33" s="55">
        <f>AD3</f>
        <v>86676</v>
      </c>
      <c r="AE33" s="55">
        <f t="shared" ref="AE33:AH33" si="20">AE3</f>
        <v>149419</v>
      </c>
      <c r="AF33" s="55">
        <f t="shared" si="20"/>
        <v>179592</v>
      </c>
      <c r="AG33" s="55">
        <f t="shared" si="20"/>
        <v>189544</v>
      </c>
      <c r="AH33" s="55">
        <f t="shared" si="20"/>
        <v>156878</v>
      </c>
      <c r="AJ33" s="1" t="s">
        <v>72</v>
      </c>
      <c r="AK33" s="55">
        <f>AK3</f>
        <v>31536</v>
      </c>
      <c r="AL33" s="55">
        <f t="shared" ref="AL33:AO33" si="21">AL3</f>
        <v>53823</v>
      </c>
      <c r="AM33" s="55">
        <f t="shared" si="21"/>
        <v>81462</v>
      </c>
      <c r="AN33" s="55">
        <f t="shared" si="21"/>
        <v>96773</v>
      </c>
      <c r="AO33" s="55">
        <f t="shared" si="21"/>
        <v>97690</v>
      </c>
    </row>
    <row r="34" spans="15:42" x14ac:dyDescent="0.3">
      <c r="O34" s="1" t="s">
        <v>109</v>
      </c>
      <c r="P34" s="55">
        <f>P7</f>
        <v>9.6790000000000873</v>
      </c>
      <c r="Q34" s="55">
        <f t="shared" ref="Q34:T34" si="22">Q7</f>
        <v>823.43900000000031</v>
      </c>
      <c r="R34" s="55">
        <f t="shared" si="22"/>
        <v>909.27800000000002</v>
      </c>
      <c r="S34" s="55">
        <f t="shared" si="22"/>
        <v>779.08400000000006</v>
      </c>
      <c r="T34" s="55">
        <f t="shared" si="22"/>
        <v>416.62699999999973</v>
      </c>
      <c r="V34" s="1" t="s">
        <v>109</v>
      </c>
      <c r="W34" s="55">
        <f>W7</f>
        <v>0</v>
      </c>
      <c r="X34" s="55">
        <f t="shared" ref="X34:AA34" si="23">X7</f>
        <v>-4220</v>
      </c>
      <c r="Y34" s="55">
        <f t="shared" si="23"/>
        <v>-6856</v>
      </c>
      <c r="Z34" s="55">
        <f t="shared" si="23"/>
        <v>-5739</v>
      </c>
      <c r="AA34" s="55">
        <f t="shared" si="23"/>
        <v>-4689</v>
      </c>
      <c r="AC34" s="1" t="s">
        <v>109</v>
      </c>
      <c r="AD34" s="55">
        <f>AD7</f>
        <v>1977</v>
      </c>
      <c r="AE34" s="55">
        <f t="shared" ref="AE34:AH34" si="24">AE7</f>
        <v>15196</v>
      </c>
      <c r="AF34" s="55">
        <f t="shared" si="24"/>
        <v>19868</v>
      </c>
      <c r="AG34" s="55">
        <f t="shared" si="24"/>
        <v>21354</v>
      </c>
      <c r="AH34" s="55">
        <f t="shared" si="24"/>
        <v>3949</v>
      </c>
      <c r="AJ34" s="1" t="s">
        <v>109</v>
      </c>
      <c r="AK34" s="55">
        <f>AK7</f>
        <v>1994</v>
      </c>
      <c r="AL34" s="55">
        <f t="shared" ref="AL34:AO34" si="25">AL7</f>
        <v>6523</v>
      </c>
      <c r="AM34" s="55">
        <f t="shared" si="25"/>
        <v>13656</v>
      </c>
      <c r="AN34" s="55">
        <f t="shared" si="25"/>
        <v>8891</v>
      </c>
      <c r="AO34" s="55">
        <f t="shared" si="25"/>
        <v>7076</v>
      </c>
    </row>
    <row r="35" spans="15:42" x14ac:dyDescent="0.3">
      <c r="O35" s="1" t="s">
        <v>19</v>
      </c>
      <c r="P35" s="55">
        <f>P10</f>
        <v>-4.4139999999999127</v>
      </c>
      <c r="Q35" s="55">
        <f t="shared" ref="Q35:T35" si="26">Q10</f>
        <v>623.25400000000036</v>
      </c>
      <c r="R35" s="55">
        <f t="shared" si="26"/>
        <v>686.024</v>
      </c>
      <c r="S35" s="55">
        <f t="shared" si="26"/>
        <v>576.46699999999998</v>
      </c>
      <c r="T35" s="55">
        <f t="shared" si="26"/>
        <v>313.91599999999971</v>
      </c>
      <c r="V35" s="1" t="s">
        <v>19</v>
      </c>
      <c r="W35" s="55">
        <f>W10</f>
        <v>0</v>
      </c>
      <c r="X35" s="55">
        <f t="shared" ref="X35:AA35" si="27">X10</f>
        <v>-4249</v>
      </c>
      <c r="Y35" s="55">
        <f t="shared" si="27"/>
        <v>-6963</v>
      </c>
      <c r="Z35" s="55">
        <f t="shared" si="27"/>
        <v>-5960</v>
      </c>
      <c r="AA35" s="55">
        <f t="shared" si="27"/>
        <v>-5012</v>
      </c>
      <c r="AC35" s="1" t="s">
        <v>19</v>
      </c>
      <c r="AD35" s="55">
        <f>AD10</f>
        <v>-343</v>
      </c>
      <c r="AE35" s="55">
        <f t="shared" ref="AE35:AH35" si="28">AE10</f>
        <v>12551</v>
      </c>
      <c r="AF35" s="55">
        <f t="shared" si="28"/>
        <v>16371</v>
      </c>
      <c r="AG35" s="55">
        <f t="shared" si="28"/>
        <v>17603</v>
      </c>
      <c r="AH35" s="55">
        <f t="shared" si="28"/>
        <v>5782</v>
      </c>
      <c r="AJ35" s="1" t="s">
        <v>19</v>
      </c>
      <c r="AK35" s="55">
        <f>AK10</f>
        <v>954</v>
      </c>
      <c r="AL35" s="55">
        <f t="shared" ref="AL35:AO35" si="29">AL10</f>
        <v>5453</v>
      </c>
      <c r="AM35" s="55">
        <f t="shared" si="29"/>
        <v>12333</v>
      </c>
      <c r="AN35" s="55">
        <f t="shared" si="29"/>
        <v>13736</v>
      </c>
      <c r="AO35" s="55">
        <f t="shared" si="29"/>
        <v>4889</v>
      </c>
    </row>
    <row r="37" spans="15:42" x14ac:dyDescent="0.3">
      <c r="O37" s="1" t="s">
        <v>11</v>
      </c>
      <c r="P37" s="15" t="s">
        <v>64</v>
      </c>
      <c r="Q37" s="15" t="s">
        <v>65</v>
      </c>
      <c r="R37" s="15" t="s">
        <v>66</v>
      </c>
      <c r="S37" s="15" t="s">
        <v>67</v>
      </c>
      <c r="T37" s="15" t="s">
        <v>68</v>
      </c>
      <c r="U37" s="15" t="s">
        <v>69</v>
      </c>
      <c r="AC37" s="1" t="s">
        <v>11</v>
      </c>
      <c r="AD37" s="15" t="s">
        <v>64</v>
      </c>
      <c r="AE37" s="15" t="s">
        <v>65</v>
      </c>
      <c r="AF37" s="15" t="s">
        <v>66</v>
      </c>
      <c r="AG37" s="15" t="s">
        <v>67</v>
      </c>
      <c r="AH37" s="15" t="s">
        <v>68</v>
      </c>
      <c r="AI37" s="15" t="s">
        <v>69</v>
      </c>
    </row>
    <row r="38" spans="15:42" x14ac:dyDescent="0.3">
      <c r="O38" s="1" t="s">
        <v>72</v>
      </c>
      <c r="P38" s="55">
        <f>DCF!R3</f>
        <v>5448.7235982424381</v>
      </c>
      <c r="Q38" s="55">
        <f>DCF!S3</f>
        <v>5723.8716361341767</v>
      </c>
      <c r="R38" s="55">
        <f>DCF!T3</f>
        <v>6012.9140185252572</v>
      </c>
      <c r="S38" s="55">
        <f>DCF!U3</f>
        <v>6316.5523779279292</v>
      </c>
      <c r="T38" s="55">
        <f>DCF!V3</f>
        <v>6635.5237776861914</v>
      </c>
      <c r="U38" s="55">
        <f>DCF!W3</f>
        <v>6970.6025011514921</v>
      </c>
      <c r="AC38" s="1" t="s">
        <v>72</v>
      </c>
      <c r="AD38" s="55">
        <f>DCF!AH3</f>
        <v>158800.21957342658</v>
      </c>
      <c r="AE38" s="55">
        <f>DCF!AI3</f>
        <v>160745.99202289994</v>
      </c>
      <c r="AF38" s="55">
        <f>DCF!AJ3</f>
        <v>162715.60594082528</v>
      </c>
      <c r="AG38" s="55">
        <f>DCF!AK3</f>
        <v>164709.35345571852</v>
      </c>
      <c r="AH38" s="55">
        <f>DCF!AL3</f>
        <v>166727.53027553402</v>
      </c>
      <c r="AI38" s="55">
        <f>DCF!AM3</f>
        <v>168770.43573152341</v>
      </c>
    </row>
    <row r="39" spans="15:42" x14ac:dyDescent="0.3">
      <c r="O39" s="1" t="s">
        <v>109</v>
      </c>
      <c r="P39" s="55">
        <f>DCF!R4</f>
        <v>611.74958266846045</v>
      </c>
      <c r="Q39" s="55">
        <f>DCF!S4</f>
        <v>642.6415327403289</v>
      </c>
      <c r="R39" s="55">
        <f>DCF!T4</f>
        <v>675.09345539947753</v>
      </c>
      <c r="S39" s="55">
        <f>DCF!U4</f>
        <v>709.18412568171334</v>
      </c>
      <c r="T39" s="55">
        <f>DCF!V4</f>
        <v>744.99629658137758</v>
      </c>
      <c r="U39" s="55">
        <f>DCF!W4</f>
        <v>782.61689992912284</v>
      </c>
      <c r="AC39" s="1" t="s">
        <v>109</v>
      </c>
      <c r="AD39" s="55">
        <f>DCF!AH4</f>
        <v>12990.583878534049</v>
      </c>
      <c r="AE39" s="55">
        <f>DCF!AI4</f>
        <v>13149.756959536855</v>
      </c>
      <c r="AF39" s="55">
        <f>DCF!AJ4</f>
        <v>13310.880381644634</v>
      </c>
      <c r="AG39" s="55">
        <f>DCF!AK4</f>
        <v>13473.978042305385</v>
      </c>
      <c r="AH39" s="55">
        <f>DCF!AL4</f>
        <v>13639.074131781534</v>
      </c>
      <c r="AI39" s="55">
        <f>DCF!AM4</f>
        <v>13806.193136737782</v>
      </c>
    </row>
    <row r="40" spans="15:42" x14ac:dyDescent="0.3">
      <c r="O40" s="1" t="s">
        <v>19</v>
      </c>
      <c r="P40" s="55">
        <f>DCF!R5</f>
        <v>471.04717865471457</v>
      </c>
      <c r="Q40" s="55">
        <f>DCF!S5</f>
        <v>494.83398021005326</v>
      </c>
      <c r="R40" s="55">
        <f>DCF!T5</f>
        <v>519.82196065759774</v>
      </c>
      <c r="S40" s="55">
        <f>DCF!U5</f>
        <v>546.07177677491927</v>
      </c>
      <c r="T40" s="55">
        <f>DCF!V5</f>
        <v>573.64714836766075</v>
      </c>
      <c r="U40" s="55">
        <f>DCF!W5</f>
        <v>602.61501294542461</v>
      </c>
      <c r="AC40" s="1" t="s">
        <v>19</v>
      </c>
      <c r="AD40" s="55">
        <f>DCF!AH5</f>
        <v>10002.749586471218</v>
      </c>
      <c r="AE40" s="55">
        <f>DCF!AI5</f>
        <v>10125.312858843379</v>
      </c>
      <c r="AF40" s="55">
        <f>DCF!AJ5</f>
        <v>10249.377893866369</v>
      </c>
      <c r="AG40" s="55">
        <f>DCF!AK5</f>
        <v>10374.963092575146</v>
      </c>
      <c r="AH40" s="55">
        <f>DCF!AL5</f>
        <v>10502.087081471782</v>
      </c>
      <c r="AI40" s="55">
        <f>DCF!AM5</f>
        <v>10630.768715288092</v>
      </c>
    </row>
    <row r="41" spans="15:42" x14ac:dyDescent="0.3">
      <c r="O41" s="1" t="s">
        <v>78</v>
      </c>
      <c r="P41" s="55">
        <f>DCF!R9</f>
        <v>369.70846917183803</v>
      </c>
      <c r="Q41" s="55">
        <f>DCF!S9</f>
        <v>439.40959983906055</v>
      </c>
      <c r="R41" s="55">
        <f>DCF!T9</f>
        <v>461.59877626663877</v>
      </c>
      <c r="S41" s="55">
        <f>DCF!U9</f>
        <v>484.90845518372703</v>
      </c>
      <c r="T41" s="55">
        <f>DCF!V9</f>
        <v>509.3952193946983</v>
      </c>
      <c r="U41" s="55">
        <f>DCF!W9</f>
        <v>535.11850900569868</v>
      </c>
      <c r="AC41" s="1" t="s">
        <v>78</v>
      </c>
      <c r="AD41" s="55">
        <f>DCF!AH9</f>
        <v>4853.6312683038996</v>
      </c>
      <c r="AE41" s="55">
        <f>DCF!AI9</f>
        <v>10635.757446937709</v>
      </c>
      <c r="AF41" s="55">
        <f>DCF!AJ9</f>
        <v>10766.076938152037</v>
      </c>
      <c r="AG41" s="55">
        <f>DCF!AK9</f>
        <v>10897.993228642303</v>
      </c>
      <c r="AH41" s="55">
        <f>DCF!AL9</f>
        <v>11031.525883923267</v>
      </c>
      <c r="AI41" s="55">
        <f>DCF!AM9</f>
        <v>11166.694709245099</v>
      </c>
    </row>
    <row r="42" spans="15:42" x14ac:dyDescent="0.3">
      <c r="V42" s="1" t="s">
        <v>11</v>
      </c>
      <c r="W42" s="15" t="s">
        <v>64</v>
      </c>
      <c r="X42" s="15" t="s">
        <v>65</v>
      </c>
      <c r="Y42" s="15" t="s">
        <v>66</v>
      </c>
      <c r="Z42" s="15" t="s">
        <v>67</v>
      </c>
      <c r="AA42" s="15" t="s">
        <v>68</v>
      </c>
      <c r="AB42" s="15" t="s">
        <v>69</v>
      </c>
      <c r="AJ42" s="1" t="s">
        <v>11</v>
      </c>
      <c r="AK42" s="15" t="s">
        <v>64</v>
      </c>
      <c r="AL42" s="15" t="s">
        <v>65</v>
      </c>
      <c r="AM42" s="15" t="s">
        <v>66</v>
      </c>
      <c r="AN42" s="15" t="s">
        <v>67</v>
      </c>
      <c r="AO42" s="15" t="s">
        <v>68</v>
      </c>
      <c r="AP42" s="15" t="s">
        <v>69</v>
      </c>
    </row>
    <row r="43" spans="15:42" x14ac:dyDescent="0.3">
      <c r="V43" s="1" t="s">
        <v>72</v>
      </c>
      <c r="W43" s="55">
        <f>DCF!Z3</f>
        <v>5261.8291032637198</v>
      </c>
      <c r="X43" s="55">
        <f>DCF!AA3</f>
        <v>5570.7938655841217</v>
      </c>
      <c r="Y43" s="55">
        <f>DCF!AB3</f>
        <v>5897.900460807552</v>
      </c>
      <c r="Z43" s="55">
        <f>DCF!AC3</f>
        <v>6244.2141434264959</v>
      </c>
      <c r="AA43" s="55">
        <f>DCF!AD3</f>
        <v>6610.862717684603</v>
      </c>
      <c r="AB43" s="55">
        <f>DCF!AE3</f>
        <v>6999.0402103810738</v>
      </c>
      <c r="AJ43" s="1" t="s">
        <v>72</v>
      </c>
      <c r="AK43" s="55">
        <f>DCF!AP3</f>
        <v>122478.20423177555</v>
      </c>
      <c r="AL43" s="55">
        <f>DCF!AQ3</f>
        <v>153556.25459965732</v>
      </c>
      <c r="AM43" s="55">
        <f>DCF!AR3</f>
        <v>192520.15878721827</v>
      </c>
      <c r="AN43" s="55">
        <f>DCF!AS3</f>
        <v>241370.90108173588</v>
      </c>
      <c r="AO43" s="55">
        <f>DCF!AT3</f>
        <v>302617.20256215113</v>
      </c>
      <c r="AP43" s="55">
        <f>DCF!AU3</f>
        <v>379404.35601858672</v>
      </c>
    </row>
    <row r="44" spans="15:42" x14ac:dyDescent="0.3">
      <c r="V44" s="1" t="s">
        <v>109</v>
      </c>
      <c r="W44" s="55">
        <f>DCF!Z4</f>
        <v>-4131.2680471031044</v>
      </c>
      <c r="X44" s="55">
        <f>DCF!AA4</f>
        <v>-3639.8753843069094</v>
      </c>
      <c r="Y44" s="55">
        <f>DCF!AB4</f>
        <v>-3206.9313010501746</v>
      </c>
      <c r="Z44" s="55">
        <f>DCF!AC4</f>
        <v>-2825.4836454005913</v>
      </c>
      <c r="AA44" s="55">
        <f>DCF!AD4</f>
        <v>-2489.4071874292731</v>
      </c>
      <c r="AB44" s="55">
        <f>DCF!AE4</f>
        <v>-2193.305261176235</v>
      </c>
      <c r="AJ44" s="1" t="s">
        <v>109</v>
      </c>
      <c r="AK44" s="55">
        <f>DCF!AP4</f>
        <v>13149.123290596674</v>
      </c>
      <c r="AL44" s="55">
        <f>DCF!AQ4</f>
        <v>16485.628087363046</v>
      </c>
      <c r="AM44" s="55">
        <f>DCF!AR4</f>
        <v>20668.74934766247</v>
      </c>
      <c r="AN44" s="55">
        <f>DCF!AS4</f>
        <v>25913.310510987631</v>
      </c>
      <c r="AO44" s="55">
        <f>DCF!AT4</f>
        <v>32488.645072025382</v>
      </c>
      <c r="AP44" s="55">
        <f>DCF!AU4</f>
        <v>40732.428153804816</v>
      </c>
    </row>
    <row r="45" spans="15:42" x14ac:dyDescent="0.3">
      <c r="V45" s="1" t="s">
        <v>19</v>
      </c>
      <c r="W45" s="55">
        <f>DCF!Z5</f>
        <v>-4131.2680471031044</v>
      </c>
      <c r="X45" s="55">
        <f>DCF!AA5</f>
        <v>-3639.8753843069094</v>
      </c>
      <c r="Y45" s="55">
        <f>DCF!AB5</f>
        <v>-3206.9313010501746</v>
      </c>
      <c r="Z45" s="55">
        <f>DCF!AC5</f>
        <v>-2825.4836454005913</v>
      </c>
      <c r="AA45" s="55">
        <f>DCF!AD5</f>
        <v>-2489.4071874292731</v>
      </c>
      <c r="AB45" s="55">
        <f>DCF!AE5</f>
        <v>-2193.305261176235</v>
      </c>
      <c r="AJ45" s="1" t="s">
        <v>19</v>
      </c>
      <c r="AK45" s="55">
        <f>DCF!AP5</f>
        <v>10124.824933759439</v>
      </c>
      <c r="AL45" s="55">
        <f>DCF!AQ5</f>
        <v>12693.933627269545</v>
      </c>
      <c r="AM45" s="55">
        <f>DCF!AR5</f>
        <v>15914.936997700102</v>
      </c>
      <c r="AN45" s="55">
        <f>DCF!AS5</f>
        <v>19953.249093460476</v>
      </c>
      <c r="AO45" s="55">
        <f>DCF!AT5</f>
        <v>25016.256705459546</v>
      </c>
      <c r="AP45" s="55">
        <f>DCF!AU5</f>
        <v>31363.969678429708</v>
      </c>
    </row>
    <row r="46" spans="15:42" x14ac:dyDescent="0.3">
      <c r="V46" s="1" t="s">
        <v>78</v>
      </c>
      <c r="W46" s="55">
        <f>DCF!Z9</f>
        <v>-7148.66861912899</v>
      </c>
      <c r="X46" s="55">
        <f>DCF!AA9</f>
        <v>-5495.7284424576774</v>
      </c>
      <c r="Y46" s="55">
        <f>DCF!AB9</f>
        <v>-5171.7565792712394</v>
      </c>
      <c r="Z46" s="55">
        <f>DCF!AC9</f>
        <v>-4905.6797886142394</v>
      </c>
      <c r="AA46" s="55">
        <f>DCF!AD9</f>
        <v>-4691.7485570185127</v>
      </c>
      <c r="AB46" s="55">
        <f>DCF!AE9</f>
        <v>-4524.9639963525642</v>
      </c>
      <c r="AJ46" s="1" t="s">
        <v>78</v>
      </c>
      <c r="AK46" s="55">
        <f>DCF!AP9</f>
        <v>9393.5085001225925</v>
      </c>
      <c r="AL46" s="55">
        <f>DCF!AQ9</f>
        <v>3212.2822792882725</v>
      </c>
      <c r="AM46" s="55">
        <f>DCF!AR9</f>
        <v>4027.3780842745764</v>
      </c>
      <c r="AN46" s="55">
        <f>DCF!AS9</f>
        <v>5049.2991659776599</v>
      </c>
      <c r="AO46" s="55">
        <f>DCF!AT9</f>
        <v>6330.5260976348218</v>
      </c>
      <c r="AP46" s="55">
        <f>DCF!AU9</f>
        <v>7936.8560577408571</v>
      </c>
    </row>
  </sheetData>
  <mergeCells count="3">
    <mergeCell ref="L1:M1"/>
    <mergeCell ref="Z1:AA1"/>
    <mergeCell ref="AN1:AO1"/>
  </mergeCells>
  <pageMargins left="0.7" right="0.7" top="0.75" bottom="0.75" header="0.3" footer="0.3"/>
  <tableParts count="2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9307E-A50C-4188-924B-72EE7247FD2E}">
  <dimension ref="A1:AE23"/>
  <sheetViews>
    <sheetView workbookViewId="0">
      <selection activeCell="E5" sqref="E5"/>
    </sheetView>
  </sheetViews>
  <sheetFormatPr defaultRowHeight="14.4" x14ac:dyDescent="0.3"/>
  <cols>
    <col min="1" max="1" width="22" style="1" bestFit="1" customWidth="1"/>
    <col min="2" max="3" width="10.88671875" style="22" bestFit="1" customWidth="1"/>
    <col min="4" max="5" width="9.88671875" style="22" bestFit="1" customWidth="1"/>
    <col min="6" max="6" width="10.44140625" style="22" customWidth="1"/>
    <col min="7" max="7" width="12.33203125" style="22" bestFit="1" customWidth="1"/>
    <col min="8" max="8" width="8.88671875" style="23"/>
    <col min="9" max="9" width="14" style="23" bestFit="1" customWidth="1"/>
    <col min="10" max="15" width="9.88671875" style="23" bestFit="1" customWidth="1"/>
    <col min="16" max="16" width="8.88671875" style="23"/>
    <col min="17" max="17" width="14" style="23" bestFit="1" customWidth="1"/>
    <col min="18" max="18" width="11" style="23" bestFit="1" customWidth="1"/>
    <col min="19" max="23" width="9.88671875" style="23" bestFit="1" customWidth="1"/>
    <col min="24" max="24" width="8.88671875" style="23"/>
    <col min="25" max="25" width="14" style="23" bestFit="1" customWidth="1"/>
    <col min="26" max="31" width="9.88671875" style="23" bestFit="1" customWidth="1"/>
    <col min="32" max="16384" width="8.88671875" style="23"/>
  </cols>
  <sheetData>
    <row r="1" spans="1:31" s="1" customFormat="1" x14ac:dyDescent="0.3">
      <c r="A1" s="17" t="s">
        <v>43</v>
      </c>
      <c r="B1" s="15"/>
      <c r="C1" s="15"/>
      <c r="D1" s="15"/>
      <c r="E1" s="15"/>
      <c r="F1" s="15"/>
      <c r="G1" s="15"/>
    </row>
    <row r="2" spans="1:31" s="1" customFormat="1" x14ac:dyDescent="0.3">
      <c r="A2" s="36" t="s">
        <v>44</v>
      </c>
      <c r="B2" s="37" t="s">
        <v>42</v>
      </c>
      <c r="C2" s="37" t="s">
        <v>47</v>
      </c>
      <c r="D2" s="86" t="s">
        <v>116</v>
      </c>
      <c r="E2" s="86" t="s">
        <v>113</v>
      </c>
      <c r="F2" s="86" t="s">
        <v>114</v>
      </c>
      <c r="G2" s="87" t="s">
        <v>115</v>
      </c>
    </row>
    <row r="3" spans="1:31" x14ac:dyDescent="0.3">
      <c r="A3" s="38" t="s">
        <v>46</v>
      </c>
      <c r="B3" s="39">
        <f>(Table1[[#This Row],[2024]]/Table1[[#This Row],[2020]])^(1/5)-1</f>
        <v>7.7882486310618448E-2</v>
      </c>
      <c r="C3" s="39">
        <f>(Table4[[#This Row],[2024]]/Table4[[#This Row],[2020]])^(1/5)-1</f>
        <v>8.882178251995132E-2</v>
      </c>
      <c r="D3" s="88">
        <f>(Table18[[#This Row],[2024]]/Table18[[#This Row],[2020]])^(1/5)-1</f>
        <v>5.0497705183740971E-2</v>
      </c>
      <c r="E3" s="88">
        <f>(Table417[[#This Row],[2024]]/Table417[[#This Row],[2023]])^(1/2)-1</f>
        <v>5.8718129429319976E-2</v>
      </c>
      <c r="F3" s="88">
        <f>(Table1826[[#This Row],[2024]]/Table1826[[#This Row],[2021]])^(1/4)-1</f>
        <v>1.2252958180411389E-2</v>
      </c>
      <c r="G3" s="89">
        <f>(Table41729[[#This Row],[2024]]/Table41729[[#This Row],[2020]])^(1/5)-1</f>
        <v>0.25374351757370817</v>
      </c>
    </row>
    <row r="4" spans="1:31" x14ac:dyDescent="0.3">
      <c r="A4" s="90" t="s">
        <v>48</v>
      </c>
      <c r="B4" s="91">
        <f>AVERAGE(Financials!C7:F7)/AVERAGE(Financials!C3:F3)</f>
        <v>3.2758728517147388E-2</v>
      </c>
      <c r="C4" s="91">
        <f>AVERAGE(Financials!I7:M7)/AVERAGE(Financials!I3:M3)</f>
        <v>6.3165897678404401E-2</v>
      </c>
      <c r="D4" s="91">
        <f>AVERAGE(Financials!P7:T7)/AVERAGE(Financials!P3:T3)</f>
        <v>0.11227392464278953</v>
      </c>
      <c r="E4" s="91">
        <f>(Financials!AA7/Financials!Y7)^(1/3)-1</f>
        <v>-0.11894475429662943</v>
      </c>
      <c r="F4" s="91">
        <f>AVERAGE(Financials!AD7:AH7)/AVERAGE(Financials!AD3:AH3)</f>
        <v>8.1804571262116044E-2</v>
      </c>
      <c r="G4" s="92">
        <f>AVERAGE(Financials!AM7:AO7)/AVERAGE(Financials!AM3:AO3)</f>
        <v>0.10735888375464347</v>
      </c>
    </row>
    <row r="5" spans="1:31" x14ac:dyDescent="0.3">
      <c r="A5" s="38" t="s">
        <v>50</v>
      </c>
      <c r="B5" s="39">
        <f>AVERAGE(Financials!B28:F28)/AVERAGE(Financials!B3:F3)</f>
        <v>4.9785045833466421E-2</v>
      </c>
      <c r="C5" s="39">
        <f>AVERAGE(Financials!I28:M28)/AVERAGE(Financials!I3:M3)</f>
        <v>4.2575649111439719E-2</v>
      </c>
      <c r="D5" s="88">
        <f>AVERAGE(Financials!P28:T28)/AVERAGE(Financials!P3:T3)</f>
        <v>3.1396844254644653E-2</v>
      </c>
      <c r="E5" s="88">
        <f>AVERAGE(Financials!X28:AA28)/AVERAGE(Financials!X3:AA3)</f>
        <v>0.25339570027885222</v>
      </c>
      <c r="F5" s="88">
        <f>AVERAGE(Financials!AD28:AH28)/AVERAGE(Financials!AD3:AH3)</f>
        <v>4.2757663273888642E-2</v>
      </c>
      <c r="G5" s="89">
        <f>AVERAGE(Financials!AK28:AO28)/AVERAGE(Financials!AK3:AO3)</f>
        <v>5.2631724626609533E-2</v>
      </c>
    </row>
    <row r="6" spans="1:31" x14ac:dyDescent="0.3">
      <c r="A6" s="90" t="s">
        <v>33</v>
      </c>
      <c r="B6" s="91">
        <f>AVERAGE(Financials!B27:F27)/AVERAGE(Financials!B3:F3)</f>
        <v>4.5680155865725512E-2</v>
      </c>
      <c r="C6" s="91">
        <f>AVERAGE(Financials!I27:M27)/AVERAGE(Financials!I3:M3)</f>
        <v>5.7278304080427632E-2</v>
      </c>
      <c r="D6" s="91">
        <f>AVERAGE(Financials!P27:T27)/AVERAGE(Financials!P3:T3)</f>
        <v>3.0832820164396212E-2</v>
      </c>
      <c r="E6" s="91">
        <f>AVERAGE(Financials!X27:AA27)/AVERAGE(Financials!X3:AA3)</f>
        <v>0.47944589367635154</v>
      </c>
      <c r="F6" s="91">
        <f>AVERAGE(Financials!AD27:AH27)/AVERAGE(Financials!AD3:AH3)</f>
        <v>6.1874351306702852E-2</v>
      </c>
      <c r="G6" s="92">
        <f>AVERAGE(Financials!AK27:AO27)/AVERAGE(Financials!AK3:AO3)</f>
        <v>0.10251768691666389</v>
      </c>
      <c r="N6" s="26" t="s">
        <v>42</v>
      </c>
      <c r="V6" s="102" t="str">
        <f>Financials!T1</f>
        <v>Harley</v>
      </c>
      <c r="AD6" s="102" t="str">
        <f>Financials!AH1</f>
        <v>Stellantis</v>
      </c>
    </row>
    <row r="7" spans="1:31" x14ac:dyDescent="0.3">
      <c r="A7" s="38" t="s">
        <v>70</v>
      </c>
      <c r="B7" s="39">
        <f>AVERAGE(J8:N8)/AVERAGE(Financials!B3:F3)</f>
        <v>0.12136574148008561</v>
      </c>
      <c r="C7" s="39">
        <f>AVERAGE(K15:N15)/AVERAGE(Financials!J3:M3)</f>
        <v>5.6648051469387561E-2</v>
      </c>
      <c r="D7" s="88">
        <f>AVERAGE(R8:V8)/AVERAGE(Financials!P3:T3)</f>
        <v>0.28682829880055083</v>
      </c>
      <c r="E7" s="88">
        <f>AVERAGE(U15:V15)/AVERAGE(Financials!Z3:AA3)</f>
        <v>1.9308804763930243</v>
      </c>
      <c r="F7" s="88">
        <f>AVERAGE(AA8:AD8)/AVERAGE(Financials!AE3:AH3)</f>
        <v>7.6781856971749968E-2</v>
      </c>
      <c r="G7" s="89">
        <f>AVERAGE(Z15:AD15)/AVERAGE(Financials!AK3:AO3)</f>
        <v>0.23244594280399905</v>
      </c>
      <c r="I7" s="27" t="s">
        <v>11</v>
      </c>
      <c r="J7" s="28">
        <v>2020</v>
      </c>
      <c r="K7" s="28">
        <v>2021</v>
      </c>
      <c r="L7" s="28">
        <v>2022</v>
      </c>
      <c r="M7" s="28">
        <v>2023</v>
      </c>
      <c r="N7" s="28">
        <v>2024</v>
      </c>
      <c r="Q7" s="27" t="s">
        <v>11</v>
      </c>
      <c r="R7" s="28">
        <v>2020</v>
      </c>
      <c r="S7" s="28">
        <v>2021</v>
      </c>
      <c r="T7" s="28">
        <v>2022</v>
      </c>
      <c r="U7" s="28">
        <v>2023</v>
      </c>
      <c r="V7" s="28">
        <v>2024</v>
      </c>
      <c r="Y7" s="27" t="s">
        <v>11</v>
      </c>
      <c r="Z7" s="28">
        <v>2020</v>
      </c>
      <c r="AA7" s="28">
        <v>2021</v>
      </c>
      <c r="AB7" s="28">
        <v>2022</v>
      </c>
      <c r="AC7" s="28">
        <v>2023</v>
      </c>
      <c r="AD7" s="28">
        <v>2024</v>
      </c>
    </row>
    <row r="8" spans="1:31" x14ac:dyDescent="0.3">
      <c r="A8" s="90" t="s">
        <v>5</v>
      </c>
      <c r="B8" s="97">
        <f ca="1">'Company Profile'!B5</f>
        <v>1.5994999999999999</v>
      </c>
      <c r="C8" s="97">
        <f ca="1">'Company Profile'!C5</f>
        <v>1.3095000000000001</v>
      </c>
      <c r="D8" s="101">
        <f ca="1">'Company Profile'!D5</f>
        <v>1.3438000000000001</v>
      </c>
      <c r="E8" s="101">
        <f ca="1">'Company Profile'!E5</f>
        <v>1.7784</v>
      </c>
      <c r="F8" s="101">
        <f ca="1">'Company Profile'!F5</f>
        <v>1.6129</v>
      </c>
      <c r="G8" s="101">
        <f ca="1">'Company Profile'!G5</f>
        <v>1.8911</v>
      </c>
      <c r="I8" s="27" t="s">
        <v>63</v>
      </c>
      <c r="J8" s="29">
        <f>Financials!B14-Financials!B16</f>
        <v>19552</v>
      </c>
      <c r="K8" s="29">
        <f>Financials!C14-Financials!C16</f>
        <v>18269</v>
      </c>
      <c r="L8" s="29">
        <f>Financials!D14-Financials!D16</f>
        <v>19610</v>
      </c>
      <c r="M8" s="29">
        <f>Financials!E14-Financials!E16</f>
        <v>19950</v>
      </c>
      <c r="N8" s="29">
        <f>Financials!F14-Financials!F16</f>
        <v>17615</v>
      </c>
      <c r="Q8" s="27" t="s">
        <v>70</v>
      </c>
      <c r="R8" s="29">
        <f>Financials!P14-Financials!P16</f>
        <v>1863.4789999999998</v>
      </c>
      <c r="S8" s="29">
        <f>Financials!Q14-Financials!Q16</f>
        <v>1207.2040000000002</v>
      </c>
      <c r="T8" s="29">
        <f>Financials!R14-Financials!R16</f>
        <v>1216.7460000000001</v>
      </c>
      <c r="U8" s="29">
        <f>Financials!S14-Financials!S16</f>
        <v>1779.4650000000001</v>
      </c>
      <c r="V8" s="29">
        <f>Financials!T14-Financials!T16</f>
        <v>1439.1429999999996</v>
      </c>
      <c r="Y8" s="27" t="s">
        <v>70</v>
      </c>
      <c r="Z8" s="29">
        <f>Financials!AD14-Financials!AD16</f>
        <v>1016</v>
      </c>
      <c r="AA8" s="29">
        <f>Financials!AE14-Financials!AE16</f>
        <v>9938</v>
      </c>
      <c r="AB8" s="29">
        <f>Financials!AF14-Financials!AF16</f>
        <v>17951</v>
      </c>
      <c r="AC8" s="29">
        <f>Financials!AG14-Financials!AG16</f>
        <v>17580</v>
      </c>
      <c r="AD8" s="29">
        <f>Financials!AH14-Financials!AH16</f>
        <v>6392</v>
      </c>
    </row>
    <row r="9" spans="1:31" x14ac:dyDescent="0.3">
      <c r="A9" s="38" t="s">
        <v>56</v>
      </c>
      <c r="B9" s="39">
        <v>4.1000000000000002E-2</v>
      </c>
      <c r="C9" s="39">
        <v>4.1000000000000002E-2</v>
      </c>
      <c r="D9" s="103">
        <v>4.1000000000000002E-2</v>
      </c>
      <c r="E9" s="103">
        <v>4.1000000000000002E-2</v>
      </c>
      <c r="F9" s="103">
        <v>4.1000000000000002E-2</v>
      </c>
      <c r="G9" s="103">
        <v>4.1000000000000002E-2</v>
      </c>
    </row>
    <row r="10" spans="1:31" s="24" customFormat="1" x14ac:dyDescent="0.3">
      <c r="A10" s="90" t="s">
        <v>57</v>
      </c>
      <c r="B10" s="91">
        <v>4.1099999999999998E-2</v>
      </c>
      <c r="C10" s="91">
        <v>4.1099999999999998E-2</v>
      </c>
      <c r="D10" s="96">
        <v>4.1099999999999998E-2</v>
      </c>
      <c r="E10" s="96">
        <v>4.1099999999999998E-2</v>
      </c>
      <c r="F10" s="96">
        <v>4.1099999999999998E-2</v>
      </c>
      <c r="G10" s="96">
        <v>4.1099999999999998E-2</v>
      </c>
      <c r="H10" s="23"/>
      <c r="I10" s="27" t="s">
        <v>11</v>
      </c>
      <c r="J10" s="28">
        <v>2025</v>
      </c>
      <c r="K10" s="28">
        <v>2026</v>
      </c>
      <c r="L10" s="28">
        <v>2027</v>
      </c>
      <c r="M10" s="28">
        <v>2028</v>
      </c>
      <c r="N10" s="28">
        <v>2029</v>
      </c>
      <c r="O10" s="28">
        <v>2030</v>
      </c>
      <c r="Q10" s="27" t="s">
        <v>11</v>
      </c>
      <c r="R10" s="28">
        <v>2025</v>
      </c>
      <c r="S10" s="28">
        <v>2026</v>
      </c>
      <c r="T10" s="28">
        <v>2027</v>
      </c>
      <c r="U10" s="28">
        <v>2028</v>
      </c>
      <c r="V10" s="28">
        <v>2029</v>
      </c>
      <c r="W10" s="28">
        <v>2030</v>
      </c>
      <c r="Y10" s="27" t="s">
        <v>11</v>
      </c>
      <c r="Z10" s="28">
        <v>2025</v>
      </c>
      <c r="AA10" s="28">
        <v>2026</v>
      </c>
      <c r="AB10" s="28">
        <v>2027</v>
      </c>
      <c r="AC10" s="28">
        <v>2028</v>
      </c>
      <c r="AD10" s="28">
        <v>2029</v>
      </c>
      <c r="AE10" s="28">
        <v>2030</v>
      </c>
    </row>
    <row r="11" spans="1:31" x14ac:dyDescent="0.3">
      <c r="A11" s="40" t="s">
        <v>58</v>
      </c>
      <c r="B11" s="41">
        <f ca="1">B10+(B8*B9)</f>
        <v>0.1066795</v>
      </c>
      <c r="C11" s="41">
        <f ca="1">C10+(C8*C9)</f>
        <v>9.4789499999999999E-2</v>
      </c>
      <c r="D11" s="41">
        <f t="shared" ref="D11:G11" ca="1" si="0">D10+(D8*D9)</f>
        <v>9.6195799999999998E-2</v>
      </c>
      <c r="E11" s="41">
        <f t="shared" ca="1" si="0"/>
        <v>0.1140144</v>
      </c>
      <c r="F11" s="41">
        <f t="shared" ca="1" si="0"/>
        <v>0.1072289</v>
      </c>
      <c r="G11" s="104">
        <f t="shared" ca="1" si="0"/>
        <v>0.11863510000000001</v>
      </c>
      <c r="I11" s="27" t="s">
        <v>70</v>
      </c>
      <c r="J11" s="30">
        <f>DCF!B3*'Assumptions &amp; WACC'!$B$7</f>
        <v>24200.284784147556</v>
      </c>
      <c r="K11" s="30">
        <f>DCF!C3*'Assumptions &amp; WACC'!$B$7</f>
        <v>26085.063132561994</v>
      </c>
      <c r="L11" s="30">
        <f>DCF!D3*'Assumptions &amp; WACC'!$B$7</f>
        <v>28116.632704895372</v>
      </c>
      <c r="M11" s="30">
        <f>DCF!E3*'Assumptions &amp; WACC'!$B$7</f>
        <v>30306.425966635074</v>
      </c>
      <c r="N11" s="30">
        <f>DCF!F3*'Assumptions &amp; WACC'!$B$7</f>
        <v>32666.765772105304</v>
      </c>
      <c r="O11" s="30">
        <f>DCF!G3*'Assumptions &amp; WACC'!$B$7</f>
        <v>35210.93471016347</v>
      </c>
      <c r="Q11" s="27" t="s">
        <v>117</v>
      </c>
      <c r="R11" s="30">
        <f>DCF!R3*'Assumptions &amp; WACC'!$D$7</f>
        <v>1562.8481203182946</v>
      </c>
      <c r="S11" s="30">
        <f>DCF!S3*'Assumptions &amp; WACC'!$D$7</f>
        <v>1641.7683639450913</v>
      </c>
      <c r="T11" s="30">
        <f>DCF!T3*'Assumptions &amp; WACC'!$D$7</f>
        <v>1724.6738987675833</v>
      </c>
      <c r="U11" s="30">
        <f>DCF!U3*'Assumptions &amp; WACC'!$D$7</f>
        <v>1811.765972845642</v>
      </c>
      <c r="V11" s="30">
        <f>DCF!V3*'Assumptions &amp; WACC'!$D$7</f>
        <v>1903.2559968043347</v>
      </c>
      <c r="W11" s="30">
        <f>DCF!W3*'Assumptions &amp; WACC'!$D$7</f>
        <v>1999.3660570201471</v>
      </c>
      <c r="Y11" s="27" t="s">
        <v>117</v>
      </c>
      <c r="Z11" s="30">
        <f>DCF!AH3*'Assumptions &amp; WACC'!$F$7</f>
        <v>12192.975746369329</v>
      </c>
      <c r="AA11" s="30">
        <f>DCF!AI3*'Assumptions &amp; WACC'!$F$7</f>
        <v>12342.375768284364</v>
      </c>
      <c r="AB11" s="30">
        <f>DCF!AJ3*'Assumptions &amp; WACC'!$F$7</f>
        <v>12493.606382420076</v>
      </c>
      <c r="AC11" s="30">
        <f>DCF!AK3*'Assumptions &amp; WACC'!$F$7</f>
        <v>12646.69001894639</v>
      </c>
      <c r="AD11" s="30">
        <f>DCF!AL3*'Assumptions &amp; WACC'!$F$7</f>
        <v>12801.649382869165</v>
      </c>
      <c r="AE11" s="30">
        <f>DCF!AM3*'Assumptions &amp; WACC'!$F$7</f>
        <v>12958.507457397751</v>
      </c>
    </row>
    <row r="12" spans="1:31" x14ac:dyDescent="0.3">
      <c r="A12" s="90" t="s">
        <v>59</v>
      </c>
      <c r="B12" s="91">
        <f>AVERAGE(Financials!B8:F8)/AVERAGE(Financials!B21:F21)</f>
        <v>1.3280593527760128E-2</v>
      </c>
      <c r="C12" s="91">
        <f>Financials!M8/Financials!M21</f>
        <v>6.5211358801220976E-3</v>
      </c>
      <c r="D12" s="91">
        <f>AVERAGE(Financials!P8:T8)/AVERAGE(Financials!P21:T21)</f>
        <v>4.1997421138189424E-3</v>
      </c>
      <c r="E12" s="91">
        <f>AVERAGE(Financials!X8:AA8)/AVERAGE(Financials!X21:AA21)</f>
        <v>5.2030752504465323E-2</v>
      </c>
      <c r="F12" s="91">
        <f>AVERAGE(Financials!AD8:AH8)/AVERAGE(Financials!AD21:AH21)</f>
        <v>1.4157611988528497E-2</v>
      </c>
      <c r="G12" s="92">
        <f>AVERAGE(Financials!AK8:AO8)/AVERAGE(Financials!AK21:AO21)</f>
        <v>5.1791010723248911E-2</v>
      </c>
    </row>
    <row r="13" spans="1:31" x14ac:dyDescent="0.3">
      <c r="A13" s="38" t="s">
        <v>49</v>
      </c>
      <c r="B13" s="39">
        <v>0.23</v>
      </c>
      <c r="C13" s="39">
        <v>0.23</v>
      </c>
      <c r="D13" s="39">
        <v>0.23</v>
      </c>
      <c r="E13" s="39">
        <v>0.23</v>
      </c>
      <c r="F13" s="39">
        <v>0.23</v>
      </c>
      <c r="G13" s="103">
        <v>0.23</v>
      </c>
      <c r="N13" s="26" t="s">
        <v>47</v>
      </c>
      <c r="V13" s="102" t="str">
        <f>Financials!Z1</f>
        <v>Rivian</v>
      </c>
      <c r="AD13" s="102" t="str">
        <f>Financials!AN1</f>
        <v>Tesla</v>
      </c>
    </row>
    <row r="14" spans="1:31" x14ac:dyDescent="0.3">
      <c r="A14" s="93" t="s">
        <v>60</v>
      </c>
      <c r="B14" s="94">
        <f>B12*(1-B13)</f>
        <v>1.0226057016375299E-2</v>
      </c>
      <c r="C14" s="94">
        <f>C12*(1-C13)</f>
        <v>5.0212746276940149E-3</v>
      </c>
      <c r="D14" s="94">
        <f t="shared" ref="D14:G14" si="1">D12*(1-D13)</f>
        <v>3.2338014276405858E-3</v>
      </c>
      <c r="E14" s="94">
        <f t="shared" si="1"/>
        <v>4.0063679428438297E-2</v>
      </c>
      <c r="F14" s="94">
        <f t="shared" si="1"/>
        <v>1.0901361231166943E-2</v>
      </c>
      <c r="G14" s="105">
        <f t="shared" si="1"/>
        <v>3.9879078256901665E-2</v>
      </c>
      <c r="I14" s="27" t="s">
        <v>11</v>
      </c>
      <c r="J14" s="28">
        <v>2020</v>
      </c>
      <c r="K14" s="28">
        <v>2021</v>
      </c>
      <c r="L14" s="28">
        <v>2022</v>
      </c>
      <c r="M14" s="28">
        <v>2023</v>
      </c>
      <c r="N14" s="28">
        <v>2024</v>
      </c>
      <c r="Q14" s="27" t="s">
        <v>11</v>
      </c>
      <c r="R14" s="28">
        <v>2020</v>
      </c>
      <c r="S14" s="28">
        <v>2021</v>
      </c>
      <c r="T14" s="28">
        <v>2022</v>
      </c>
      <c r="U14" s="28">
        <v>2023</v>
      </c>
      <c r="V14" s="28">
        <v>2024</v>
      </c>
      <c r="Y14" s="27" t="s">
        <v>11</v>
      </c>
      <c r="Z14" s="28">
        <v>2020</v>
      </c>
      <c r="AA14" s="28">
        <v>2021</v>
      </c>
      <c r="AB14" s="28">
        <v>2022</v>
      </c>
      <c r="AC14" s="28">
        <v>2023</v>
      </c>
      <c r="AD14" s="28">
        <v>2024</v>
      </c>
    </row>
    <row r="15" spans="1:31" x14ac:dyDescent="0.3">
      <c r="A15" s="38" t="s">
        <v>51</v>
      </c>
      <c r="B15" s="42">
        <f>Financials!F21</f>
        <v>55507</v>
      </c>
      <c r="C15" s="42">
        <f>Financials!M21</f>
        <v>129732</v>
      </c>
      <c r="D15" s="98">
        <f>Financials!T21</f>
        <v>6960.3819999999996</v>
      </c>
      <c r="E15" s="98">
        <f>Financials!AA21</f>
        <v>5358</v>
      </c>
      <c r="F15" s="98">
        <f>Financials!AH21</f>
        <v>37227</v>
      </c>
      <c r="G15" s="99">
        <f>Financials!AO21</f>
        <v>8213</v>
      </c>
      <c r="I15" s="27" t="s">
        <v>63</v>
      </c>
      <c r="J15" s="29">
        <f>Financials!I14-Financials!I16</f>
        <v>1014</v>
      </c>
      <c r="K15" s="29">
        <f>Financials!J14-Financials!J16</f>
        <v>7695</v>
      </c>
      <c r="L15" s="29">
        <f>Financials!K14-Financials!K16</f>
        <v>9278</v>
      </c>
      <c r="M15" s="29">
        <f>Financials!L14-Financials!L16</f>
        <v>7173</v>
      </c>
      <c r="N15" s="29">
        <f>Financials!M14-Financials!M16</f>
        <v>12280</v>
      </c>
      <c r="Q15" s="27" t="s">
        <v>70</v>
      </c>
      <c r="R15" s="29">
        <f>Financials!W14-Financials!W16</f>
        <v>2405</v>
      </c>
      <c r="S15" s="29">
        <f>Financials!X14-Financials!X16</f>
        <v>17246</v>
      </c>
      <c r="T15" s="29">
        <f>Financials!Y14-Financials!Y16</f>
        <v>10706</v>
      </c>
      <c r="U15" s="29">
        <f>Financials!Z14-Financials!Z16</f>
        <v>9826</v>
      </c>
      <c r="V15" s="29">
        <f>Financials!AA14-Financials!AA16</f>
        <v>8332</v>
      </c>
      <c r="Y15" s="27" t="s">
        <v>70</v>
      </c>
      <c r="Z15" s="29">
        <f>Financials!AK14-Financials!AK16</f>
        <v>11969</v>
      </c>
      <c r="AA15" s="29">
        <f>Financials!AL14-Financials!AL16</f>
        <v>7395</v>
      </c>
      <c r="AB15" s="29">
        <f>Financials!AM14-Financials!AM16</f>
        <v>14208</v>
      </c>
      <c r="AC15" s="29">
        <f>Financials!AN14-Financials!AN16</f>
        <v>20868</v>
      </c>
      <c r="AD15" s="29">
        <f>Financials!AO14-Financials!AO16</f>
        <v>29539</v>
      </c>
    </row>
    <row r="16" spans="1:31" x14ac:dyDescent="0.3">
      <c r="A16" s="90" t="s">
        <v>52</v>
      </c>
      <c r="B16" s="97">
        <f ca="1">'Company Profile'!B9</f>
        <v>51917.623520000001</v>
      </c>
      <c r="C16" s="97">
        <f ca="1">'Company Profile'!C9</f>
        <v>63667.783725000001</v>
      </c>
      <c r="D16" s="97">
        <f ca="1">'Company Profile'!D9</f>
        <v>2822.4090000000001</v>
      </c>
      <c r="E16" s="97">
        <f ca="1">'Company Profile'!E9</f>
        <v>18407.083695000001</v>
      </c>
      <c r="F16" s="97">
        <f ca="1">'Company Profile'!F9</f>
        <v>25439.11</v>
      </c>
      <c r="G16" s="101">
        <f ca="1">'Company Profile'!G9</f>
        <v>1342766.1630599999</v>
      </c>
    </row>
    <row r="17" spans="1:31" x14ac:dyDescent="0.3">
      <c r="A17" s="38" t="s">
        <v>53</v>
      </c>
      <c r="B17" s="42">
        <f ca="1">B15+B16</f>
        <v>107424.62351999999</v>
      </c>
      <c r="C17" s="42">
        <f ca="1">C15+C16</f>
        <v>193399.78372499999</v>
      </c>
      <c r="D17" s="106">
        <f t="shared" ref="D17:G17" ca="1" si="2">D15+D16</f>
        <v>9782.7909999999993</v>
      </c>
      <c r="E17" s="106">
        <f t="shared" ca="1" si="2"/>
        <v>23765.083695000001</v>
      </c>
      <c r="F17" s="106">
        <f t="shared" ca="1" si="2"/>
        <v>62666.11</v>
      </c>
      <c r="G17" s="106">
        <f t="shared" ca="1" si="2"/>
        <v>1350979.1630599999</v>
      </c>
      <c r="I17" s="27" t="s">
        <v>11</v>
      </c>
      <c r="J17" s="28">
        <v>2025</v>
      </c>
      <c r="K17" s="28">
        <v>2026</v>
      </c>
      <c r="L17" s="28">
        <v>2027</v>
      </c>
      <c r="M17" s="28">
        <v>2028</v>
      </c>
      <c r="N17" s="28">
        <v>2029</v>
      </c>
      <c r="O17" s="28">
        <v>2030</v>
      </c>
      <c r="Q17" s="27" t="s">
        <v>11</v>
      </c>
      <c r="R17" s="28">
        <v>2025</v>
      </c>
      <c r="S17" s="28">
        <v>2026</v>
      </c>
      <c r="T17" s="28">
        <v>2027</v>
      </c>
      <c r="U17" s="28">
        <v>2028</v>
      </c>
      <c r="V17" s="28">
        <v>2029</v>
      </c>
      <c r="W17" s="28">
        <v>2030</v>
      </c>
      <c r="Y17" s="27" t="s">
        <v>11</v>
      </c>
      <c r="Z17" s="28">
        <v>2025</v>
      </c>
      <c r="AA17" s="28">
        <v>2026</v>
      </c>
      <c r="AB17" s="28">
        <v>2027</v>
      </c>
      <c r="AC17" s="28">
        <v>2028</v>
      </c>
      <c r="AD17" s="28">
        <v>2029</v>
      </c>
      <c r="AE17" s="28">
        <v>2030</v>
      </c>
    </row>
    <row r="18" spans="1:31" x14ac:dyDescent="0.3">
      <c r="A18" s="93" t="s">
        <v>54</v>
      </c>
      <c r="B18" s="94">
        <f ca="1">B15/B17</f>
        <v>0.51670648852370304</v>
      </c>
      <c r="C18" s="94">
        <f ca="1">C15/C17</f>
        <v>0.67079702728349067</v>
      </c>
      <c r="D18" s="105">
        <f t="shared" ref="D18:G18" ca="1" si="3">D15/D17</f>
        <v>0.71149245649835513</v>
      </c>
      <c r="E18" s="105">
        <f t="shared" ca="1" si="3"/>
        <v>0.2254568117143759</v>
      </c>
      <c r="F18" s="105">
        <f t="shared" ca="1" si="3"/>
        <v>0.59405314930191133</v>
      </c>
      <c r="G18" s="105">
        <f t="shared" ca="1" si="3"/>
        <v>6.0792943552122293E-3</v>
      </c>
      <c r="I18" s="27" t="s">
        <v>70</v>
      </c>
      <c r="J18" s="30">
        <f>DCF!J3*'Assumptions &amp; WACC'!$C$7</f>
        <v>11561.35365204347</v>
      </c>
      <c r="K18" s="30">
        <f>DCF!K3*'Assumptions &amp; WACC'!$C$7</f>
        <v>12588.25369176152</v>
      </c>
      <c r="L18" s="30">
        <f>DCF!L3*'Assumptions &amp; WACC'!$C$7</f>
        <v>13706.364823477137</v>
      </c>
      <c r="M18" s="30">
        <f>DCF!M3*'Assumptions &amp; WACC'!$C$7</f>
        <v>14923.788578967135</v>
      </c>
      <c r="N18" s="30">
        <f>DCF!N3*'Assumptions &amp; WACC'!$C$7</f>
        <v>16249.346082501888</v>
      </c>
      <c r="O18" s="30">
        <f>DCF!O3*'Assumptions &amp; WACC'!$C$7</f>
        <v>17692.641966333293</v>
      </c>
      <c r="Q18" s="27" t="s">
        <v>117</v>
      </c>
      <c r="R18" s="30">
        <f>DCF!Z3*'Assumptions &amp; WACC'!E7</f>
        <v>10159.963085608531</v>
      </c>
      <c r="S18" s="30">
        <f>DCF!AA3*'Assumptions &amp; WACC'!E7</f>
        <v>10756.537113066406</v>
      </c>
      <c r="T18" s="30">
        <f>DCF!AB3*'Assumptions &amp; WACC'!$E$7</f>
        <v>11388.140851482724</v>
      </c>
      <c r="U18" s="30">
        <f>DCF!AC3*'Assumptions &amp; WACC'!$E$7</f>
        <v>12056.831179959412</v>
      </c>
      <c r="V18" s="30">
        <f>DCF!AD3*'Assumptions &amp; WACC'!$E$7</f>
        <v>12764.785753691729</v>
      </c>
      <c r="W18" s="30">
        <f>DCF!AE3*'Assumptions &amp; WACC'!$E$7</f>
        <v>13514.310095714542</v>
      </c>
      <c r="Y18" s="27" t="s">
        <v>117</v>
      </c>
      <c r="Z18" s="30">
        <f>DCF!AP3*'Assumptions &amp; WACC'!$G$7</f>
        <v>28469.561655595815</v>
      </c>
      <c r="AA18" s="30">
        <f>DCF!AQ3*'Assumptions &amp; WACC'!$G$7</f>
        <v>35693.528373868263</v>
      </c>
      <c r="AB18" s="30">
        <f>DCF!AR3*'Assumptions &amp; WACC'!$G$7</f>
        <v>44750.52981807055</v>
      </c>
      <c r="AC18" s="30">
        <f>DCF!AS3*'Assumptions &amp; WACC'!$G$7</f>
        <v>56105.68666739489</v>
      </c>
      <c r="AD18" s="30">
        <f>DCF!AT3*'Assumptions &amp; WACC'!$G$7</f>
        <v>70342.140958267977</v>
      </c>
      <c r="AE18" s="30">
        <f>DCF!AU3*'Assumptions &amp; WACC'!$G$7</f>
        <v>88191.003238684498</v>
      </c>
    </row>
    <row r="19" spans="1:31" x14ac:dyDescent="0.3">
      <c r="A19" s="40" t="s">
        <v>55</v>
      </c>
      <c r="B19" s="41">
        <f ca="1">B16/B17</f>
        <v>0.48329351147629701</v>
      </c>
      <c r="C19" s="41">
        <f ca="1">C16/C17</f>
        <v>0.32920297271650945</v>
      </c>
      <c r="D19" s="104">
        <f t="shared" ref="D19:G19" ca="1" si="4">D16/D17</f>
        <v>0.28850754350164493</v>
      </c>
      <c r="E19" s="104">
        <f t="shared" ca="1" si="4"/>
        <v>0.77454318828562407</v>
      </c>
      <c r="F19" s="104">
        <f t="shared" ca="1" si="4"/>
        <v>0.40594685069808867</v>
      </c>
      <c r="G19" s="104">
        <f t="shared" ca="1" si="4"/>
        <v>0.99392070564478774</v>
      </c>
    </row>
    <row r="20" spans="1:31" x14ac:dyDescent="0.3">
      <c r="A20" s="93" t="s">
        <v>61</v>
      </c>
      <c r="B20" s="94">
        <f ca="1">(B11*B19)+(B14*B18)</f>
        <v>5.6841380169910083E-2</v>
      </c>
      <c r="C20" s="94">
        <f ca="1">(C11*C19)+(C14*C18)</f>
        <v>3.4573241275742732E-2</v>
      </c>
      <c r="D20" s="105">
        <f t="shared" ref="D20:G20" ca="1" si="5">(D11*D19)+(D14*D18)</f>
        <v>3.0054039274755421E-2</v>
      </c>
      <c r="E20" s="105">
        <f t="shared" ca="1" si="5"/>
        <v>9.7341706315954998E-2</v>
      </c>
      <c r="F20" s="105">
        <f t="shared" ca="1" si="5"/>
        <v>5.0005222229872762E-2</v>
      </c>
      <c r="G20" s="105">
        <f t="shared" ca="1" si="5"/>
        <v>0.11815631896157822</v>
      </c>
    </row>
    <row r="21" spans="1:31" x14ac:dyDescent="0.3">
      <c r="A21" s="38" t="s">
        <v>62</v>
      </c>
      <c r="B21" s="39">
        <v>0.02</v>
      </c>
      <c r="C21" s="39">
        <v>1.4999999999999999E-2</v>
      </c>
      <c r="D21" s="88">
        <v>3.0000000000000001E-3</v>
      </c>
      <c r="E21" s="88">
        <v>0.03</v>
      </c>
      <c r="F21" s="88">
        <v>5.0000000000000001E-3</v>
      </c>
      <c r="G21" s="89">
        <v>3.5000000000000003E-2</v>
      </c>
    </row>
    <row r="22" spans="1:31" x14ac:dyDescent="0.3">
      <c r="A22" s="95" t="s">
        <v>73</v>
      </c>
      <c r="B22" s="100">
        <v>3985</v>
      </c>
      <c r="C22" s="100">
        <v>1100</v>
      </c>
      <c r="D22" s="107">
        <f ca="1">'Company Profile'!D7</f>
        <v>118.14190000000001</v>
      </c>
      <c r="E22" s="107">
        <f ca="1">'Company Profile'!E7</f>
        <v>1225.913</v>
      </c>
      <c r="F22" s="107">
        <f ca="1">'Company Profile'!F7</f>
        <v>2896.0729999999999</v>
      </c>
      <c r="G22" s="107">
        <f ca="1">'Company Profile'!G7</f>
        <v>3325.819</v>
      </c>
    </row>
    <row r="23" spans="1:31" x14ac:dyDescent="0.3">
      <c r="C23" s="20"/>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8F112-5781-4853-88CD-E31AFC43785C}">
  <dimension ref="A1:AU22"/>
  <sheetViews>
    <sheetView tabSelected="1" topLeftCell="AN1" workbookViewId="0">
      <selection activeCell="D11" sqref="D11"/>
    </sheetView>
  </sheetViews>
  <sheetFormatPr defaultRowHeight="14.4" x14ac:dyDescent="0.3"/>
  <cols>
    <col min="1" max="1" width="22.77734375" style="1" bestFit="1" customWidth="1"/>
    <col min="2" max="2" width="12.33203125" style="16" bestFit="1" customWidth="1"/>
    <col min="3" max="7" width="10.88671875" style="1" bestFit="1" customWidth="1"/>
    <col min="8" max="8" width="8.88671875" style="1"/>
    <col min="9" max="9" width="22.77734375" style="1" bestFit="1" customWidth="1"/>
    <col min="10" max="10" width="12.33203125" style="16" bestFit="1" customWidth="1"/>
    <col min="11" max="15" width="10.88671875" style="16" bestFit="1" customWidth="1"/>
    <col min="16" max="16" width="8.88671875" style="16"/>
    <col min="17" max="17" width="22.77734375" style="16" bestFit="1" customWidth="1"/>
    <col min="18" max="18" width="12.33203125" style="16" bestFit="1" customWidth="1"/>
    <col min="19" max="23" width="10.88671875" style="16" bestFit="1" customWidth="1"/>
    <col min="24" max="24" width="8.88671875" style="16"/>
    <col min="25" max="25" width="22.77734375" style="16" bestFit="1" customWidth="1"/>
    <col min="26" max="26" width="12.33203125" style="16" bestFit="1" customWidth="1"/>
    <col min="27" max="31" width="10.88671875" style="16" bestFit="1" customWidth="1"/>
    <col min="32" max="32" width="8.88671875" style="16"/>
    <col min="33" max="33" width="22.77734375" style="16" bestFit="1" customWidth="1"/>
    <col min="34" max="34" width="12.33203125" style="16" bestFit="1" customWidth="1"/>
    <col min="35" max="39" width="10.88671875" style="16" bestFit="1" customWidth="1"/>
    <col min="40" max="40" width="8.88671875" style="16"/>
    <col min="41" max="41" width="22.77734375" style="16" bestFit="1" customWidth="1"/>
    <col min="42" max="42" width="12.33203125" style="16" bestFit="1" customWidth="1"/>
    <col min="43" max="47" width="10.88671875" style="16" bestFit="1" customWidth="1"/>
    <col min="48" max="16384" width="8.88671875" style="16"/>
  </cols>
  <sheetData>
    <row r="1" spans="1:47" x14ac:dyDescent="0.3">
      <c r="A1" s="1" t="s">
        <v>71</v>
      </c>
      <c r="B1" s="1"/>
      <c r="G1" s="19" t="s">
        <v>42</v>
      </c>
      <c r="O1" s="19" t="s">
        <v>47</v>
      </c>
      <c r="Q1" s="1" t="s">
        <v>71</v>
      </c>
      <c r="R1" s="1"/>
      <c r="S1" s="1"/>
      <c r="T1" s="1"/>
      <c r="U1" s="1"/>
      <c r="V1" s="1"/>
      <c r="W1" s="19" t="str">
        <f>'Assumptions &amp; WACC'!D2</f>
        <v>Harley</v>
      </c>
      <c r="X1" s="1"/>
      <c r="Y1" s="1"/>
      <c r="AE1" s="19" t="str">
        <f>'Assumptions &amp; WACC'!E2</f>
        <v>Rivian</v>
      </c>
      <c r="AG1" s="1" t="s">
        <v>71</v>
      </c>
      <c r="AH1" s="1"/>
      <c r="AI1" s="1"/>
      <c r="AJ1" s="1"/>
      <c r="AK1" s="1"/>
      <c r="AL1" s="1"/>
      <c r="AM1" s="19" t="str">
        <f>'Assumptions &amp; WACC'!F2</f>
        <v>Stellantis</v>
      </c>
      <c r="AN1" s="1"/>
      <c r="AO1" s="1"/>
      <c r="AU1" s="19" t="str">
        <f>'Assumptions &amp; WACC'!G2</f>
        <v>Tesla</v>
      </c>
    </row>
    <row r="2" spans="1:47" x14ac:dyDescent="0.3">
      <c r="A2" s="1" t="s">
        <v>11</v>
      </c>
      <c r="B2" s="25" t="s">
        <v>64</v>
      </c>
      <c r="C2" s="25" t="s">
        <v>65</v>
      </c>
      <c r="D2" s="25" t="s">
        <v>66</v>
      </c>
      <c r="E2" s="25" t="s">
        <v>67</v>
      </c>
      <c r="F2" s="25" t="s">
        <v>68</v>
      </c>
      <c r="G2" s="25" t="s">
        <v>69</v>
      </c>
      <c r="I2" s="1" t="s">
        <v>11</v>
      </c>
      <c r="J2" s="47" t="s">
        <v>64</v>
      </c>
      <c r="K2" s="47" t="s">
        <v>65</v>
      </c>
      <c r="L2" s="47" t="s">
        <v>66</v>
      </c>
      <c r="M2" s="47" t="s">
        <v>67</v>
      </c>
      <c r="N2" s="47" t="s">
        <v>68</v>
      </c>
      <c r="O2" s="47" t="s">
        <v>69</v>
      </c>
      <c r="Q2" s="1" t="s">
        <v>11</v>
      </c>
      <c r="R2" s="25" t="s">
        <v>64</v>
      </c>
      <c r="S2" s="25" t="s">
        <v>65</v>
      </c>
      <c r="T2" s="25" t="s">
        <v>66</v>
      </c>
      <c r="U2" s="25" t="s">
        <v>67</v>
      </c>
      <c r="V2" s="25" t="s">
        <v>68</v>
      </c>
      <c r="W2" s="25" t="s">
        <v>69</v>
      </c>
      <c r="X2" s="1"/>
      <c r="Y2" s="1" t="s">
        <v>11</v>
      </c>
      <c r="Z2" s="47" t="s">
        <v>64</v>
      </c>
      <c r="AA2" s="47" t="s">
        <v>65</v>
      </c>
      <c r="AB2" s="47" t="s">
        <v>66</v>
      </c>
      <c r="AC2" s="47" t="s">
        <v>67</v>
      </c>
      <c r="AD2" s="47" t="s">
        <v>68</v>
      </c>
      <c r="AE2" s="47" t="s">
        <v>69</v>
      </c>
      <c r="AG2" s="1" t="s">
        <v>11</v>
      </c>
      <c r="AH2" s="25" t="s">
        <v>64</v>
      </c>
      <c r="AI2" s="25" t="s">
        <v>65</v>
      </c>
      <c r="AJ2" s="25" t="s">
        <v>66</v>
      </c>
      <c r="AK2" s="25" t="s">
        <v>67</v>
      </c>
      <c r="AL2" s="25" t="s">
        <v>68</v>
      </c>
      <c r="AM2" s="25" t="s">
        <v>69</v>
      </c>
      <c r="AN2" s="1"/>
      <c r="AO2" s="1" t="s">
        <v>11</v>
      </c>
      <c r="AP2" s="47" t="s">
        <v>64</v>
      </c>
      <c r="AQ2" s="47" t="s">
        <v>65</v>
      </c>
      <c r="AR2" s="47" t="s">
        <v>66</v>
      </c>
      <c r="AS2" s="47" t="s">
        <v>67</v>
      </c>
      <c r="AT2" s="47" t="s">
        <v>68</v>
      </c>
      <c r="AU2" s="47" t="s">
        <v>69</v>
      </c>
    </row>
    <row r="3" spans="1:47" x14ac:dyDescent="0.3">
      <c r="A3" s="1" t="s">
        <v>72</v>
      </c>
      <c r="B3" s="44">
        <f>Table1[[#This Row],[2024]]*(1+'Assumptions &amp; WACC'!$B3)</f>
        <v>199399.63690757393</v>
      </c>
      <c r="C3" s="44">
        <f>B3*(1+'Assumptions &amp; WACC'!$B$3)</f>
        <v>214929.37639937035</v>
      </c>
      <c r="D3" s="44">
        <f>C3*(1+'Assumptions &amp; WACC'!$B$3)</f>
        <v>231668.61061454407</v>
      </c>
      <c r="E3" s="44">
        <f>D3*(1+'Assumptions &amp; WACC'!$B$3)</f>
        <v>249711.5380093313</v>
      </c>
      <c r="F3" s="44">
        <f>E3*(1+'Assumptions &amp; WACC'!$B$3)</f>
        <v>269159.69344994653</v>
      </c>
      <c r="G3" s="44">
        <f>F3*(1+'Assumptions &amp; WACC'!$B$3)</f>
        <v>290122.51959043223</v>
      </c>
      <c r="I3" s="6" t="s">
        <v>72</v>
      </c>
      <c r="J3" s="21">
        <f>Table4[[#This Row],[2024]]*(1+'Assumptions &amp; WACC'!C3)</f>
        <v>204090.93255910472</v>
      </c>
      <c r="K3" s="21">
        <f>Table10[[#This Row],[2025]]*(1+'Assumptions &amp; WACC'!$C$3)</f>
        <v>222218.65298516359</v>
      </c>
      <c r="L3" s="21">
        <f>Table10[[#This Row],[2026]]*(1+'Assumptions &amp; WACC'!$C$3)</f>
        <v>241956.50985248832</v>
      </c>
      <c r="M3" s="21">
        <f>Table10[[#This Row],[2027]]*(1+'Assumptions &amp; WACC'!$C$3)</f>
        <v>263447.51834989252</v>
      </c>
      <c r="N3" s="21">
        <f>Table10[[#This Row],[2028]]*(1+'Assumptions &amp; WACC'!$C$3)</f>
        <v>286847.39653018757</v>
      </c>
      <c r="O3" s="21">
        <f>Table10[[#This Row],[2029]]*(1+'Assumptions &amp; WACC'!$C$3)</f>
        <v>312325.69360120612</v>
      </c>
      <c r="Q3" s="1" t="s">
        <v>72</v>
      </c>
      <c r="R3" s="44">
        <f>Table18[[#This Row],[2024]]*(1+'Assumptions &amp; WACC'!D3)</f>
        <v>5448.7235982424381</v>
      </c>
      <c r="S3" s="44">
        <f>Table938[[#This Row],[2025]]*(1+'Assumptions &amp; WACC'!$D$3)</f>
        <v>5723.8716361341767</v>
      </c>
      <c r="T3" s="44">
        <f>Table938[[#This Row],[2026]]*(1+'Assumptions &amp; WACC'!$D$3)</f>
        <v>6012.9140185252572</v>
      </c>
      <c r="U3" s="44">
        <f>Table938[[#This Row],[2027]]*(1+'Assumptions &amp; WACC'!$D$3)</f>
        <v>6316.5523779279292</v>
      </c>
      <c r="V3" s="44">
        <f>Table938[[#This Row],[2028]]*(1+'Assumptions &amp; WACC'!$D$3)</f>
        <v>6635.5237776861914</v>
      </c>
      <c r="W3" s="44">
        <f>Table938[[#This Row],[2029]]*(1+'Assumptions &amp; WACC'!$D$3)</f>
        <v>6970.6025011514921</v>
      </c>
      <c r="X3" s="1"/>
      <c r="Y3" s="6" t="s">
        <v>72</v>
      </c>
      <c r="Z3" s="21">
        <f>Table417[[#This Row],[2024]]*(1+'Assumptions &amp; WACC'!E3)</f>
        <v>5261.8291032637198</v>
      </c>
      <c r="AA3" s="21">
        <f>Table1039[[#This Row],[2025]]*(1+'Assumptions &amp; WACC'!$E$3)</f>
        <v>5570.7938655841217</v>
      </c>
      <c r="AB3" s="21">
        <f>Table1039[[#This Row],[2026]]*(1+'Assumptions &amp; WACC'!$E$3)</f>
        <v>5897.900460807552</v>
      </c>
      <c r="AC3" s="21">
        <f>Table1039[[#This Row],[2027]]*(1+'Assumptions &amp; WACC'!$E$3)</f>
        <v>6244.2141434264959</v>
      </c>
      <c r="AD3" s="21">
        <f>Table1039[[#This Row],[2028]]*(1+'Assumptions &amp; WACC'!$E$3)</f>
        <v>6610.862717684603</v>
      </c>
      <c r="AE3" s="21">
        <f>Table1039[[#This Row],[2029]]*(1+'Assumptions &amp; WACC'!$E$3)</f>
        <v>6999.0402103810738</v>
      </c>
      <c r="AG3" s="1" t="s">
        <v>72</v>
      </c>
      <c r="AH3" s="44">
        <f>Table1826[[#This Row],[2024]]*(1+'Assumptions &amp; WACC'!F3)</f>
        <v>158800.21957342658</v>
      </c>
      <c r="AI3" s="44">
        <f>Table942[[#This Row],[2025]]*(1+'Assumptions &amp; WACC'!$F$3)</f>
        <v>160745.99202289994</v>
      </c>
      <c r="AJ3" s="44">
        <f>Table942[[#This Row],[2026]]*(1+'Assumptions &amp; WACC'!$F$3)</f>
        <v>162715.60594082528</v>
      </c>
      <c r="AK3" s="44">
        <f>Table942[[#This Row],[2027]]*(1+'Assumptions &amp; WACC'!$F$3)</f>
        <v>164709.35345571852</v>
      </c>
      <c r="AL3" s="44">
        <f>Table942[[#This Row],[2028]]*(1+'Assumptions &amp; WACC'!$F$3)</f>
        <v>166727.53027553402</v>
      </c>
      <c r="AM3" s="44">
        <f>Table942[[#This Row],[2029]]*(1+'Assumptions &amp; WACC'!$F$3)</f>
        <v>168770.43573152341</v>
      </c>
      <c r="AN3" s="1"/>
      <c r="AO3" s="6" t="s">
        <v>72</v>
      </c>
      <c r="AP3" s="21">
        <f>Table41729[[#This Row],[2024]]*(1+'Assumptions &amp; WACC'!G3)</f>
        <v>122478.20423177555</v>
      </c>
      <c r="AQ3" s="21">
        <f>Table1043[[#This Row],[2025]]*(1+'Assumptions &amp; WACC'!$G$3)</f>
        <v>153556.25459965732</v>
      </c>
      <c r="AR3" s="21">
        <f>Table1043[[#This Row],[2026]]*(1+'Assumptions &amp; WACC'!$G$3)</f>
        <v>192520.15878721827</v>
      </c>
      <c r="AS3" s="21">
        <f>Table1043[[#This Row],[2027]]*(1+'Assumptions &amp; WACC'!$G$3)</f>
        <v>241370.90108173588</v>
      </c>
      <c r="AT3" s="21">
        <f>Table1043[[#This Row],[2028]]*(1+'Assumptions &amp; WACC'!$G$3)</f>
        <v>302617.20256215113</v>
      </c>
      <c r="AU3" s="21">
        <f>Table1043[[#This Row],[2029]]*(1+'Assumptions &amp; WACC'!$G$3)</f>
        <v>379404.35601858672</v>
      </c>
    </row>
    <row r="4" spans="1:47" x14ac:dyDescent="0.3">
      <c r="A4" s="1" t="s">
        <v>74</v>
      </c>
      <c r="B4" s="44">
        <f>B3*'Assumptions &amp; WACC'!$B$4</f>
        <v>6532.0785718729767</v>
      </c>
      <c r="C4" s="44">
        <f>C3*'Assumptions &amp; WACC'!$B$4</f>
        <v>7040.813091826758</v>
      </c>
      <c r="D4" s="44">
        <f>D3*'Assumptions &amp; WACC'!$B$4</f>
        <v>7589.1691210665795</v>
      </c>
      <c r="E4" s="44">
        <f>E3*'Assumptions &amp; WACC'!$B$4</f>
        <v>8180.2324812470151</v>
      </c>
      <c r="F4" s="44">
        <f>F3*'Assumptions &amp; WACC'!$B$4</f>
        <v>8817.3293254854125</v>
      </c>
      <c r="G4" s="44">
        <f>G3*'Assumptions &amp; WACC'!$B$4</f>
        <v>9504.0448559737433</v>
      </c>
      <c r="I4" s="6" t="s">
        <v>74</v>
      </c>
      <c r="J4" s="21">
        <f>J3*'Assumptions &amp; WACC'!$C$4</f>
        <v>12891.586963118541</v>
      </c>
      <c r="K4" s="21">
        <f>K3*'Assumptions &amp; WACC'!$C$4</f>
        <v>14036.640696693697</v>
      </c>
      <c r="L4" s="21">
        <f>L3*'Assumptions &amp; WACC'!$C$4</f>
        <v>15283.400143966124</v>
      </c>
      <c r="M4" s="21">
        <f>M3*'Assumptions &amp; WACC'!$C$4</f>
        <v>16640.898987718876</v>
      </c>
      <c r="N4" s="21">
        <f>N3*'Assumptions &amp; WACC'!$C$4</f>
        <v>18118.973298542522</v>
      </c>
      <c r="O4" s="21">
        <f>O3*'Assumptions &amp; WACC'!$C$4</f>
        <v>19728.33280435047</v>
      </c>
      <c r="Q4" s="1" t="s">
        <v>74</v>
      </c>
      <c r="R4" s="44">
        <f>R3*'Assumptions &amp; WACC'!$D$4</f>
        <v>611.74958266846045</v>
      </c>
      <c r="S4" s="44">
        <f>S3*'Assumptions &amp; WACC'!$D$4</f>
        <v>642.6415327403289</v>
      </c>
      <c r="T4" s="44">
        <f>T3*'Assumptions &amp; WACC'!$D$4</f>
        <v>675.09345539947753</v>
      </c>
      <c r="U4" s="44">
        <f>U3*'Assumptions &amp; WACC'!$D$4</f>
        <v>709.18412568171334</v>
      </c>
      <c r="V4" s="44">
        <f>V3*'Assumptions &amp; WACC'!$D$4</f>
        <v>744.99629658137758</v>
      </c>
      <c r="W4" s="44">
        <f>W3*'Assumptions &amp; WACC'!$D$4</f>
        <v>782.61689992912284</v>
      </c>
      <c r="X4" s="1"/>
      <c r="Y4" s="6" t="s">
        <v>74</v>
      </c>
      <c r="Z4" s="21">
        <f>Financials!AA7*(1+'Assumptions &amp; WACC'!E4)</f>
        <v>-4131.2680471031044</v>
      </c>
      <c r="AA4" s="21">
        <f>Z4*(1+'Assumptions &amp; WACC'!$E$4)</f>
        <v>-3639.8753843069094</v>
      </c>
      <c r="AB4" s="21">
        <f>AA4*(1+'Assumptions &amp; WACC'!$E$4)</f>
        <v>-3206.9313010501746</v>
      </c>
      <c r="AC4" s="21">
        <f>AB4*(1+'Assumptions &amp; WACC'!$E$4)</f>
        <v>-2825.4836454005913</v>
      </c>
      <c r="AD4" s="21">
        <f>AC4*(1+'Assumptions &amp; WACC'!$E$4)</f>
        <v>-2489.4071874292731</v>
      </c>
      <c r="AE4" s="21">
        <f>AD4*(1+'Assumptions &amp; WACC'!$E$4)</f>
        <v>-2193.305261176235</v>
      </c>
      <c r="AG4" s="1" t="s">
        <v>74</v>
      </c>
      <c r="AH4" s="44">
        <f>AH3*'Assumptions &amp; WACC'!$F$4</f>
        <v>12990.583878534049</v>
      </c>
      <c r="AI4" s="44">
        <f>AI3*'Assumptions &amp; WACC'!$F$4</f>
        <v>13149.756959536855</v>
      </c>
      <c r="AJ4" s="44">
        <f>AJ3*'Assumptions &amp; WACC'!$F$4</f>
        <v>13310.880381644634</v>
      </c>
      <c r="AK4" s="44">
        <f>AK3*'Assumptions &amp; WACC'!$F$4</f>
        <v>13473.978042305385</v>
      </c>
      <c r="AL4" s="44">
        <f>AL3*'Assumptions &amp; WACC'!$F$4</f>
        <v>13639.074131781534</v>
      </c>
      <c r="AM4" s="44">
        <f>AM3*'Assumptions &amp; WACC'!$F$4</f>
        <v>13806.193136737782</v>
      </c>
      <c r="AN4" s="1"/>
      <c r="AO4" s="6" t="s">
        <v>74</v>
      </c>
      <c r="AP4" s="21">
        <f>AP3*'Assumptions &amp; WACC'!$G$4</f>
        <v>13149.123290596674</v>
      </c>
      <c r="AQ4" s="21">
        <f>AQ3*'Assumptions &amp; WACC'!$G$4</f>
        <v>16485.628087363046</v>
      </c>
      <c r="AR4" s="21">
        <f>AR3*'Assumptions &amp; WACC'!$G$4</f>
        <v>20668.74934766247</v>
      </c>
      <c r="AS4" s="21">
        <f>AS3*'Assumptions &amp; WACC'!$G$4</f>
        <v>25913.310510987631</v>
      </c>
      <c r="AT4" s="21">
        <f>AT3*'Assumptions &amp; WACC'!$G$4</f>
        <v>32488.645072025382</v>
      </c>
      <c r="AU4" s="21">
        <f>AU3*'Assumptions &amp; WACC'!$G$4</f>
        <v>40732.428153804816</v>
      </c>
    </row>
    <row r="5" spans="1:47" s="19" customFormat="1" x14ac:dyDescent="0.3">
      <c r="A5" s="17" t="s">
        <v>75</v>
      </c>
      <c r="B5" s="48">
        <f>B4*(1-'Assumptions &amp; WACC'!$B$13)</f>
        <v>5029.7005003421918</v>
      </c>
      <c r="C5" s="48">
        <f>C4*(1-'Assumptions &amp; WACC'!$B$13)</f>
        <v>5421.4260807066039</v>
      </c>
      <c r="D5" s="48">
        <f>D4*(1-'Assumptions &amp; WACC'!$B$13)</f>
        <v>5843.6602232212663</v>
      </c>
      <c r="E5" s="48">
        <f>E4*(1-'Assumptions &amp; WACC'!$B$13)</f>
        <v>6298.7790105602016</v>
      </c>
      <c r="F5" s="48">
        <f>F4*(1-'Assumptions &amp; WACC'!$B$13)</f>
        <v>6789.3435806237676</v>
      </c>
      <c r="G5" s="48">
        <f>G4*(1-'Assumptions &amp; WACC'!$B$13)</f>
        <v>7318.1145390997826</v>
      </c>
      <c r="H5" s="17"/>
      <c r="I5" s="32" t="s">
        <v>75</v>
      </c>
      <c r="J5" s="43">
        <f>J4*(1-'Assumptions &amp; WACC'!$C$13)</f>
        <v>9926.5219616012764</v>
      </c>
      <c r="K5" s="43">
        <f>K4*(1-'Assumptions &amp; WACC'!$C$13)</f>
        <v>10808.213336454148</v>
      </c>
      <c r="L5" s="43">
        <f>L4*(1-'Assumptions &amp; WACC'!$C$13)</f>
        <v>11768.218110853915</v>
      </c>
      <c r="M5" s="43">
        <f>M4*(1-'Assumptions &amp; WACC'!$C$13)</f>
        <v>12813.492220543534</v>
      </c>
      <c r="N5" s="43">
        <f>N4*(1-'Assumptions &amp; WACC'!$C$13)</f>
        <v>13951.609439877742</v>
      </c>
      <c r="O5" s="43">
        <f>O4*(1-'Assumptions &amp; WACC'!$C$13)</f>
        <v>15190.816259349862</v>
      </c>
      <c r="Q5" s="17" t="s">
        <v>75</v>
      </c>
      <c r="R5" s="48">
        <f>R4*(1-'Assumptions &amp; WACC'!$B$13)</f>
        <v>471.04717865471457</v>
      </c>
      <c r="S5" s="48">
        <f>S4*(1-'Assumptions &amp; WACC'!$B$13)</f>
        <v>494.83398021005326</v>
      </c>
      <c r="T5" s="48">
        <f>T4*(1-'Assumptions &amp; WACC'!$B$13)</f>
        <v>519.82196065759774</v>
      </c>
      <c r="U5" s="48">
        <f>U4*(1-'Assumptions &amp; WACC'!$B$13)</f>
        <v>546.07177677491927</v>
      </c>
      <c r="V5" s="48">
        <f>V4*(1-'Assumptions &amp; WACC'!$B$13)</f>
        <v>573.64714836766075</v>
      </c>
      <c r="W5" s="48">
        <f>W4*(1-'Assumptions &amp; WACC'!$B$13)</f>
        <v>602.61501294542461</v>
      </c>
      <c r="X5" s="17"/>
      <c r="Y5" s="32" t="s">
        <v>75</v>
      </c>
      <c r="Z5" s="43">
        <f>Z4</f>
        <v>-4131.2680471031044</v>
      </c>
      <c r="AA5" s="43">
        <f t="shared" ref="AA5:AE5" si="0">AA4</f>
        <v>-3639.8753843069094</v>
      </c>
      <c r="AB5" s="43">
        <f t="shared" si="0"/>
        <v>-3206.9313010501746</v>
      </c>
      <c r="AC5" s="43">
        <f t="shared" si="0"/>
        <v>-2825.4836454005913</v>
      </c>
      <c r="AD5" s="43">
        <f t="shared" si="0"/>
        <v>-2489.4071874292731</v>
      </c>
      <c r="AE5" s="43">
        <f t="shared" si="0"/>
        <v>-2193.305261176235</v>
      </c>
      <c r="AG5" s="17" t="s">
        <v>75</v>
      </c>
      <c r="AH5" s="48">
        <f>AH4*(1-'Assumptions &amp; WACC'!$B$13)</f>
        <v>10002.749586471218</v>
      </c>
      <c r="AI5" s="48">
        <f>AI4*(1-'Assumptions &amp; WACC'!$B$13)</f>
        <v>10125.312858843379</v>
      </c>
      <c r="AJ5" s="48">
        <f>AJ4*(1-'Assumptions &amp; WACC'!$B$13)</f>
        <v>10249.377893866369</v>
      </c>
      <c r="AK5" s="48">
        <f>AK4*(1-'Assumptions &amp; WACC'!$B$13)</f>
        <v>10374.963092575146</v>
      </c>
      <c r="AL5" s="48">
        <f>AL4*(1-'Assumptions &amp; WACC'!$B$13)</f>
        <v>10502.087081471782</v>
      </c>
      <c r="AM5" s="48">
        <f>AM4*(1-'Assumptions &amp; WACC'!$B$13)</f>
        <v>10630.768715288092</v>
      </c>
      <c r="AN5" s="17"/>
      <c r="AO5" s="32" t="s">
        <v>75</v>
      </c>
      <c r="AP5" s="43">
        <f>AP4*(1-'Assumptions &amp; WACC'!$C$13)</f>
        <v>10124.824933759439</v>
      </c>
      <c r="AQ5" s="43">
        <f>AQ4*(1-'Assumptions &amp; WACC'!$C$13)</f>
        <v>12693.933627269545</v>
      </c>
      <c r="AR5" s="43">
        <f>AR4*(1-'Assumptions &amp; WACC'!$C$13)</f>
        <v>15914.936997700102</v>
      </c>
      <c r="AS5" s="43">
        <f>AS4*(1-'Assumptions &amp; WACC'!$C$13)</f>
        <v>19953.249093460476</v>
      </c>
      <c r="AT5" s="43">
        <f>AT4*(1-'Assumptions &amp; WACC'!$C$13)</f>
        <v>25016.256705459546</v>
      </c>
      <c r="AU5" s="43">
        <f>AU4*(1-'Assumptions &amp; WACC'!$C$13)</f>
        <v>31363.969678429708</v>
      </c>
    </row>
    <row r="6" spans="1:47" x14ac:dyDescent="0.3">
      <c r="A6" s="1" t="s">
        <v>76</v>
      </c>
      <c r="B6" s="44">
        <f>B3*'Assumptions &amp; WACC'!$B$5</f>
        <v>9927.1200626201316</v>
      </c>
      <c r="C6" s="44">
        <f>C3*'Assumptions &amp; WACC'!$B$5</f>
        <v>10700.268855001008</v>
      </c>
      <c r="D6" s="44">
        <f>D3*'Assumptions &amp; WACC'!$B$5</f>
        <v>11533.632397620562</v>
      </c>
      <c r="E6" s="44">
        <f>E3*'Assumptions &amp; WACC'!$B$5</f>
        <v>12431.900364939951</v>
      </c>
      <c r="F6" s="44">
        <f>F3*'Assumptions &amp; WACC'!$B$5</f>
        <v>13400.12767492736</v>
      </c>
      <c r="G6" s="44">
        <f>G3*'Assumptions &amp; WACC'!$B$5</f>
        <v>14443.762935130428</v>
      </c>
      <c r="I6" s="6" t="s">
        <v>76</v>
      </c>
      <c r="J6" s="21">
        <f>J3*'Assumptions &amp; WACC'!$C$5</f>
        <v>8689.3039314629514</v>
      </c>
      <c r="K6" s="21">
        <f>K3*'Assumptions &amp; WACC'!$C$5</f>
        <v>9461.1033955131115</v>
      </c>
      <c r="L6" s="21">
        <f>L3*'Assumptions &amp; WACC'!$C$5</f>
        <v>10301.455463708149</v>
      </c>
      <c r="M6" s="21">
        <f>M3*'Assumptions &amp; WACC'!$C$5</f>
        <v>11216.4491005446</v>
      </c>
      <c r="N6" s="21">
        <f>N3*'Assumptions &amp; WACC'!$C$5</f>
        <v>12212.714103199278</v>
      </c>
      <c r="O6" s="21">
        <f>O3*'Assumptions &amp; WACC'!$C$5</f>
        <v>13297.469139251985</v>
      </c>
      <c r="Q6" s="1" t="s">
        <v>76</v>
      </c>
      <c r="R6" s="44">
        <f>R3*'Assumptions &amp; WACC'!$B$5</f>
        <v>271.26495407238986</v>
      </c>
      <c r="S6" s="44">
        <f>S3*'Assumptions &amp; WACC'!$B$5</f>
        <v>284.96321174981841</v>
      </c>
      <c r="T6" s="44">
        <f>T3*'Assumptions &amp; WACC'!$B$5</f>
        <v>299.35320000497268</v>
      </c>
      <c r="U6" s="44">
        <f>U3*'Assumptions &amp; WACC'!$B$5</f>
        <v>314.46984964463326</v>
      </c>
      <c r="V6" s="44">
        <f>V3*'Assumptions &amp; WACC'!$B$5</f>
        <v>330.34985540116327</v>
      </c>
      <c r="W6" s="44">
        <f>W3*'Assumptions &amp; WACC'!$B$5</f>
        <v>347.0317650067027</v>
      </c>
      <c r="X6" s="1"/>
      <c r="Y6" s="6" t="s">
        <v>76</v>
      </c>
      <c r="Z6" s="21">
        <f>Z3*'Assumptions &amp; WACC'!$E$5</f>
        <v>1333.3248703691554</v>
      </c>
      <c r="AA6" s="21">
        <f>AA3*'Assumptions &amp; WACC'!$E$5</f>
        <v>1411.6152126788227</v>
      </c>
      <c r="AB6" s="21">
        <f>AB3*'Assumptions &amp; WACC'!$E$5</f>
        <v>1494.5026174412949</v>
      </c>
      <c r="AC6" s="21">
        <f>AC3*'Assumptions &amp; WACC'!$E$5</f>
        <v>1582.2570155646704</v>
      </c>
      <c r="AD6" s="21">
        <f>AD3*'Assumptions &amp; WACC'!$E$5</f>
        <v>1675.164187795046</v>
      </c>
      <c r="AE6" s="21">
        <f>AE3*'Assumptions &amp; WACC'!$E$5</f>
        <v>1773.5266953893574</v>
      </c>
      <c r="AG6" s="1" t="s">
        <v>76</v>
      </c>
      <c r="AH6" s="44">
        <f>AH3*'Assumptions &amp; WACC'!$B$5</f>
        <v>7905.8762098275738</v>
      </c>
      <c r="AI6" s="44">
        <f>AI3*'Assumptions &amp; WACC'!$B$5</f>
        <v>8002.7465804061012</v>
      </c>
      <c r="AJ6" s="44">
        <f>AJ3*'Assumptions &amp; WACC'!$B$5</f>
        <v>8100.8038995842471</v>
      </c>
      <c r="AK6" s="44">
        <f>AK3*'Assumptions &amp; WACC'!$B$5</f>
        <v>8200.0627109935667</v>
      </c>
      <c r="AL6" s="44">
        <f>AL3*'Assumptions &amp; WACC'!$B$5</f>
        <v>8300.5377364681208</v>
      </c>
      <c r="AM6" s="44">
        <f>AM3*'Assumptions &amp; WACC'!$B$5</f>
        <v>8402.2438782279914</v>
      </c>
      <c r="AN6" s="1"/>
      <c r="AO6" s="6" t="s">
        <v>76</v>
      </c>
      <c r="AP6" s="21">
        <f>AP3*'Assumptions &amp; WACC'!$C$5</f>
        <v>5214.5890471713274</v>
      </c>
      <c r="AQ6" s="21">
        <f>AQ3*'Assumptions &amp; WACC'!$C$5</f>
        <v>6537.7572147019109</v>
      </c>
      <c r="AR6" s="21">
        <f>AR3*'Assumptions &amp; WACC'!$C$5</f>
        <v>8196.6707274032633</v>
      </c>
      <c r="AS6" s="21">
        <f>AS3*'Assumptions &amp; WACC'!$C$5</f>
        <v>10276.522790168012</v>
      </c>
      <c r="AT6" s="21">
        <f>AT3*'Assumptions &amp; WACC'!$C$5</f>
        <v>12884.123831371622</v>
      </c>
      <c r="AU6" s="21">
        <f>AU3*'Assumptions &amp; WACC'!$C$5</f>
        <v>16153.3867331991</v>
      </c>
    </row>
    <row r="7" spans="1:47" x14ac:dyDescent="0.3">
      <c r="A7" s="1" t="s">
        <v>33</v>
      </c>
      <c r="B7" s="44">
        <f>B3*'Assumptions &amp; WACC'!$B$6</f>
        <v>9108.6064935070517</v>
      </c>
      <c r="C7" s="44">
        <f>C3*'Assumptions &amp; WACC'!$B$6</f>
        <v>9818.0074140464239</v>
      </c>
      <c r="D7" s="44">
        <f>D3*'Assumptions &amp; WACC'!$B$6</f>
        <v>10582.658242068444</v>
      </c>
      <c r="E7" s="44">
        <f>E3*'Assumptions &amp; WACC'!$B$6</f>
        <v>11406.861977736295</v>
      </c>
      <c r="F7" s="44">
        <f>F3*'Assumptions &amp; WACC'!$B$6</f>
        <v>12295.256749564456</v>
      </c>
      <c r="G7" s="44">
        <f>G3*'Assumptions &amp; WACC'!$B$6</f>
        <v>13252.841915047948</v>
      </c>
      <c r="I7" s="6" t="s">
        <v>33</v>
      </c>
      <c r="J7" s="21">
        <f>J3*'Assumptions &amp; WACC'!$C$6</f>
        <v>11689.982495178449</v>
      </c>
      <c r="K7" s="21">
        <f>K3*'Assumptions &amp; WACC'!$C$6</f>
        <v>12728.307578027227</v>
      </c>
      <c r="L7" s="21">
        <f>L3*'Assumptions &amp; WACC'!$C$6</f>
        <v>13858.85854556981</v>
      </c>
      <c r="M7" s="21">
        <f>M3*'Assumptions &amp; WACC'!$C$6</f>
        <v>15089.827065279182</v>
      </c>
      <c r="N7" s="21">
        <f>N3*'Assumptions &amp; WACC'!$C$6</f>
        <v>16430.132403135085</v>
      </c>
      <c r="O7" s="21">
        <f>O3*'Assumptions &amp; WACC'!$C$6</f>
        <v>17889.486050220356</v>
      </c>
      <c r="Q7" s="1" t="s">
        <v>33</v>
      </c>
      <c r="R7" s="44">
        <f>R3*'Assumptions &amp; WACC'!$B$6</f>
        <v>248.89854323697134</v>
      </c>
      <c r="S7" s="44">
        <f>S3*'Assumptions &amp; WACC'!$B$6</f>
        <v>261.46734849401452</v>
      </c>
      <c r="T7" s="44">
        <f>T3*'Assumptions &amp; WACC'!$B$6</f>
        <v>274.67084957343968</v>
      </c>
      <c r="U7" s="44">
        <f>U3*'Assumptions &amp; WACC'!$B$6</f>
        <v>288.54109715776696</v>
      </c>
      <c r="V7" s="44">
        <f>V3*'Assumptions &amp; WACC'!$B$6</f>
        <v>303.11176041543297</v>
      </c>
      <c r="W7" s="44">
        <f>W3*'Assumptions &amp; WACC'!$B$6</f>
        <v>318.41820873061624</v>
      </c>
      <c r="X7" s="1"/>
      <c r="Y7" s="6" t="s">
        <v>33</v>
      </c>
      <c r="Z7" s="21">
        <f>Z3*'Assumptions &amp; WACC'!$E$6</f>
        <v>2522.7623567865098</v>
      </c>
      <c r="AA7" s="21">
        <f>AA3*'Assumptions &amp; WACC'!$E$6</f>
        <v>2670.8942433717161</v>
      </c>
      <c r="AB7" s="21">
        <f>AB3*'Assumptions &amp; WACC'!$E$6</f>
        <v>2827.7241572460425</v>
      </c>
      <c r="AC7" s="21">
        <f>AC3*'Assumptions &amp; WACC'!$E$6</f>
        <v>2993.7628303016304</v>
      </c>
      <c r="AD7" s="21">
        <f>AD3*'Assumptions &amp; WACC'!$E$6</f>
        <v>3169.5509836519686</v>
      </c>
      <c r="AE7" s="21">
        <f>AE3*'Assumptions &amp; WACC'!$E$6</f>
        <v>3355.6610885428736</v>
      </c>
      <c r="AG7" s="1" t="s">
        <v>33</v>
      </c>
      <c r="AH7" s="44">
        <f>AH3*'Assumptions &amp; WACC'!$B$6</f>
        <v>7254.018781625562</v>
      </c>
      <c r="AI7" s="44">
        <f>AI3*'Assumptions &amp; WACC'!$B$6</f>
        <v>7342.9019703967388</v>
      </c>
      <c r="AJ7" s="44">
        <f>AJ3*'Assumptions &amp; WACC'!$B$6</f>
        <v>7432.8742411628709</v>
      </c>
      <c r="AK7" s="44">
        <f>AK3*'Assumptions &amp; WACC'!$B$6</f>
        <v>7523.9489384000972</v>
      </c>
      <c r="AL7" s="44">
        <f>AL3*'Assumptions &amp; WACC'!$B$6</f>
        <v>7616.1395700938638</v>
      </c>
      <c r="AM7" s="44">
        <f>AM3*'Assumptions &amp; WACC'!$B$6</f>
        <v>7709.4598097423996</v>
      </c>
      <c r="AN7" s="1"/>
      <c r="AO7" s="6" t="s">
        <v>33</v>
      </c>
      <c r="AP7" s="21">
        <f>AP3*'Assumptions &amp; WACC'!$C$6</f>
        <v>7015.3438252123588</v>
      </c>
      <c r="AQ7" s="21">
        <f>AQ3*'Assumptions &amp; WACC'!$C$6</f>
        <v>8795.4418444107359</v>
      </c>
      <c r="AR7" s="21">
        <f>AR3*'Assumptions &amp; WACC'!$C$6</f>
        <v>11027.2281966265</v>
      </c>
      <c r="AS7" s="21">
        <f>AS3*'Assumptions &amp; WACC'!$C$6</f>
        <v>13825.315868326486</v>
      </c>
      <c r="AT7" s="21">
        <f>AT3*'Assumptions &amp; WACC'!$C$6</f>
        <v>17333.400148323257</v>
      </c>
      <c r="AU7" s="21">
        <f>AU3*'Assumptions &amp; WACC'!$C$6</f>
        <v>21731.638073471433</v>
      </c>
    </row>
    <row r="8" spans="1:47" x14ac:dyDescent="0.3">
      <c r="A8" s="52" t="s">
        <v>77</v>
      </c>
      <c r="B8" s="44">
        <f>'Assumptions &amp; WACC'!J11-'Assumptions &amp; WACC'!N8</f>
        <v>6585.2847841475559</v>
      </c>
      <c r="C8" s="44">
        <f>'Assumptions &amp; WACC'!K11-'Assumptions &amp; WACC'!J11</f>
        <v>1884.7783484144384</v>
      </c>
      <c r="D8" s="44">
        <f>'Assumptions &amp; WACC'!L11-'Assumptions &amp; WACC'!K11</f>
        <v>2031.5695723333774</v>
      </c>
      <c r="E8" s="44">
        <f>'Assumptions &amp; WACC'!M11-'Assumptions &amp; WACC'!L11</f>
        <v>2189.7932617397018</v>
      </c>
      <c r="F8" s="44">
        <f>'Assumptions &amp; WACC'!N11-'Assumptions &amp; WACC'!M11</f>
        <v>2360.3398054702302</v>
      </c>
      <c r="G8" s="44">
        <f>'Assumptions &amp; WACC'!O11-'Assumptions &amp; WACC'!N11</f>
        <v>2544.1689380581665</v>
      </c>
      <c r="I8" s="6" t="s">
        <v>77</v>
      </c>
      <c r="J8" s="21">
        <f>'Assumptions &amp; WACC'!J18-'Assumptions &amp; WACC'!N15</f>
        <v>-718.64634795653001</v>
      </c>
      <c r="K8" s="21">
        <f>'Assumptions &amp; WACC'!K18-'Assumptions &amp; WACC'!J18</f>
        <v>1026.9000397180498</v>
      </c>
      <c r="L8" s="21">
        <f>'Assumptions &amp; WACC'!L18-'Assumptions &amp; WACC'!K18</f>
        <v>1118.1111317156174</v>
      </c>
      <c r="M8" s="21">
        <f>'Assumptions &amp; WACC'!M18-'Assumptions &amp; WACC'!L18</f>
        <v>1217.4237554899973</v>
      </c>
      <c r="N8" s="21">
        <f>'Assumptions &amp; WACC'!N18-'Assumptions &amp; WACC'!M18</f>
        <v>1325.5575035347538</v>
      </c>
      <c r="O8" s="21">
        <f>'Assumptions &amp; WACC'!O18-'Assumptions &amp; WACC'!N18</f>
        <v>1443.2958838314044</v>
      </c>
      <c r="Q8" s="52" t="s">
        <v>77</v>
      </c>
      <c r="R8" s="18">
        <f>'Assumptions &amp; WACC'!R11-'Assumptions &amp; WACC'!V8</f>
        <v>123.70512031829503</v>
      </c>
      <c r="S8" s="18">
        <f>'Assumptions &amp; WACC'!S11-'Assumptions &amp; WACC'!R11</f>
        <v>78.920243626796719</v>
      </c>
      <c r="T8" s="18">
        <f>'Assumptions &amp; WACC'!T11-'Assumptions &amp; WACC'!S11</f>
        <v>82.905534822491973</v>
      </c>
      <c r="U8" s="18">
        <f>'Assumptions &amp; WACC'!U11-'Assumptions &amp; WACC'!T11</f>
        <v>87.092074078058658</v>
      </c>
      <c r="V8" s="18">
        <f>'Assumptions &amp; WACC'!V11-'Assumptions &amp; WACC'!U11</f>
        <v>91.490023958692746</v>
      </c>
      <c r="W8" s="18">
        <f>'Assumptions &amp; WACC'!W11-'Assumptions &amp; WACC'!V11</f>
        <v>96.110060215812382</v>
      </c>
      <c r="X8" s="1"/>
      <c r="Y8" s="6" t="s">
        <v>77</v>
      </c>
      <c r="Z8" s="21">
        <f>'Assumptions &amp; WACC'!R18-'Assumptions &amp; WACC'!V15</f>
        <v>1827.9630856085314</v>
      </c>
      <c r="AA8" s="21">
        <f>'Assumptions &amp; WACC'!S18-'Assumptions &amp; WACC'!R18</f>
        <v>596.57402745787476</v>
      </c>
      <c r="AB8" s="21">
        <f>'Assumptions &amp; WACC'!T18-'Assumptions &amp; WACC'!S18</f>
        <v>631.60373841631736</v>
      </c>
      <c r="AC8" s="21">
        <f>'Assumptions &amp; WACC'!U18-'Assumptions &amp; WACC'!T18</f>
        <v>668.69032847668859</v>
      </c>
      <c r="AD8" s="21">
        <f>'Assumptions &amp; WACC'!V18-'Assumptions &amp; WACC'!U18</f>
        <v>707.95457373231693</v>
      </c>
      <c r="AE8" s="21">
        <f>'Assumptions &amp; WACC'!W18-'Assumptions &amp; WACC'!V18</f>
        <v>749.52434202281256</v>
      </c>
      <c r="AG8" s="52" t="s">
        <v>77</v>
      </c>
      <c r="AH8" s="44">
        <f>'Assumptions &amp; WACC'!Z11-'Assumptions &amp; WACC'!AD8</f>
        <v>5800.9757463693295</v>
      </c>
      <c r="AI8" s="44">
        <f>'Assumptions &amp; WACC'!AA11-'Assumptions &amp; WACC'!Z11</f>
        <v>149.40002191503481</v>
      </c>
      <c r="AJ8" s="44">
        <f>'Assumptions &amp; WACC'!AB11-'Assumptions &amp; WACC'!AA11</f>
        <v>151.23061413571122</v>
      </c>
      <c r="AK8" s="44">
        <f>'Assumptions &amp; WACC'!AC11-'Assumptions &amp; WACC'!AB11</f>
        <v>153.08363652631488</v>
      </c>
      <c r="AL8" s="44">
        <f>'Assumptions &amp; WACC'!AD11-'Assumptions &amp; WACC'!AC11</f>
        <v>154.95936392277508</v>
      </c>
      <c r="AM8" s="44">
        <f>'Assumptions &amp; WACC'!AE11-'Assumptions &amp; WACC'!AD11</f>
        <v>156.85807452858535</v>
      </c>
      <c r="AN8" s="1"/>
      <c r="AO8" s="6" t="s">
        <v>77</v>
      </c>
      <c r="AP8" s="21">
        <f>'Assumptions &amp; WACC'!Z18-'Assumptions &amp; WACC'!AD15</f>
        <v>-1069.438344404185</v>
      </c>
      <c r="AQ8" s="21">
        <f>'Assumptions &amp; WACC'!AA18-'Assumptions &amp; WACC'!Z18</f>
        <v>7223.9667182724479</v>
      </c>
      <c r="AR8" s="21">
        <f>'Assumptions &amp; WACC'!AB18-'Assumptions &amp; WACC'!AA18</f>
        <v>9057.0014442022875</v>
      </c>
      <c r="AS8" s="21">
        <f>'Assumptions &amp; WACC'!AC18-'Assumptions &amp; WACC'!AB18</f>
        <v>11355.156849324339</v>
      </c>
      <c r="AT8" s="21">
        <f>'Assumptions &amp; WACC'!AD18-'Assumptions &amp; WACC'!AC18</f>
        <v>14236.454290873087</v>
      </c>
      <c r="AU8" s="21">
        <f>'Assumptions &amp; WACC'!AE18-'Assumptions &amp; WACC'!AD18</f>
        <v>17848.862280416521</v>
      </c>
    </row>
    <row r="9" spans="1:47" x14ac:dyDescent="0.3">
      <c r="A9" s="17" t="s">
        <v>78</v>
      </c>
      <c r="B9" s="48">
        <f>B5+B6-B7-B8</f>
        <v>-737.07071469228504</v>
      </c>
      <c r="C9" s="48">
        <f t="shared" ref="C9:G9" si="1">C5+C6-C7-C8</f>
        <v>4418.9091732467496</v>
      </c>
      <c r="D9" s="48">
        <f t="shared" si="1"/>
        <v>4763.0648064400066</v>
      </c>
      <c r="E9" s="48">
        <f t="shared" si="1"/>
        <v>5134.0241360241562</v>
      </c>
      <c r="F9" s="48">
        <f t="shared" si="1"/>
        <v>5533.8747005164423</v>
      </c>
      <c r="G9" s="48">
        <f t="shared" si="1"/>
        <v>5964.8666211240979</v>
      </c>
      <c r="I9" s="50" t="s">
        <v>78</v>
      </c>
      <c r="J9" s="35">
        <f>J5+J6-J7-J8</f>
        <v>7644.4897458423075</v>
      </c>
      <c r="K9" s="35">
        <f t="shared" ref="K9:O9" si="2">K5+K6-K7-K8</f>
        <v>6514.1091142219811</v>
      </c>
      <c r="L9" s="35">
        <f t="shared" si="2"/>
        <v>7092.7038972766368</v>
      </c>
      <c r="M9" s="35">
        <f t="shared" si="2"/>
        <v>7722.6905003189531</v>
      </c>
      <c r="N9" s="35">
        <f t="shared" si="2"/>
        <v>8408.6336364071831</v>
      </c>
      <c r="O9" s="35">
        <f t="shared" si="2"/>
        <v>9155.5034645500855</v>
      </c>
      <c r="Q9" s="17" t="s">
        <v>78</v>
      </c>
      <c r="R9" s="48">
        <f>R5+R6-R7-R8</f>
        <v>369.70846917183803</v>
      </c>
      <c r="S9" s="48">
        <f t="shared" ref="S9:W9" si="3">S5+S6-S7-S8</f>
        <v>439.40959983906055</v>
      </c>
      <c r="T9" s="48">
        <f t="shared" si="3"/>
        <v>461.59877626663877</v>
      </c>
      <c r="U9" s="48">
        <f t="shared" si="3"/>
        <v>484.90845518372703</v>
      </c>
      <c r="V9" s="48">
        <f t="shared" si="3"/>
        <v>509.3952193946983</v>
      </c>
      <c r="W9" s="48">
        <f t="shared" si="3"/>
        <v>535.11850900569868</v>
      </c>
      <c r="X9" s="1"/>
      <c r="Y9" s="50" t="s">
        <v>78</v>
      </c>
      <c r="Z9" s="35">
        <f>Z5+Z6-Z7-Z8</f>
        <v>-7148.66861912899</v>
      </c>
      <c r="AA9" s="35">
        <f t="shared" ref="AA9:AE9" si="4">AA5+AA6-AA7-AA8</f>
        <v>-5495.7284424576774</v>
      </c>
      <c r="AB9" s="35">
        <f t="shared" si="4"/>
        <v>-5171.7565792712394</v>
      </c>
      <c r="AC9" s="35">
        <f t="shared" si="4"/>
        <v>-4905.6797886142394</v>
      </c>
      <c r="AD9" s="35">
        <f t="shared" si="4"/>
        <v>-4691.7485570185127</v>
      </c>
      <c r="AE9" s="35">
        <f t="shared" si="4"/>
        <v>-4524.9639963525642</v>
      </c>
      <c r="AG9" s="17" t="s">
        <v>78</v>
      </c>
      <c r="AH9" s="48">
        <f>AH5+AH6-AH7-AH8</f>
        <v>4853.6312683038996</v>
      </c>
      <c r="AI9" s="48">
        <f t="shared" ref="AI9:AM9" si="5">AI5+AI6-AI7-AI8</f>
        <v>10635.757446937709</v>
      </c>
      <c r="AJ9" s="48">
        <f t="shared" si="5"/>
        <v>10766.076938152037</v>
      </c>
      <c r="AK9" s="48">
        <f t="shared" si="5"/>
        <v>10897.993228642303</v>
      </c>
      <c r="AL9" s="48">
        <f t="shared" si="5"/>
        <v>11031.525883923267</v>
      </c>
      <c r="AM9" s="48">
        <f t="shared" si="5"/>
        <v>11166.694709245099</v>
      </c>
      <c r="AN9" s="1"/>
      <c r="AO9" s="50" t="s">
        <v>78</v>
      </c>
      <c r="AP9" s="35">
        <f>AP5+AP6-AP7-AP8</f>
        <v>9393.5085001225925</v>
      </c>
      <c r="AQ9" s="35">
        <f t="shared" ref="AQ9:AU9" si="6">AQ5+AQ6-AQ7-AQ8</f>
        <v>3212.2822792882725</v>
      </c>
      <c r="AR9" s="35">
        <f t="shared" si="6"/>
        <v>4027.3780842745764</v>
      </c>
      <c r="AS9" s="35">
        <f t="shared" si="6"/>
        <v>5049.2991659776599</v>
      </c>
      <c r="AT9" s="35">
        <f t="shared" si="6"/>
        <v>6330.5260976348218</v>
      </c>
      <c r="AU9" s="35">
        <f t="shared" si="6"/>
        <v>7936.8560577408571</v>
      </c>
    </row>
    <row r="10" spans="1:47" s="19" customFormat="1" x14ac:dyDescent="0.3">
      <c r="B10" s="49"/>
      <c r="C10" s="49"/>
      <c r="D10" s="49"/>
      <c r="E10" s="49"/>
      <c r="F10" s="49"/>
      <c r="G10" s="49"/>
      <c r="H10" s="17"/>
      <c r="I10" s="17"/>
      <c r="J10" s="51"/>
      <c r="K10" s="51"/>
      <c r="L10" s="51"/>
      <c r="M10" s="51"/>
      <c r="N10" s="51"/>
      <c r="O10" s="51"/>
      <c r="R10" s="49"/>
      <c r="S10" s="49"/>
      <c r="T10" s="49"/>
      <c r="U10" s="49"/>
      <c r="V10" s="49"/>
      <c r="W10" s="49"/>
      <c r="X10" s="17"/>
      <c r="Y10" s="17"/>
      <c r="Z10" s="51"/>
      <c r="AA10" s="51"/>
      <c r="AB10" s="51"/>
      <c r="AC10" s="51"/>
      <c r="AD10" s="51"/>
      <c r="AE10" s="51"/>
      <c r="AH10" s="49"/>
      <c r="AI10" s="49"/>
      <c r="AJ10" s="49"/>
      <c r="AK10" s="49"/>
      <c r="AL10" s="49"/>
      <c r="AM10" s="49"/>
      <c r="AN10" s="17"/>
      <c r="AO10" s="17"/>
      <c r="AP10" s="51"/>
      <c r="AQ10" s="51"/>
      <c r="AR10" s="51"/>
      <c r="AS10" s="51"/>
      <c r="AT10" s="51"/>
      <c r="AU10" s="51"/>
    </row>
    <row r="11" spans="1:47" x14ac:dyDescent="0.3">
      <c r="B11" s="1"/>
      <c r="Q11" s="1"/>
      <c r="R11" s="1"/>
      <c r="S11" s="1"/>
      <c r="T11" s="1"/>
      <c r="U11" s="1"/>
      <c r="V11" s="1"/>
      <c r="W11" s="1"/>
      <c r="X11" s="1"/>
      <c r="Y11" s="1"/>
      <c r="AG11" s="1"/>
      <c r="AH11" s="1"/>
      <c r="AI11" s="1"/>
      <c r="AJ11" s="1"/>
      <c r="AK11" s="1"/>
      <c r="AL11" s="1"/>
      <c r="AM11" s="1"/>
      <c r="AN11" s="1"/>
      <c r="AO11" s="1"/>
    </row>
    <row r="12" spans="1:47" x14ac:dyDescent="0.3">
      <c r="A12" s="1" t="s">
        <v>79</v>
      </c>
      <c r="B12" s="16" t="s">
        <v>45</v>
      </c>
      <c r="I12" s="1" t="s">
        <v>79</v>
      </c>
      <c r="J12" s="16" t="s">
        <v>45</v>
      </c>
      <c r="Q12" s="1" t="s">
        <v>79</v>
      </c>
      <c r="R12" s="16" t="s">
        <v>45</v>
      </c>
      <c r="S12" s="1"/>
      <c r="T12" s="1"/>
      <c r="U12" s="1"/>
      <c r="V12" s="1"/>
      <c r="W12" s="1"/>
      <c r="X12" s="1"/>
      <c r="Y12" s="1" t="s">
        <v>79</v>
      </c>
      <c r="Z12" s="16" t="s">
        <v>45</v>
      </c>
      <c r="AG12" s="1" t="s">
        <v>79</v>
      </c>
      <c r="AH12" s="16" t="s">
        <v>45</v>
      </c>
      <c r="AI12" s="1"/>
      <c r="AJ12" s="1"/>
      <c r="AK12" s="1"/>
      <c r="AL12" s="1"/>
      <c r="AM12" s="1"/>
      <c r="AN12" s="1"/>
      <c r="AO12" s="1" t="s">
        <v>79</v>
      </c>
      <c r="AP12" s="16" t="s">
        <v>45</v>
      </c>
    </row>
    <row r="13" spans="1:47" x14ac:dyDescent="0.3">
      <c r="A13" s="1" t="s">
        <v>80</v>
      </c>
      <c r="B13" s="45">
        <f ca="1">G9*(1+'Assumptions &amp; WACC'!B21)/('Assumptions &amp; WACC'!B20-'Assumptions &amp; WACC'!B21)</f>
        <v>165144.84325741345</v>
      </c>
      <c r="I13" s="6" t="s">
        <v>80</v>
      </c>
      <c r="J13" s="53">
        <f ca="1">O9*(1+'Assumptions &amp; WACC'!C21)/('Assumptions &amp; WACC'!C20-'Assumptions &amp; WACC'!C21)</f>
        <v>474772.46540842572</v>
      </c>
      <c r="Q13" s="1" t="s">
        <v>80</v>
      </c>
      <c r="R13" s="45">
        <f ca="1">W9*(1+'Assumptions &amp; WACC'!D21)/('Assumptions &amp; WACC'!D20-'Assumptions &amp; WACC'!D21)</f>
        <v>19838.954881445072</v>
      </c>
      <c r="S13" s="1"/>
      <c r="T13" s="1"/>
      <c r="U13" s="1"/>
      <c r="V13" s="1"/>
      <c r="W13" s="1"/>
      <c r="X13" s="1"/>
      <c r="Y13" s="6" t="s">
        <v>80</v>
      </c>
      <c r="Z13" s="53">
        <f ca="1">AE9*(1+'Assumptions &amp; WACC'!E21)/('Assumptions &amp; WACC'!E20-'Assumptions &amp; WACC'!E21)</f>
        <v>-69209.902320798443</v>
      </c>
      <c r="AG13" s="1" t="s">
        <v>80</v>
      </c>
      <c r="AH13" s="45">
        <f ca="1">AM9*(1+'Assumptions &amp; WACC'!F21)/('Assumptions &amp; WACC'!F20-'Assumptions &amp; WACC'!F21)</f>
        <v>249360.57698971286</v>
      </c>
      <c r="AI13" s="1"/>
      <c r="AJ13" s="1"/>
      <c r="AK13" s="1"/>
      <c r="AL13" s="1"/>
      <c r="AM13" s="1"/>
      <c r="AN13" s="1"/>
      <c r="AO13" s="6" t="s">
        <v>80</v>
      </c>
      <c r="AP13" s="53">
        <f ca="1">AU9*(1+'Assumptions &amp; WACC'!G21)/('Assumptions &amp; WACC'!G20-'Assumptions &amp; WACC'!G21)</f>
        <v>98785.589866685972</v>
      </c>
    </row>
    <row r="14" spans="1:47" x14ac:dyDescent="0.3">
      <c r="A14" s="1" t="s">
        <v>81</v>
      </c>
      <c r="B14" s="45">
        <f ca="1">B13/(1+'Assumptions &amp; WACC'!B20)^6</f>
        <v>118523.96179498854</v>
      </c>
      <c r="I14" s="6" t="s">
        <v>81</v>
      </c>
      <c r="J14" s="53">
        <f ca="1">J13/(1+'Assumptions &amp; WACC'!C20)^6</f>
        <v>387184.60026611295</v>
      </c>
      <c r="Q14" s="1" t="s">
        <v>81</v>
      </c>
      <c r="R14" s="45">
        <f ca="1">R13/(1+'Assumptions &amp; WACC'!D20)^6</f>
        <v>16609.583134327684</v>
      </c>
      <c r="S14" s="1"/>
      <c r="T14" s="1"/>
      <c r="U14" s="1"/>
      <c r="V14" s="1"/>
      <c r="W14" s="1"/>
      <c r="X14" s="1"/>
      <c r="Y14" s="6" t="s">
        <v>81</v>
      </c>
      <c r="Z14" s="53">
        <f ca="1">Z13/(1+'Assumptions &amp; WACC'!E20)^6</f>
        <v>-39638.473633300746</v>
      </c>
      <c r="AG14" s="1" t="s">
        <v>81</v>
      </c>
      <c r="AH14" s="45">
        <f ca="1">AH13/(1+'Assumptions &amp; WACC'!F20)^6</f>
        <v>186071.14918736884</v>
      </c>
      <c r="AI14" s="1"/>
      <c r="AJ14" s="1"/>
      <c r="AK14" s="1"/>
      <c r="AL14" s="1"/>
      <c r="AM14" s="1"/>
      <c r="AN14" s="1"/>
      <c r="AO14" s="6" t="s">
        <v>81</v>
      </c>
      <c r="AP14" s="53">
        <f ca="1">AP13/(1+'Assumptions &amp; WACC'!G20)^6</f>
        <v>50545.030484860741</v>
      </c>
    </row>
    <row r="15" spans="1:47" x14ac:dyDescent="0.3">
      <c r="A15" s="1" t="s">
        <v>82</v>
      </c>
      <c r="B15" s="46">
        <f ca="1">NPV('Assumptions &amp; WACC'!B20,DCF!B9:G9)</f>
        <v>19887.883399464517</v>
      </c>
      <c r="I15" s="6" t="s">
        <v>82</v>
      </c>
      <c r="J15" s="54">
        <f ca="1">NPV('Assumptions &amp; WACC'!C20,DCF!J9:O9)</f>
        <v>41182.076249871054</v>
      </c>
      <c r="Q15" s="1" t="s">
        <v>82</v>
      </c>
      <c r="R15" s="46">
        <f ca="1">NPV('Assumptions &amp; WACC'!D20,DCF!R9:W9)</f>
        <v>2513.4757491418409</v>
      </c>
      <c r="S15" s="1"/>
      <c r="T15" s="1"/>
      <c r="U15" s="1"/>
      <c r="V15" s="1"/>
      <c r="W15" s="1"/>
      <c r="X15" s="1"/>
      <c r="Y15" s="6" t="s">
        <v>82</v>
      </c>
      <c r="Z15" s="54">
        <f ca="1">NPV('Assumptions &amp; WACC'!E20,DCF!Z9:AE9)</f>
        <v>-23915.883929089188</v>
      </c>
      <c r="AG15" s="1" t="s">
        <v>82</v>
      </c>
      <c r="AH15" s="46">
        <f>NPV('Assumptions &amp; WACC'!AH20,DCF!AH9:AM9)</f>
        <v>59351.679475204321</v>
      </c>
      <c r="AI15" s="1"/>
      <c r="AJ15" s="1"/>
      <c r="AK15" s="1"/>
      <c r="AL15" s="1"/>
      <c r="AM15" s="1"/>
      <c r="AN15" s="1"/>
      <c r="AO15" s="6" t="s">
        <v>82</v>
      </c>
      <c r="AP15" s="54">
        <f>NPV('Assumptions &amp; WACC'!AI20,DCF!AP9:AU9)</f>
        <v>35949.850185038784</v>
      </c>
    </row>
    <row r="16" spans="1:47" x14ac:dyDescent="0.3">
      <c r="A16" s="1" t="s">
        <v>83</v>
      </c>
      <c r="B16" s="45">
        <f ca="1">B14+B15</f>
        <v>138411.84519445305</v>
      </c>
      <c r="I16" s="6" t="s">
        <v>83</v>
      </c>
      <c r="J16" s="53">
        <f ca="1">J14+J15</f>
        <v>428366.676515984</v>
      </c>
      <c r="Q16" s="1" t="s">
        <v>83</v>
      </c>
      <c r="R16" s="45">
        <f ca="1">R14+R15</f>
        <v>19123.058883469526</v>
      </c>
      <c r="S16" s="1"/>
      <c r="T16" s="1"/>
      <c r="U16" s="1"/>
      <c r="V16" s="1"/>
      <c r="W16" s="1"/>
      <c r="X16" s="1"/>
      <c r="Y16" s="6" t="s">
        <v>83</v>
      </c>
      <c r="Z16" s="53">
        <f ca="1">Z14+Z15</f>
        <v>-63554.357562389938</v>
      </c>
      <c r="AG16" s="1" t="s">
        <v>83</v>
      </c>
      <c r="AH16" s="45">
        <f ca="1">AH14+AH15</f>
        <v>245422.82866257316</v>
      </c>
      <c r="AI16" s="1"/>
      <c r="AJ16" s="1"/>
      <c r="AK16" s="1"/>
      <c r="AL16" s="1"/>
      <c r="AM16" s="1"/>
      <c r="AN16" s="1"/>
      <c r="AO16" s="6" t="s">
        <v>83</v>
      </c>
      <c r="AP16" s="53">
        <f ca="1">AP14+AP15</f>
        <v>86494.880669899518</v>
      </c>
    </row>
    <row r="17" spans="1:42" x14ac:dyDescent="0.3">
      <c r="A17" s="1" t="s">
        <v>84</v>
      </c>
      <c r="B17" s="45">
        <f>Financials!F21-Financials!F15</f>
        <v>32572</v>
      </c>
      <c r="I17" s="6" t="s">
        <v>84</v>
      </c>
      <c r="J17" s="53">
        <f>'Assumptions &amp; WACC'!C15-Financials!M15</f>
        <v>109860</v>
      </c>
      <c r="Q17" s="1" t="s">
        <v>84</v>
      </c>
      <c r="R17" s="45">
        <f>'Assumptions &amp; WACC'!D15-Financials!T15</f>
        <v>5370.7739999999994</v>
      </c>
      <c r="S17" s="1"/>
      <c r="T17" s="1"/>
      <c r="U17" s="1"/>
      <c r="V17" s="1"/>
      <c r="W17" s="1"/>
      <c r="X17" s="1"/>
      <c r="Y17" s="6" t="s">
        <v>84</v>
      </c>
      <c r="Z17" s="53">
        <f>'Assumptions &amp; WACC'!E15-Financials!AA15</f>
        <v>64</v>
      </c>
      <c r="AG17" s="1" t="s">
        <v>84</v>
      </c>
      <c r="AH17" s="45">
        <f>'Assumptions &amp; WACC'!F15-Financials!AH15</f>
        <v>3127</v>
      </c>
      <c r="AI17" s="1"/>
      <c r="AJ17" s="1"/>
      <c r="AK17" s="1"/>
      <c r="AL17" s="1"/>
      <c r="AM17" s="1"/>
      <c r="AN17" s="1"/>
      <c r="AO17" s="6" t="s">
        <v>84</v>
      </c>
      <c r="AP17" s="53">
        <f>'Assumptions &amp; WACC'!G15-Financials!AO15</f>
        <v>-7926</v>
      </c>
    </row>
    <row r="18" spans="1:42" x14ac:dyDescent="0.3">
      <c r="A18" s="1" t="s">
        <v>85</v>
      </c>
      <c r="B18" s="45">
        <f ca="1">B16-B17</f>
        <v>105839.84519445305</v>
      </c>
      <c r="I18" s="6" t="s">
        <v>85</v>
      </c>
      <c r="J18" s="53">
        <f ca="1">J16-J17</f>
        <v>318506.676515984</v>
      </c>
      <c r="Q18" s="1" t="s">
        <v>85</v>
      </c>
      <c r="R18" s="45">
        <f ca="1">R16-R17</f>
        <v>13752.284883469527</v>
      </c>
      <c r="S18" s="1"/>
      <c r="T18" s="1"/>
      <c r="U18" s="1"/>
      <c r="V18" s="1"/>
      <c r="W18" s="1"/>
      <c r="X18" s="1"/>
      <c r="Y18" s="6" t="s">
        <v>85</v>
      </c>
      <c r="Z18" s="53">
        <f ca="1">Z16-Z17</f>
        <v>-63618.357562389938</v>
      </c>
      <c r="AG18" s="1" t="s">
        <v>85</v>
      </c>
      <c r="AH18" s="45">
        <f ca="1">AH16-AH17</f>
        <v>242295.82866257316</v>
      </c>
      <c r="AI18" s="1"/>
      <c r="AJ18" s="1"/>
      <c r="AK18" s="1"/>
      <c r="AL18" s="1"/>
      <c r="AM18" s="1"/>
      <c r="AN18" s="1"/>
      <c r="AO18" s="6" t="s">
        <v>85</v>
      </c>
      <c r="AP18" s="53">
        <f ca="1">AP16-AP17</f>
        <v>94420.880669899518</v>
      </c>
    </row>
    <row r="19" spans="1:42" x14ac:dyDescent="0.3">
      <c r="A19" s="1" t="s">
        <v>73</v>
      </c>
      <c r="B19" s="45">
        <f>'Assumptions &amp; WACC'!B22</f>
        <v>3985</v>
      </c>
      <c r="I19" s="6" t="s">
        <v>73</v>
      </c>
      <c r="J19" s="53">
        <f>'Assumptions &amp; WACC'!C22</f>
        <v>1100</v>
      </c>
      <c r="Q19" s="1" t="s">
        <v>73</v>
      </c>
      <c r="R19" s="45">
        <f ca="1">'Assumptions &amp; WACC'!D22</f>
        <v>118.14190000000001</v>
      </c>
      <c r="S19" s="1"/>
      <c r="T19" s="1"/>
      <c r="U19" s="1"/>
      <c r="V19" s="1"/>
      <c r="W19" s="1"/>
      <c r="X19" s="1"/>
      <c r="Y19" s="6" t="s">
        <v>73</v>
      </c>
      <c r="Z19" s="53">
        <f ca="1">'Assumptions &amp; WACC'!E22</f>
        <v>1225.913</v>
      </c>
      <c r="AG19" s="1" t="s">
        <v>73</v>
      </c>
      <c r="AH19" s="45">
        <f ca="1">'Assumptions &amp; WACC'!F22</f>
        <v>2896.0729999999999</v>
      </c>
      <c r="AI19" s="1"/>
      <c r="AJ19" s="1"/>
      <c r="AK19" s="1"/>
      <c r="AL19" s="1"/>
      <c r="AM19" s="1"/>
      <c r="AN19" s="1"/>
      <c r="AO19" s="6" t="s">
        <v>73</v>
      </c>
      <c r="AP19" s="53">
        <f ca="1">'Assumptions &amp; WACC'!G22</f>
        <v>3325.819</v>
      </c>
    </row>
    <row r="20" spans="1:42" x14ac:dyDescent="0.3">
      <c r="A20" s="1" t="s">
        <v>86</v>
      </c>
      <c r="B20" s="46">
        <f ca="1">B18/B19</f>
        <v>26.559559647290602</v>
      </c>
      <c r="I20" s="6" t="s">
        <v>86</v>
      </c>
      <c r="J20" s="54">
        <f ca="1">J18/J19</f>
        <v>289.55152410544002</v>
      </c>
      <c r="Q20" s="1" t="s">
        <v>86</v>
      </c>
      <c r="R20" s="46">
        <f ca="1">R18/R19</f>
        <v>116.4048054371017</v>
      </c>
      <c r="S20" s="1"/>
      <c r="T20" s="1"/>
      <c r="U20" s="1"/>
      <c r="V20" s="1"/>
      <c r="W20" s="1"/>
      <c r="X20" s="1"/>
      <c r="Y20" s="6" t="s">
        <v>86</v>
      </c>
      <c r="Z20" s="54">
        <f ca="1">Z18/Z19</f>
        <v>-51.89467569263882</v>
      </c>
      <c r="AG20" s="1" t="s">
        <v>86</v>
      </c>
      <c r="AH20" s="46">
        <f ca="1">AH18/AH19</f>
        <v>83.663577769819057</v>
      </c>
      <c r="AI20" s="1"/>
      <c r="AJ20" s="1"/>
      <c r="AK20" s="1"/>
      <c r="AL20" s="1"/>
      <c r="AM20" s="1"/>
      <c r="AN20" s="1"/>
      <c r="AO20" s="6" t="s">
        <v>86</v>
      </c>
      <c r="AP20" s="54">
        <f ca="1">AP18/AP19</f>
        <v>28.390264373948046</v>
      </c>
    </row>
    <row r="21" spans="1:42" x14ac:dyDescent="0.3">
      <c r="A21" s="1" t="s">
        <v>87</v>
      </c>
      <c r="B21" s="46">
        <f ca="1">'Company Profile'!B3</f>
        <v>13.0299</v>
      </c>
      <c r="I21" s="6" t="s">
        <v>87</v>
      </c>
      <c r="J21" s="54">
        <f ca="1">'Company Profile'!C3</f>
        <v>68.25</v>
      </c>
      <c r="Q21" s="1" t="s">
        <v>87</v>
      </c>
      <c r="R21" s="46">
        <f ca="1">'Company Profile'!D3</f>
        <v>23.75</v>
      </c>
      <c r="S21" s="1"/>
      <c r="T21" s="1"/>
      <c r="U21" s="1"/>
      <c r="V21" s="1"/>
      <c r="W21" s="1"/>
      <c r="X21" s="1"/>
      <c r="Y21" s="6" t="s">
        <v>87</v>
      </c>
      <c r="Z21" s="54">
        <f ca="1">'Company Profile'!E3</f>
        <v>15.015000000000001</v>
      </c>
      <c r="AG21" s="1" t="s">
        <v>87</v>
      </c>
      <c r="AH21" s="46">
        <f ca="1">'Company Profile'!F3</f>
        <v>9.77</v>
      </c>
      <c r="AI21" s="1"/>
      <c r="AJ21" s="1"/>
      <c r="AK21" s="1"/>
      <c r="AL21" s="1"/>
      <c r="AM21" s="1"/>
      <c r="AN21" s="1"/>
      <c r="AO21" s="6" t="s">
        <v>87</v>
      </c>
      <c r="AP21" s="54">
        <f ca="1">'Company Profile'!G3</f>
        <v>403.74</v>
      </c>
    </row>
    <row r="22" spans="1:42" x14ac:dyDescent="0.3">
      <c r="A22" s="1" t="s">
        <v>88</v>
      </c>
      <c r="B22" s="22">
        <f ca="1">(B20-B21)/B21</f>
        <v>1.0383548336741344</v>
      </c>
      <c r="I22" s="6" t="s">
        <v>88</v>
      </c>
      <c r="J22" s="31">
        <f ca="1">(J20-J21)/J21</f>
        <v>3.2425131737060808</v>
      </c>
      <c r="Q22" s="1" t="s">
        <v>88</v>
      </c>
      <c r="R22" s="22">
        <f ca="1">(R20-R21)/R21</f>
        <v>3.9012549657727034</v>
      </c>
      <c r="S22" s="1"/>
      <c r="T22" s="1"/>
      <c r="U22" s="1"/>
      <c r="V22" s="1"/>
      <c r="W22" s="1"/>
      <c r="X22" s="1"/>
      <c r="Y22" s="6" t="s">
        <v>88</v>
      </c>
      <c r="Z22" s="31">
        <f ca="1">(Z20-Z21)/Z21</f>
        <v>-4.4561888573186019</v>
      </c>
      <c r="AG22" s="1" t="s">
        <v>88</v>
      </c>
      <c r="AH22" s="22">
        <f ca="1">(AH20-AH21)/AH21</f>
        <v>7.5633139989579385</v>
      </c>
      <c r="AI22" s="1"/>
      <c r="AJ22" s="1"/>
      <c r="AK22" s="1"/>
      <c r="AL22" s="1"/>
      <c r="AM22" s="1"/>
      <c r="AN22" s="1"/>
      <c r="AO22" s="6" t="s">
        <v>88</v>
      </c>
      <c r="AP22" s="31">
        <f ca="1">(AP20-AP21)/AP21</f>
        <v>-0.92968181410326434</v>
      </c>
    </row>
  </sheetData>
  <conditionalFormatting sqref="B22">
    <cfRule type="cellIs" dxfId="49" priority="11" operator="lessThan">
      <formula>0</formula>
    </cfRule>
    <cfRule type="cellIs" dxfId="48" priority="12" operator="greaterThan">
      <formula>0</formula>
    </cfRule>
  </conditionalFormatting>
  <conditionalFormatting sqref="J22">
    <cfRule type="cellIs" dxfId="47" priority="9" operator="lessThan">
      <formula>0</formula>
    </cfRule>
    <cfRule type="cellIs" dxfId="46" priority="10" operator="greaterThan">
      <formula>0</formula>
    </cfRule>
  </conditionalFormatting>
  <conditionalFormatting sqref="R22">
    <cfRule type="cellIs" dxfId="45" priority="7" operator="lessThan">
      <formula>0</formula>
    </cfRule>
    <cfRule type="cellIs" dxfId="44" priority="8" operator="greaterThan">
      <formula>0</formula>
    </cfRule>
  </conditionalFormatting>
  <conditionalFormatting sqref="Z22">
    <cfRule type="cellIs" dxfId="43" priority="5" operator="lessThan">
      <formula>0</formula>
    </cfRule>
    <cfRule type="cellIs" dxfId="42" priority="6" operator="greaterThan">
      <formula>0</formula>
    </cfRule>
  </conditionalFormatting>
  <conditionalFormatting sqref="AH22">
    <cfRule type="cellIs" dxfId="41" priority="3" operator="lessThan">
      <formula>0</formula>
    </cfRule>
    <cfRule type="cellIs" dxfId="40" priority="4" operator="greaterThan">
      <formula>0</formula>
    </cfRule>
  </conditionalFormatting>
  <conditionalFormatting sqref="AP22">
    <cfRule type="cellIs" dxfId="39" priority="1" operator="lessThan">
      <formula>0</formula>
    </cfRule>
    <cfRule type="cellIs" dxfId="38" priority="2" operator="greaterThan">
      <formula>0</formula>
    </cfRule>
  </conditionalFormatting>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1AA0F-C811-4BB3-BC2F-AFCA62E29BC2}">
  <dimension ref="A1:O25"/>
  <sheetViews>
    <sheetView workbookViewId="0">
      <selection activeCell="J4" sqref="J4"/>
    </sheetView>
  </sheetViews>
  <sheetFormatPr defaultRowHeight="14.4" x14ac:dyDescent="0.3"/>
  <cols>
    <col min="1" max="1" width="48.21875" style="1" bestFit="1" customWidth="1"/>
    <col min="2" max="2" width="9.88671875" style="15" bestFit="1" customWidth="1"/>
    <col min="3" max="3" width="12.6640625" style="15" customWidth="1"/>
    <col min="4" max="4" width="10.88671875" style="15" bestFit="1" customWidth="1"/>
    <col min="5" max="5" width="12.44140625" style="15" customWidth="1"/>
    <col min="6" max="6" width="8.88671875" style="1"/>
    <col min="7" max="7" width="15.44140625" style="1" bestFit="1" customWidth="1"/>
    <col min="8" max="8" width="12.109375" style="15" customWidth="1"/>
    <col min="9" max="9" width="11" style="15" bestFit="1" customWidth="1"/>
    <col min="10" max="11" width="10.88671875" style="15" bestFit="1" customWidth="1"/>
    <col min="12" max="12" width="8.88671875" style="1"/>
    <col min="13" max="13" width="10.88671875" style="1" bestFit="1" customWidth="1"/>
    <col min="14" max="14" width="11.88671875" style="1" bestFit="1" customWidth="1"/>
    <col min="15" max="16384" width="8.88671875" style="1"/>
  </cols>
  <sheetData>
    <row r="1" spans="1:15" x14ac:dyDescent="0.3">
      <c r="A1" s="17" t="s">
        <v>92</v>
      </c>
      <c r="J1" s="20"/>
      <c r="K1" s="20"/>
    </row>
    <row r="2" spans="1:15" x14ac:dyDescent="0.3">
      <c r="A2" s="57" t="s">
        <v>0</v>
      </c>
      <c r="B2" s="58" t="s">
        <v>89</v>
      </c>
      <c r="C2" s="58" t="s">
        <v>9</v>
      </c>
      <c r="D2" s="58" t="s">
        <v>90</v>
      </c>
      <c r="E2" s="59" t="s">
        <v>91</v>
      </c>
      <c r="G2" s="70" t="s">
        <v>0</v>
      </c>
      <c r="H2" s="71" t="s">
        <v>89</v>
      </c>
      <c r="I2" s="71" t="s">
        <v>9</v>
      </c>
      <c r="J2" s="71" t="s">
        <v>90</v>
      </c>
      <c r="K2" s="71" t="s">
        <v>91</v>
      </c>
      <c r="L2" s="71" t="s">
        <v>118</v>
      </c>
      <c r="M2" s="71" t="s">
        <v>119</v>
      </c>
      <c r="N2" s="71" t="s">
        <v>120</v>
      </c>
      <c r="O2" s="71" t="s">
        <v>121</v>
      </c>
    </row>
    <row r="3" spans="1:15" x14ac:dyDescent="0.3">
      <c r="A3" s="6" t="e" vm="7">
        <v>#VALUE!</v>
      </c>
      <c r="B3" s="21">
        <v>2.5299999999999998</v>
      </c>
      <c r="C3" s="21" cm="1">
        <f t="array" aca="1" ref="C3" ca="1">_FV(A3,"P/E",TRUE)</f>
        <v>9.5783000000000005</v>
      </c>
      <c r="D3" s="21">
        <v>0.33</v>
      </c>
      <c r="E3" s="21">
        <v>0.56000000000000005</v>
      </c>
      <c r="G3" s="1" t="s">
        <v>93</v>
      </c>
      <c r="H3" s="56">
        <f>B20*$B$17</f>
        <v>88476.235384615371</v>
      </c>
      <c r="I3" s="56">
        <f ca="1">C20*$C$17</f>
        <v>53107.29119230769</v>
      </c>
      <c r="J3" s="56">
        <f>D20*$D$17</f>
        <v>309790.44923076924</v>
      </c>
      <c r="K3" s="56">
        <f>E20*$E$17</f>
        <v>127362.21384615384</v>
      </c>
      <c r="L3" s="20">
        <f>'Assumptions &amp; WACC'!B22</f>
        <v>3985</v>
      </c>
      <c r="M3" s="20">
        <f ca="1">AVERAGE(Table15[[#This Row],[EV/EBITDA]:[P/B]])/L3</f>
        <v>36.307163717305272</v>
      </c>
      <c r="N3" s="20">
        <f ca="1">'Company Profile'!B3</f>
        <v>13.0299</v>
      </c>
      <c r="O3" s="108">
        <f ca="1">(Table15[[#This Row],[Target price]]-N3)/N3</f>
        <v>1.7864499126858437</v>
      </c>
    </row>
    <row r="4" spans="1:15" x14ac:dyDescent="0.3">
      <c r="A4" s="6" t="e" vm="2">
        <v>#VALUE!</v>
      </c>
      <c r="B4" s="21">
        <v>5.87</v>
      </c>
      <c r="C4" s="21" cm="1">
        <f t="array" aca="1" ref="C4" ca="1">_FV(A4,"P/E",TRUE)</f>
        <v>13.127000000000001</v>
      </c>
      <c r="D4" s="21">
        <v>0.35</v>
      </c>
      <c r="E4" s="21">
        <v>0.75</v>
      </c>
      <c r="G4" s="1" t="s">
        <v>1</v>
      </c>
      <c r="H4" s="56">
        <f>B21*$B$17</f>
        <v>190390.13076923075</v>
      </c>
      <c r="I4" s="56">
        <f ca="1">C21*$C$17</f>
        <v>180199.8574923077</v>
      </c>
      <c r="J4" s="56">
        <f>D21*$D$17</f>
        <v>313893.25692307693</v>
      </c>
      <c r="K4" s="56">
        <f t="shared" ref="K4" si="0">E21*$E$17</f>
        <v>186225.14615384614</v>
      </c>
      <c r="L4" s="20">
        <f>'Assumptions &amp; WACC'!C22</f>
        <v>1100</v>
      </c>
      <c r="M4" s="20">
        <f ca="1">AVERAGE(Table15[[#This Row],[EV/EBITDA]:[P/B]])/L4</f>
        <v>197.88827075874127</v>
      </c>
      <c r="N4" s="20">
        <f ca="1">'Company Profile'!C3</f>
        <v>68.25</v>
      </c>
      <c r="O4" s="108">
        <f ca="1">(Table15[[#This Row],[Target price]]-N4)/N4</f>
        <v>1.8994618426189198</v>
      </c>
    </row>
    <row r="5" spans="1:15" x14ac:dyDescent="0.3">
      <c r="A5" s="6" t="e" vm="6">
        <v>#VALUE!</v>
      </c>
      <c r="B5" s="21">
        <v>92.37</v>
      </c>
      <c r="C5" s="21">
        <v>110.64</v>
      </c>
      <c r="D5" s="21">
        <v>14.51</v>
      </c>
      <c r="E5" s="21">
        <v>18.57</v>
      </c>
      <c r="G5" s="1" t="str">
        <f>A22</f>
        <v>Harley</v>
      </c>
      <c r="H5" s="56">
        <f>B22*$B$17</f>
        <v>8063.9928461538411</v>
      </c>
      <c r="I5" s="56">
        <f ca="1">C22*$C$17</f>
        <v>6029.3773677846093</v>
      </c>
      <c r="J5" s="56">
        <f>D22*$D$17</f>
        <v>8685.8984261538462</v>
      </c>
      <c r="K5" s="56">
        <f>E22*$E$17</f>
        <v>8967.7103846153841</v>
      </c>
      <c r="L5" s="20">
        <f ca="1">'Assumptions &amp; WACC'!D22</f>
        <v>118.14190000000001</v>
      </c>
      <c r="M5" s="20">
        <f ca="1">AVERAGE(Table15[[#This Row],[EV/EBITDA]:[P/B]])/L5</f>
        <v>67.179762270430047</v>
      </c>
      <c r="N5" s="20">
        <f ca="1">'Company Profile'!D3</f>
        <v>23.75</v>
      </c>
      <c r="O5" s="108">
        <f ca="1">(Table15[[#This Row],[Target price]]-N5)/N5</f>
        <v>1.8286215692812651</v>
      </c>
    </row>
    <row r="6" spans="1:15" x14ac:dyDescent="0.3">
      <c r="A6" s="6" t="e" vm="1">
        <v>#VALUE!</v>
      </c>
      <c r="B6" s="21">
        <v>15.54</v>
      </c>
      <c r="C6" s="21">
        <v>11.25</v>
      </c>
      <c r="D6" s="21">
        <v>0.22</v>
      </c>
      <c r="E6" s="21">
        <v>0.89</v>
      </c>
      <c r="G6" s="1" t="str">
        <f t="shared" ref="G6:G8" si="1">A23</f>
        <v>Rivian</v>
      </c>
      <c r="H6" s="56">
        <f t="shared" ref="H6:H8" si="2">B23*$B$17</f>
        <v>-51096.6323076923</v>
      </c>
      <c r="I6" s="56">
        <f t="shared" ref="I6:I8" ca="1" si="3">C23*$C$17</f>
        <v>-96265.368338461529</v>
      </c>
      <c r="J6" s="56">
        <f t="shared" ref="J6:J8" si="4">D23*$D$17</f>
        <v>8322.8384615384621</v>
      </c>
      <c r="K6" s="56">
        <f t="shared" ref="K6:K8" si="5">E23*$E$17</f>
        <v>18631.032307692305</v>
      </c>
      <c r="L6" s="20">
        <f ca="1">'Assumptions &amp; WACC'!E22</f>
        <v>1225.913</v>
      </c>
      <c r="M6" s="20">
        <f ca="1">AVERAGE(Table15[[#This Row],[EV/EBITDA]:[P/B]])/L6</f>
        <v>-24.554786896974552</v>
      </c>
      <c r="N6" s="20">
        <f ca="1">'Company Profile'!E3</f>
        <v>15.015000000000001</v>
      </c>
      <c r="O6" s="108">
        <f ca="1">(Table15[[#This Row],[Target price]]-N6)/N6</f>
        <v>-2.6353504426889476</v>
      </c>
    </row>
    <row r="7" spans="1:15" x14ac:dyDescent="0.3">
      <c r="A7" s="6" t="e" vm="8">
        <v>#VALUE!</v>
      </c>
      <c r="B7" s="21">
        <v>3.1</v>
      </c>
      <c r="C7" s="21">
        <v>3.64</v>
      </c>
      <c r="D7" s="21">
        <v>0.14000000000000001</v>
      </c>
      <c r="E7" s="21">
        <v>0.25</v>
      </c>
      <c r="G7" s="1" t="str">
        <f t="shared" si="1"/>
        <v>Stellantis</v>
      </c>
      <c r="H7" s="56">
        <f t="shared" si="2"/>
        <v>156097.55769230766</v>
      </c>
      <c r="I7" s="56">
        <f t="shared" ca="1" si="3"/>
        <v>111054.74056923077</v>
      </c>
      <c r="J7" s="56">
        <f t="shared" si="4"/>
        <v>262710.31230769231</v>
      </c>
      <c r="K7" s="56">
        <f t="shared" si="5"/>
        <v>233143.43461538458</v>
      </c>
      <c r="L7" s="20">
        <f ca="1">'Assumptions &amp; WACC'!F22</f>
        <v>2896.0729999999999</v>
      </c>
      <c r="M7" s="20">
        <f ca="1">AVERAGE(Table15[[#This Row],[EV/EBITDA]:[P/B]])/L7</f>
        <v>65.865574278049564</v>
      </c>
      <c r="N7" s="20">
        <f ca="1">'Company Profile'!F3</f>
        <v>9.77</v>
      </c>
      <c r="O7" s="108">
        <f ca="1">(Table15[[#This Row],[Target price]]-N7)/N7</f>
        <v>5.7416145627481647</v>
      </c>
    </row>
    <row r="8" spans="1:15" x14ac:dyDescent="0.3">
      <c r="A8" s="6" t="e" vm="9">
        <v>#VALUE!</v>
      </c>
      <c r="B8" s="21">
        <v>4.68</v>
      </c>
      <c r="C8" s="21">
        <v>8.2200000000000006</v>
      </c>
      <c r="D8" s="21">
        <v>0.52</v>
      </c>
      <c r="E8" s="21">
        <v>3.07</v>
      </c>
      <c r="G8" s="1" t="str">
        <f t="shared" si="1"/>
        <v>Tesla</v>
      </c>
      <c r="H8" s="56">
        <f t="shared" si="2"/>
        <v>173823.53538461536</v>
      </c>
      <c r="I8" s="56">
        <f t="shared" ca="1" si="3"/>
        <v>93902.910176923077</v>
      </c>
      <c r="J8" s="56">
        <f t="shared" si="4"/>
        <v>163593.17692307691</v>
      </c>
      <c r="K8" s="56">
        <f t="shared" si="5"/>
        <v>207016.83307692307</v>
      </c>
      <c r="L8" s="20">
        <f ca="1">'Assumptions &amp; WACC'!G22</f>
        <v>3325.819</v>
      </c>
      <c r="M8" s="20">
        <f ca="1">AVERAGE(Table15[[#This Row],[EV/EBITDA]:[P/B]])/L8</f>
        <v>47.98340315284284</v>
      </c>
      <c r="N8" s="20">
        <f ca="1">'Company Profile'!G3</f>
        <v>403.74</v>
      </c>
      <c r="O8" s="108">
        <f ca="1">(Table15[[#This Row],[Target price]]-N8)/N8</f>
        <v>-0.88115271423975128</v>
      </c>
    </row>
    <row r="9" spans="1:15" x14ac:dyDescent="0.3">
      <c r="A9" s="6" t="e" vm="10">
        <v>#VALUE!</v>
      </c>
      <c r="B9" s="21">
        <v>7.2</v>
      </c>
      <c r="C9" s="21">
        <v>4.24</v>
      </c>
      <c r="D9" s="21">
        <v>0.2</v>
      </c>
      <c r="E9" s="21">
        <v>0.55000000000000004</v>
      </c>
      <c r="G9" s="17" t="s">
        <v>122</v>
      </c>
      <c r="H9" s="81"/>
      <c r="I9" s="81"/>
      <c r="J9" s="81"/>
      <c r="K9" s="81"/>
      <c r="L9" s="81" t="s">
        <v>121</v>
      </c>
      <c r="M9" s="81" t="s">
        <v>121</v>
      </c>
      <c r="N9" s="81" t="s">
        <v>121</v>
      </c>
      <c r="O9" s="81" t="s">
        <v>121</v>
      </c>
    </row>
    <row r="10" spans="1:15" x14ac:dyDescent="0.3">
      <c r="A10" s="6" t="e" vm="11">
        <v>#VALUE!</v>
      </c>
      <c r="B10" s="21">
        <v>2.4300000000000002</v>
      </c>
      <c r="C10" s="21">
        <v>15.51</v>
      </c>
      <c r="D10" s="21">
        <v>0.2</v>
      </c>
      <c r="E10" s="21">
        <v>0.61</v>
      </c>
      <c r="G10" s="1" t="str">
        <f t="shared" ref="G10:G15" si="6">G3</f>
        <v>Ford Motors</v>
      </c>
      <c r="H10" s="20">
        <f>H3/$L$3</f>
        <v>22.202317536917281</v>
      </c>
      <c r="I10" s="20">
        <f t="shared" ref="I10:K10" ca="1" si="7">I3/$L$3</f>
        <v>13.326798291670688</v>
      </c>
      <c r="J10" s="20">
        <f t="shared" si="7"/>
        <v>77.739134060418877</v>
      </c>
      <c r="K10" s="20">
        <f t="shared" si="7"/>
        <v>31.960404980214264</v>
      </c>
      <c r="L10" s="108">
        <f ca="1">(Table15[[#This Row],[EV/EBITDA]]-$N$3)/$N$3</f>
        <v>0.70395149133280244</v>
      </c>
      <c r="M10" s="108">
        <f ca="1">(Table15[[#This Row],[P/E]]-$N$3)/$N$3</f>
        <v>2.2785922506748952E-2</v>
      </c>
      <c r="N10" s="108">
        <f ca="1">(Table15[[#This Row],[P/S]]-$N$3)/$N$3</f>
        <v>4.966211103724425</v>
      </c>
      <c r="O10" s="108">
        <f ca="1">(Table15[[#This Row],[P/B]]-$N$3)/$N$3</f>
        <v>1.4528511331794003</v>
      </c>
    </row>
    <row r="11" spans="1:15" x14ac:dyDescent="0.3">
      <c r="A11" s="6" t="e" vm="12">
        <v>#VALUE!</v>
      </c>
      <c r="B11" s="21">
        <v>4.5</v>
      </c>
      <c r="C11" s="21" cm="1">
        <f t="array" aca="1" ref="C11" ca="1">_FV(A11,"P/E",TRUE)</f>
        <v>7.4454000000000002</v>
      </c>
      <c r="D11" s="21">
        <v>0.3</v>
      </c>
      <c r="E11" s="21">
        <v>0.54</v>
      </c>
      <c r="G11" s="1" t="str">
        <f t="shared" si="6"/>
        <v>General Motors</v>
      </c>
      <c r="H11" s="20">
        <f>H4/$L$4</f>
        <v>173.08193706293704</v>
      </c>
      <c r="I11" s="20">
        <f t="shared" ref="I11:K11" ca="1" si="8">I4/$L$4</f>
        <v>163.81805226573428</v>
      </c>
      <c r="J11" s="20">
        <f t="shared" si="8"/>
        <v>285.35750629370631</v>
      </c>
      <c r="K11" s="20">
        <f t="shared" si="8"/>
        <v>169.29558741258739</v>
      </c>
      <c r="L11" s="108">
        <f ca="1">(Table15[[#This Row],[EV/EBITDA]]-$N$4)/$N$4</f>
        <v>1.5359990778452315</v>
      </c>
      <c r="M11" s="108">
        <f ca="1">(Table15[[#This Row],[P/E]]-$N$4)/$N$4</f>
        <v>1.4002645020620408</v>
      </c>
      <c r="N11" s="108">
        <f ca="1">(Table15[[#This Row],[P/S]]-$N$4)/$N$4</f>
        <v>3.1810623632777482</v>
      </c>
      <c r="O11" s="108">
        <f ca="1">(Table15[[#This Row],[P/B]]-$N$4)/$N$4</f>
        <v>1.4805214272906577</v>
      </c>
    </row>
    <row r="12" spans="1:15" x14ac:dyDescent="0.3">
      <c r="A12" s="6" t="e" vm="13">
        <v>#VALUE!</v>
      </c>
      <c r="B12" s="21">
        <v>7.54</v>
      </c>
      <c r="C12" s="21" cm="1">
        <f t="array" aca="1" ref="C12" ca="1">_FV(A12,"P/E",TRUE)</f>
        <v>8.1045999999999996</v>
      </c>
      <c r="D12" s="21">
        <v>0.91</v>
      </c>
      <c r="E12" s="21">
        <v>1.2</v>
      </c>
      <c r="G12" s="1" t="str">
        <f t="shared" si="6"/>
        <v>Harley</v>
      </c>
      <c r="H12" s="20">
        <f ca="1">H5/$L$5</f>
        <v>68.256840681873584</v>
      </c>
      <c r="I12" s="20">
        <f t="shared" ref="I12:K12" ca="1" si="9">I5/$L$5</f>
        <v>51.035046565059552</v>
      </c>
      <c r="J12" s="20">
        <f t="shared" ca="1" si="9"/>
        <v>73.520896702641878</v>
      </c>
      <c r="K12" s="20">
        <f t="shared" ca="1" si="9"/>
        <v>75.906265132145194</v>
      </c>
      <c r="L12" s="108">
        <f ca="1">(Table15[[#This Row],[EV/EBITDA]]-$N$5)/$N$5</f>
        <v>1.8739722392367826</v>
      </c>
      <c r="M12" s="108">
        <f ca="1">(Table15[[#This Row],[P/E]]-$N$5)/$N$5</f>
        <v>1.1488440658972443</v>
      </c>
      <c r="N12" s="108">
        <f ca="1">(Table15[[#This Row],[P/S]]-$N$5)/$N$5</f>
        <v>2.0956167032691315</v>
      </c>
      <c r="O12" s="108">
        <f ca="1">(Table15[[#This Row],[P/B]]-$N$5)/$N$5</f>
        <v>2.196053268721903</v>
      </c>
    </row>
    <row r="13" spans="1:15" x14ac:dyDescent="0.3">
      <c r="A13" s="6" t="e" vm="14">
        <v>#VALUE!</v>
      </c>
      <c r="B13" s="21">
        <v>13.91</v>
      </c>
      <c r="C13" s="21">
        <v>24.91</v>
      </c>
      <c r="D13" s="21">
        <v>2.5099999999999998</v>
      </c>
      <c r="E13" s="21">
        <v>4.0599999999999996</v>
      </c>
      <c r="G13" s="1" t="str">
        <f t="shared" si="6"/>
        <v>Rivian</v>
      </c>
      <c r="H13" s="20">
        <f ca="1">H6/$L$6</f>
        <v>-41.680471866839085</v>
      </c>
      <c r="I13" s="20">
        <f t="shared" ref="I13:K13" ca="1" si="10">I6/$L$6</f>
        <v>-78.525448656194627</v>
      </c>
      <c r="J13" s="20">
        <f t="shared" ca="1" si="10"/>
        <v>6.7890938929095803</v>
      </c>
      <c r="K13" s="20">
        <f t="shared" ca="1" si="10"/>
        <v>15.197679042225921</v>
      </c>
      <c r="L13" s="108">
        <f ca="1">(Table15[[#This Row],[EV/EBITDA]]-$N$6)/$N$6</f>
        <v>-3.7759222022536854</v>
      </c>
      <c r="M13" s="108">
        <f ca="1">(Table15[[#This Row],[P/E]]-$N$6)/$N$6</f>
        <v>-6.2298001103026719</v>
      </c>
      <c r="N13" s="108">
        <f ca="1">(Table15[[#This Row],[P/S]]-$N$6)/$N$6</f>
        <v>-0.5478458945781165</v>
      </c>
      <c r="O13" s="108">
        <f ca="1">(Table15[[#This Row],[P/B]]-$N$6)/$N$6</f>
        <v>1.2166436378682702E-2</v>
      </c>
    </row>
    <row r="14" spans="1:15" x14ac:dyDescent="0.3">
      <c r="A14" s="6" t="e" vm="15">
        <v>#VALUE!</v>
      </c>
      <c r="B14" s="21">
        <v>16.670000000000002</v>
      </c>
      <c r="C14" s="21">
        <v>24.26</v>
      </c>
      <c r="D14" s="21">
        <v>1.21</v>
      </c>
      <c r="E14" s="21">
        <v>5.29</v>
      </c>
      <c r="G14" s="1" t="str">
        <f t="shared" si="6"/>
        <v>Stellantis</v>
      </c>
      <c r="H14" s="20">
        <f ca="1">H7/$L$7</f>
        <v>53.899731703001848</v>
      </c>
      <c r="I14" s="20">
        <f t="shared" ref="I14:K14" ca="1" si="11">I7/$L$7</f>
        <v>38.346664800656185</v>
      </c>
      <c r="J14" s="20">
        <f t="shared" ca="1" si="11"/>
        <v>90.712600237525891</v>
      </c>
      <c r="K14" s="20">
        <f t="shared" ca="1" si="11"/>
        <v>80.503300371014333</v>
      </c>
      <c r="L14" s="108">
        <f ca="1">(Table15[[#This Row],[EV/EBITDA]]-$N$7)/$N$7</f>
        <v>4.5168609726716333</v>
      </c>
      <c r="M14" s="108">
        <f ca="1">(Table15[[#This Row],[P/E]]-$N$7)/$N$7</f>
        <v>2.9249401024213086</v>
      </c>
      <c r="N14" s="108">
        <f ca="1">(Table15[[#This Row],[P/S]]-$N$7)/$N$7</f>
        <v>8.2848106691428764</v>
      </c>
      <c r="O14" s="108">
        <f ca="1">(Table15[[#This Row],[P/B]]-$N$7)/$N$7</f>
        <v>7.2398465067568418</v>
      </c>
    </row>
    <row r="15" spans="1:15" x14ac:dyDescent="0.3">
      <c r="A15" s="6" t="e" vm="16">
        <v>#VALUE!</v>
      </c>
      <c r="B15" s="21">
        <v>5.25</v>
      </c>
      <c r="C15" s="21" cm="1">
        <f t="array" aca="1" ref="C15" ca="1">_FV(A15,"P/E",TRUE)</f>
        <v>8.7653999999999996</v>
      </c>
      <c r="D15" s="21">
        <v>0.37</v>
      </c>
      <c r="E15" s="21">
        <v>0.56999999999999995</v>
      </c>
      <c r="G15" s="1" t="str">
        <f t="shared" si="6"/>
        <v>Tesla</v>
      </c>
      <c r="H15" s="20">
        <f ca="1">H8/$L$8</f>
        <v>52.264881337383471</v>
      </c>
      <c r="I15" s="20">
        <f t="shared" ref="I15:K15" ca="1" si="12">I8/$L$8</f>
        <v>28.234522136328849</v>
      </c>
      <c r="J15" s="20">
        <f t="shared" ca="1" si="12"/>
        <v>49.188839477757782</v>
      </c>
      <c r="K15" s="20">
        <f t="shared" ca="1" si="12"/>
        <v>62.245369659901236</v>
      </c>
      <c r="L15" s="108">
        <f ca="1">(Table15[[#This Row],[EV/EBITDA]]-$N$8)/$N$8</f>
        <v>-0.87054817125530415</v>
      </c>
      <c r="M15" s="108">
        <f ca="1">(Table15[[#This Row],[P/E]]-$N$8)/$N$8</f>
        <v>-0.93006756294563619</v>
      </c>
      <c r="N15" s="108">
        <f ca="1">(Table15[[#This Row],[P/S]]-$N$8)/$N$8</f>
        <v>-0.87816703948640762</v>
      </c>
      <c r="O15" s="108">
        <f ca="1">(Table15[[#This Row],[P/B]]-$N$8)/$N$8</f>
        <v>-0.84582808327165682</v>
      </c>
    </row>
    <row r="16" spans="1:15" x14ac:dyDescent="0.3">
      <c r="A16" s="60"/>
      <c r="B16" s="61"/>
      <c r="C16" s="61"/>
      <c r="D16" s="61"/>
      <c r="E16" s="62"/>
    </row>
    <row r="17" spans="1:11" x14ac:dyDescent="0.3">
      <c r="A17" s="32" t="s">
        <v>94</v>
      </c>
      <c r="B17" s="63">
        <f>AVERAGE(B3:B15)</f>
        <v>13.968461538461536</v>
      </c>
      <c r="C17" s="63">
        <f t="shared" ref="C17:E17" ca="1" si="13">AVERAGE(C3:C15)</f>
        <v>19.206976923076923</v>
      </c>
      <c r="D17" s="63">
        <f t="shared" si="13"/>
        <v>1.6746153846153846</v>
      </c>
      <c r="E17" s="63">
        <f t="shared" si="13"/>
        <v>2.839230769230769</v>
      </c>
      <c r="F17" s="55"/>
    </row>
    <row r="19" spans="1:11" s="2" customFormat="1" x14ac:dyDescent="0.3">
      <c r="A19" s="64" t="s">
        <v>0</v>
      </c>
      <c r="B19" s="65" t="s">
        <v>95</v>
      </c>
      <c r="C19" s="65" t="s">
        <v>19</v>
      </c>
      <c r="D19" s="65" t="s">
        <v>72</v>
      </c>
      <c r="E19" s="65" t="s">
        <v>96</v>
      </c>
      <c r="H19" s="3"/>
      <c r="I19" s="3"/>
      <c r="J19" s="3"/>
      <c r="K19" s="3"/>
    </row>
    <row r="20" spans="1:11" x14ac:dyDescent="0.3">
      <c r="A20" s="33" t="s">
        <v>93</v>
      </c>
      <c r="B20" s="66">
        <f>Financials!F7+Financials!F8</f>
        <v>6334</v>
      </c>
      <c r="C20" s="66">
        <f>Financials!F10</f>
        <v>2765</v>
      </c>
      <c r="D20" s="66">
        <f>Financials!F3</f>
        <v>184992</v>
      </c>
      <c r="E20" s="68">
        <f>Financials!F22</f>
        <v>44858</v>
      </c>
    </row>
    <row r="21" spans="1:11" x14ac:dyDescent="0.3">
      <c r="A21" s="34" t="s">
        <v>1</v>
      </c>
      <c r="B21" s="67">
        <f>Financials!M7+Financials!M8</f>
        <v>13630</v>
      </c>
      <c r="C21" s="67">
        <f>Financials!M10</f>
        <v>9382</v>
      </c>
      <c r="D21" s="67">
        <f>Financials!M3</f>
        <v>187442</v>
      </c>
      <c r="E21" s="69">
        <f>Financials!M22</f>
        <v>65590</v>
      </c>
    </row>
    <row r="22" spans="1:11" x14ac:dyDescent="0.3">
      <c r="A22" s="34" t="s">
        <v>116</v>
      </c>
      <c r="B22" s="67">
        <f>Financials!T7+Financials!T28</f>
        <v>577.29999999999973</v>
      </c>
      <c r="C22" s="67">
        <f>Financials!T10</f>
        <v>313.91599999999971</v>
      </c>
      <c r="D22" s="67">
        <f>Financials!T3</f>
        <v>5186.8019999999997</v>
      </c>
      <c r="E22" s="69">
        <f>Table212[[#This Row],[2024]]</f>
        <v>3158.5</v>
      </c>
    </row>
    <row r="23" spans="1:11" x14ac:dyDescent="0.3">
      <c r="A23" s="34" t="s">
        <v>113</v>
      </c>
      <c r="B23" s="67">
        <f>Financials!AA7+Financials!AA28</f>
        <v>-3658</v>
      </c>
      <c r="C23" s="67">
        <f>Financials!AA10</f>
        <v>-5012</v>
      </c>
      <c r="D23" s="67">
        <f>Financials!AA3</f>
        <v>4970</v>
      </c>
      <c r="E23" s="69">
        <f>Financials!AA22</f>
        <v>6562</v>
      </c>
    </row>
    <row r="24" spans="1:11" x14ac:dyDescent="0.3">
      <c r="A24" s="34" t="s">
        <v>114</v>
      </c>
      <c r="B24" s="67">
        <f>Financials!AH7+Financials!AH28</f>
        <v>11175</v>
      </c>
      <c r="C24" s="67">
        <f>Financials!AH10</f>
        <v>5782</v>
      </c>
      <c r="D24" s="67">
        <f>Financials!AH3</f>
        <v>156878</v>
      </c>
      <c r="E24" s="69">
        <f>Financials!AH22</f>
        <v>82115</v>
      </c>
    </row>
    <row r="25" spans="1:11" x14ac:dyDescent="0.3">
      <c r="A25" s="34" t="s">
        <v>115</v>
      </c>
      <c r="B25" s="67">
        <f>Financials!AO7+Financials!AO28</f>
        <v>12444</v>
      </c>
      <c r="C25" s="67">
        <f>Financials!AO10</f>
        <v>4889</v>
      </c>
      <c r="D25" s="67">
        <f>Financials!AO3</f>
        <v>97690</v>
      </c>
      <c r="E25" s="69">
        <f>Financials!AO22</f>
        <v>72913</v>
      </c>
    </row>
  </sheetData>
  <conditionalFormatting sqref="L10:O15">
    <cfRule type="cellIs" dxfId="37" priority="1" operator="lessThan">
      <formula>0</formula>
    </cfRule>
    <cfRule type="cellIs" dxfId="36" priority="2" operator="greaterThan">
      <formula>0</formula>
    </cfRule>
  </conditionalFormatting>
  <conditionalFormatting sqref="O3:O8">
    <cfRule type="cellIs" dxfId="35" priority="3" operator="lessThan">
      <formula>0</formula>
    </cfRule>
    <cfRule type="cellIs" dxfId="34" priority="4" operator="greaterThan">
      <formula>0</formula>
    </cfRule>
  </conditionalFormatting>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2B052-D30D-4540-9424-5FC4DC2AE2B3}">
  <dimension ref="A1:R71"/>
  <sheetViews>
    <sheetView topLeftCell="A17" workbookViewId="0">
      <selection activeCell="D36" sqref="D36"/>
    </sheetView>
  </sheetViews>
  <sheetFormatPr defaultRowHeight="14.4" x14ac:dyDescent="0.3"/>
  <cols>
    <col min="1" max="1" width="8.88671875" style="1"/>
    <col min="2" max="2" width="16.88671875" style="15" bestFit="1" customWidth="1"/>
    <col min="3" max="3" width="8.88671875" style="15"/>
    <col min="4" max="4" width="11" style="22" bestFit="1" customWidth="1"/>
    <col min="5" max="5" width="8.88671875" style="1"/>
    <col min="6" max="6" width="14.88671875" style="1" customWidth="1"/>
    <col min="7" max="7" width="14.88671875" style="15" customWidth="1"/>
    <col min="8" max="9" width="18.5546875" style="15" bestFit="1" customWidth="1"/>
    <col min="10" max="10" width="13.109375" style="15" bestFit="1" customWidth="1"/>
    <col min="11" max="11" width="12.6640625" style="15" bestFit="1" customWidth="1"/>
    <col min="12" max="12" width="14.88671875" style="15" customWidth="1"/>
    <col min="13" max="13" width="14.44140625" style="15" bestFit="1" customWidth="1"/>
    <col min="14" max="14" width="12.6640625" style="15" bestFit="1" customWidth="1"/>
    <col min="15" max="15" width="16" style="15" bestFit="1" customWidth="1"/>
    <col min="16" max="16" width="12.6640625" style="1" bestFit="1" customWidth="1"/>
    <col min="17" max="17" width="10.33203125" style="1" bestFit="1" customWidth="1"/>
    <col min="18" max="18" width="16" style="1" bestFit="1" customWidth="1"/>
    <col min="19" max="16384" width="8.88671875" style="1"/>
  </cols>
  <sheetData>
    <row r="1" spans="1:18" s="2" customFormat="1" ht="28.8" x14ac:dyDescent="0.3">
      <c r="A1" s="2" t="s">
        <v>10</v>
      </c>
      <c r="B1" s="3" t="s">
        <v>11</v>
      </c>
      <c r="C1" s="3" t="s">
        <v>0</v>
      </c>
      <c r="D1" s="3" t="s">
        <v>45</v>
      </c>
      <c r="F1" s="2" t="s">
        <v>0</v>
      </c>
      <c r="G1" s="3" t="s">
        <v>99</v>
      </c>
      <c r="H1" s="3" t="s">
        <v>100</v>
      </c>
      <c r="I1" s="3" t="s">
        <v>101</v>
      </c>
      <c r="J1" s="3" t="s">
        <v>102</v>
      </c>
      <c r="K1" s="3" t="s">
        <v>33</v>
      </c>
      <c r="L1" s="3" t="s">
        <v>76</v>
      </c>
      <c r="M1" s="3" t="s">
        <v>103</v>
      </c>
      <c r="N1" s="3" t="s">
        <v>104</v>
      </c>
      <c r="O1" s="3" t="s">
        <v>105</v>
      </c>
    </row>
    <row r="2" spans="1:18" x14ac:dyDescent="0.3">
      <c r="A2" s="1" t="s">
        <v>97</v>
      </c>
      <c r="B2" s="15" t="s">
        <v>98</v>
      </c>
      <c r="C2" s="15" t="s">
        <v>42</v>
      </c>
      <c r="D2" s="55">
        <f>AVERAGE(Financials!B27:F27)</f>
        <v>7151</v>
      </c>
      <c r="F2" s="1" t="str">
        <f>C2</f>
        <v>Ford</v>
      </c>
      <c r="G2" s="55">
        <f>Financials!F7-Financials!B7</f>
        <v>9627</v>
      </c>
      <c r="H2" s="20">
        <f>(285196-106859)-(267261-97192)</f>
        <v>8268</v>
      </c>
      <c r="I2" s="22">
        <f>G2/H2</f>
        <v>1.1643686502177069</v>
      </c>
      <c r="J2" s="55">
        <f>DCF!G4-DCF!B4</f>
        <v>2971.9662841007666</v>
      </c>
      <c r="K2" s="55">
        <f>D9</f>
        <v>11077.372131995102</v>
      </c>
      <c r="L2" s="55">
        <f>AVERAGE(DCF!B6:G6)</f>
        <v>12072.80204837324</v>
      </c>
      <c r="M2" s="20">
        <f>IF(K2-L2&lt;=0,K2,MAX(K2-L2,0.1*K2))</f>
        <v>11077.372131995102</v>
      </c>
      <c r="N2" s="22">
        <f>J2/M2</f>
        <v>0.26829163529829864</v>
      </c>
      <c r="O2" s="75">
        <f>MIN(MAX(N2,0.08),0.11)</f>
        <v>0.11</v>
      </c>
    </row>
    <row r="3" spans="1:18" x14ac:dyDescent="0.3">
      <c r="A3" s="1" t="s">
        <v>97</v>
      </c>
      <c r="B3" s="15" t="s">
        <v>98</v>
      </c>
      <c r="C3" s="15" t="s">
        <v>47</v>
      </c>
      <c r="D3" s="55">
        <f>AVERAGE(Financials!I27:M27)</f>
        <v>8769.4</v>
      </c>
      <c r="F3" s="1" t="str">
        <f>C3</f>
        <v>GM</v>
      </c>
      <c r="G3" s="55">
        <f>Financials!M7-Financials!I7</f>
        <v>6150</v>
      </c>
      <c r="H3" s="20">
        <f>(279761-96265)-(235194-79910)</f>
        <v>28212</v>
      </c>
      <c r="I3" s="22">
        <f>G3/H3</f>
        <v>0.21799234368353892</v>
      </c>
      <c r="J3" s="55">
        <f>DCF!O4-DCF!J4</f>
        <v>6836.7458412319284</v>
      </c>
      <c r="K3" s="55">
        <f>D10</f>
        <v>14614.432356235018</v>
      </c>
      <c r="L3" s="55">
        <f>AVERAGE(DCF!J6:O6)</f>
        <v>10863.082522280012</v>
      </c>
      <c r="M3" s="20">
        <f>IF(K3-L3&lt;=0,K3,MAX(K3-L3,0.1*K3))</f>
        <v>3751.349833955006</v>
      </c>
      <c r="N3" s="22">
        <f>J3/M3</f>
        <v>1.8224762135884363</v>
      </c>
      <c r="O3" s="75">
        <f>MIN(MAX(N3,0.08),0.11)</f>
        <v>0.11</v>
      </c>
    </row>
    <row r="4" spans="1:18" x14ac:dyDescent="0.3">
      <c r="A4" s="1" t="s">
        <v>97</v>
      </c>
      <c r="B4" s="15" t="s">
        <v>98</v>
      </c>
      <c r="C4" s="15" t="str">
        <f>Relative!A22</f>
        <v>Harley</v>
      </c>
      <c r="D4" s="76">
        <f>AVERAGE(Financials!P27:T27)</f>
        <v>161.3734</v>
      </c>
      <c r="F4" s="1" t="str">
        <f>C4</f>
        <v>Harley</v>
      </c>
      <c r="G4" s="55">
        <f>Financials!T7-Financials!P7</f>
        <v>406.94799999999964</v>
      </c>
      <c r="H4" s="20">
        <f>(11882-3557)-(12011-3982)</f>
        <v>296</v>
      </c>
      <c r="I4" s="22">
        <f t="shared" ref="I4:I7" si="0">G4/H4</f>
        <v>1.374824324324323</v>
      </c>
      <c r="J4" s="55">
        <f>Table938[[#This Row],[2030]]-Table938[[#This Row],[2025]]</f>
        <v>170.86731726066239</v>
      </c>
      <c r="K4" s="55">
        <f t="shared" ref="K4:K7" si="1">D11</f>
        <v>282.51796793470697</v>
      </c>
      <c r="L4" s="55">
        <f>AVERAGE(DCF!R6:W6)</f>
        <v>307.90547264661336</v>
      </c>
      <c r="M4" s="20">
        <f t="shared" ref="M4:M7" si="2">IF(K4-L4&lt;=0,K4,MAX(K4-L4,0.1*K4))</f>
        <v>282.51796793470697</v>
      </c>
      <c r="N4" s="22">
        <f t="shared" ref="N4:N7" si="3">J4/M4</f>
        <v>0.60480159371722408</v>
      </c>
      <c r="O4" s="75">
        <f t="shared" ref="O4:O7" si="4">MIN(MAX(N4,0.08),0.11)</f>
        <v>0.11</v>
      </c>
    </row>
    <row r="5" spans="1:18" x14ac:dyDescent="0.3">
      <c r="A5" s="1" t="s">
        <v>97</v>
      </c>
      <c r="B5" s="15" t="s">
        <v>98</v>
      </c>
      <c r="C5" s="15" t="str">
        <f>Relative!A23</f>
        <v>Rivian</v>
      </c>
      <c r="D5" s="76">
        <f>AVERAGE(Financials!W27:AA27)</f>
        <v>1248.8</v>
      </c>
      <c r="F5" s="1" t="str">
        <f t="shared" ref="F5:F7" si="5">C5</f>
        <v>Rivian</v>
      </c>
      <c r="G5" s="55">
        <f>Financials!AA7-Financials!X7</f>
        <v>-469</v>
      </c>
      <c r="H5" s="20">
        <f>(15410-2251)-(4602-611)</f>
        <v>9168</v>
      </c>
      <c r="I5" s="22">
        <f t="shared" si="0"/>
        <v>-5.1156195462478182E-2</v>
      </c>
      <c r="J5" s="55">
        <f>DCF!AE4-DCF!Z4</f>
        <v>1937.9627859268694</v>
      </c>
      <c r="K5" s="55">
        <f t="shared" si="1"/>
        <v>2923.3926099834571</v>
      </c>
      <c r="L5" s="55">
        <f>AVERAGE(DCF!Z6:AE6)</f>
        <v>1545.0650998730578</v>
      </c>
      <c r="M5" s="20">
        <f t="shared" si="2"/>
        <v>1378.3275101103993</v>
      </c>
      <c r="N5" s="22">
        <f t="shared" si="3"/>
        <v>1.4060248901015153</v>
      </c>
      <c r="O5" s="75">
        <f t="shared" si="4"/>
        <v>0.11</v>
      </c>
    </row>
    <row r="6" spans="1:18" x14ac:dyDescent="0.3">
      <c r="A6" s="1" t="s">
        <v>97</v>
      </c>
      <c r="B6" s="15" t="s">
        <v>98</v>
      </c>
      <c r="C6" s="15" t="str">
        <f>Relative!A24</f>
        <v>Stellantis</v>
      </c>
      <c r="D6" s="76">
        <f>AVERAGE(Financials!AD27:AH27)</f>
        <v>9431</v>
      </c>
      <c r="F6" s="1" t="str">
        <f t="shared" si="5"/>
        <v>Stellantis</v>
      </c>
      <c r="G6" s="55">
        <f>Financials!AH7-Financials!AD7</f>
        <v>1972</v>
      </c>
      <c r="H6" s="20">
        <f>(224700-81400)-(202500-75400)</f>
        <v>16200</v>
      </c>
      <c r="I6" s="22">
        <f t="shared" si="0"/>
        <v>0.12172839506172839</v>
      </c>
      <c r="J6" s="55">
        <f>DCF!AM4-DCF!AH4</f>
        <v>815.60925820373268</v>
      </c>
      <c r="K6" s="55">
        <f t="shared" si="1"/>
        <v>7479.8905519035898</v>
      </c>
      <c r="L6" s="20">
        <f>AVERAGE(Table942[[#This Row],[2025]:[2030]])</f>
        <v>8152.0451692512679</v>
      </c>
      <c r="M6" s="20">
        <f t="shared" si="2"/>
        <v>7479.8905519035898</v>
      </c>
      <c r="N6" s="22">
        <f t="shared" si="3"/>
        <v>0.10904026637076457</v>
      </c>
      <c r="O6" s="75">
        <f t="shared" si="4"/>
        <v>0.10904026637076457</v>
      </c>
    </row>
    <row r="7" spans="1:18" x14ac:dyDescent="0.3">
      <c r="A7" s="1" t="s">
        <v>97</v>
      </c>
      <c r="B7" s="15" t="s">
        <v>98</v>
      </c>
      <c r="C7" s="15" t="str">
        <f>Relative!A25</f>
        <v>Tesla</v>
      </c>
      <c r="D7" s="76">
        <f>AVERAGE(Financials!AK27:AO27)</f>
        <v>7407.6</v>
      </c>
      <c r="F7" s="1" t="str">
        <f t="shared" si="5"/>
        <v>Tesla</v>
      </c>
      <c r="G7" s="55">
        <f>Table41729[[#This Row],[2024]]-Table41729[[#This Row],[2020]]</f>
        <v>5082</v>
      </c>
      <c r="H7" s="20">
        <f>(122070-28821)-(52148-14248)</f>
        <v>55349</v>
      </c>
      <c r="I7" s="22">
        <f t="shared" si="0"/>
        <v>9.1817377007714682E-2</v>
      </c>
      <c r="J7" s="55">
        <f>DCF!AU4-DCF!AP4</f>
        <v>27583.304863208141</v>
      </c>
      <c r="K7" s="55">
        <f t="shared" si="1"/>
        <v>13288.061326061796</v>
      </c>
      <c r="L7" s="55">
        <f>AVERAGE(DCF!AP6:AU6)</f>
        <v>9877.1750573358713</v>
      </c>
      <c r="M7" s="20">
        <f t="shared" si="2"/>
        <v>3410.8862687259243</v>
      </c>
      <c r="N7" s="22">
        <f t="shared" si="3"/>
        <v>8.0868439138873409</v>
      </c>
      <c r="O7" s="75">
        <f t="shared" si="4"/>
        <v>0.11</v>
      </c>
    </row>
    <row r="8" spans="1:18" s="17" customFormat="1" x14ac:dyDescent="0.3">
      <c r="A8" s="17" t="s">
        <v>97</v>
      </c>
      <c r="B8" s="72" t="s">
        <v>124</v>
      </c>
      <c r="C8" s="72" t="s">
        <v>123</v>
      </c>
      <c r="D8" s="73">
        <f>AVERAGE(D2:D7)</f>
        <v>5694.8622333333333</v>
      </c>
      <c r="E8" s="1"/>
      <c r="F8" s="17" t="s">
        <v>94</v>
      </c>
      <c r="G8" s="72"/>
      <c r="H8" s="72"/>
      <c r="I8" s="74">
        <f>AVERAGE(I2:I7)</f>
        <v>0.48659581580542222</v>
      </c>
      <c r="J8" s="72"/>
      <c r="K8" s="72"/>
      <c r="L8" s="72"/>
      <c r="M8" s="72"/>
      <c r="N8" s="74">
        <f>AVERAGE(N2:N7)</f>
        <v>2.0495797521605965</v>
      </c>
      <c r="O8" s="74">
        <f>AVERAGE(O2:O7)</f>
        <v>0.10984004439512741</v>
      </c>
    </row>
    <row r="9" spans="1:18" x14ac:dyDescent="0.3">
      <c r="A9" s="1" t="s">
        <v>125</v>
      </c>
      <c r="B9" s="15" t="str">
        <f>B2</f>
        <v>Avg Capex</v>
      </c>
      <c r="C9" s="15" t="str">
        <f>C2</f>
        <v>Ford</v>
      </c>
      <c r="D9" s="55">
        <f>AVERAGE(DCF!B7:G7)</f>
        <v>11077.372131995102</v>
      </c>
    </row>
    <row r="10" spans="1:18" x14ac:dyDescent="0.3">
      <c r="A10" s="1" t="s">
        <v>125</v>
      </c>
      <c r="B10" s="15" t="str">
        <f t="shared" ref="B10:C14" si="6">B3</f>
        <v>Avg Capex</v>
      </c>
      <c r="C10" s="15" t="str">
        <f t="shared" si="6"/>
        <v>GM</v>
      </c>
      <c r="D10" s="55">
        <f>AVERAGE(DCF!J7:O7)</f>
        <v>14614.432356235018</v>
      </c>
    </row>
    <row r="11" spans="1:18" x14ac:dyDescent="0.3">
      <c r="A11" s="1" t="s">
        <v>125</v>
      </c>
      <c r="B11" s="15" t="str">
        <f t="shared" si="6"/>
        <v>Avg Capex</v>
      </c>
      <c r="C11" s="15" t="str">
        <f t="shared" si="6"/>
        <v>Harley</v>
      </c>
      <c r="D11" s="44">
        <f>AVERAGE(DCF!R7:W7)</f>
        <v>282.51796793470697</v>
      </c>
    </row>
    <row r="12" spans="1:18" x14ac:dyDescent="0.3">
      <c r="A12" s="1" t="s">
        <v>125</v>
      </c>
      <c r="B12" s="15" t="str">
        <f t="shared" si="6"/>
        <v>Avg Capex</v>
      </c>
      <c r="C12" s="15" t="str">
        <f t="shared" si="6"/>
        <v>Rivian</v>
      </c>
      <c r="D12" s="44">
        <f>AVERAGE(DCF!Z7:AE7)</f>
        <v>2923.3926099834571</v>
      </c>
    </row>
    <row r="13" spans="1:18" x14ac:dyDescent="0.3">
      <c r="A13" s="1" t="s">
        <v>125</v>
      </c>
      <c r="B13" s="15" t="str">
        <f t="shared" si="6"/>
        <v>Avg Capex</v>
      </c>
      <c r="C13" s="15" t="str">
        <f t="shared" si="6"/>
        <v>Stellantis</v>
      </c>
      <c r="D13" s="44">
        <f>AVERAGE(DCF!AH7:AM7)</f>
        <v>7479.8905519035898</v>
      </c>
    </row>
    <row r="14" spans="1:18" x14ac:dyDescent="0.3">
      <c r="A14" s="1" t="s">
        <v>125</v>
      </c>
      <c r="B14" s="15" t="str">
        <f t="shared" si="6"/>
        <v>Avg Capex</v>
      </c>
      <c r="C14" s="15" t="str">
        <f t="shared" si="6"/>
        <v>Tesla</v>
      </c>
      <c r="D14" s="44">
        <f>AVERAGE(DCF!AP7:AU7)</f>
        <v>13288.061326061796</v>
      </c>
    </row>
    <row r="15" spans="1:18" x14ac:dyDescent="0.3">
      <c r="A15" s="17" t="s">
        <v>125</v>
      </c>
      <c r="B15" s="72" t="str">
        <f>B8</f>
        <v>Average Capex</v>
      </c>
      <c r="C15" s="72" t="str">
        <f t="shared" ref="C15" si="7">C8</f>
        <v>Avg</v>
      </c>
      <c r="D15" s="77">
        <f>AVERAGE(D9:D14)</f>
        <v>8277.6111573522776</v>
      </c>
      <c r="G15" s="72" t="s">
        <v>44</v>
      </c>
      <c r="H15" s="72" t="s">
        <v>97</v>
      </c>
      <c r="I15" s="72" t="s">
        <v>125</v>
      </c>
    </row>
    <row r="16" spans="1:18" x14ac:dyDescent="0.3">
      <c r="A16" s="1" t="s">
        <v>125</v>
      </c>
      <c r="B16" s="15" t="s">
        <v>126</v>
      </c>
      <c r="C16" s="15" t="str">
        <f>C9</f>
        <v>Ford</v>
      </c>
      <c r="D16" s="22">
        <f>(DCF!G7/DCF!B7)^(1/6)-1</f>
        <v>6.4493089004064252E-2</v>
      </c>
      <c r="G16" s="15" t="s">
        <v>106</v>
      </c>
      <c r="H16" s="22">
        <f>AVERAGE(-0.035,0.058)</f>
        <v>1.15E-2</v>
      </c>
      <c r="I16" s="22">
        <v>2.1000000000000001E-2</v>
      </c>
      <c r="M16" s="110" t="s">
        <v>0</v>
      </c>
      <c r="N16" s="110" t="s">
        <v>58</v>
      </c>
      <c r="O16" s="110" t="s">
        <v>112</v>
      </c>
      <c r="P16" s="110" t="s">
        <v>86</v>
      </c>
      <c r="Q16" s="110" t="s">
        <v>3</v>
      </c>
      <c r="R16" s="110" t="s">
        <v>88</v>
      </c>
    </row>
    <row r="17" spans="1:18" x14ac:dyDescent="0.3">
      <c r="A17" s="1" t="s">
        <v>125</v>
      </c>
      <c r="B17" s="15" t="s">
        <v>126</v>
      </c>
      <c r="C17" s="15" t="str">
        <f t="shared" ref="C17:C22" si="8">C10</f>
        <v>GM</v>
      </c>
      <c r="D17" s="109">
        <f>(DCF!O7/DCF!J7)^(1/6)-1</f>
        <v>7.3488345556089962E-2</v>
      </c>
      <c r="G17" s="15" t="s">
        <v>106</v>
      </c>
      <c r="H17" s="22">
        <v>2.8000000000000001E-2</v>
      </c>
      <c r="I17" s="22">
        <v>2.3E-2</v>
      </c>
      <c r="M17" s="11" t="str">
        <f>F2</f>
        <v>Ford</v>
      </c>
      <c r="N17" s="8">
        <f ca="1">'Assumptions &amp; WACC'!B11</f>
        <v>0.1066795</v>
      </c>
      <c r="O17" s="8">
        <f>'Assumptions &amp; WACC'!B21</f>
        <v>0.02</v>
      </c>
      <c r="P17" s="66">
        <f ca="1">DCF!B20</f>
        <v>26.559559647290602</v>
      </c>
      <c r="Q17" s="66">
        <f ca="1">DCF!B21</f>
        <v>13.0299</v>
      </c>
      <c r="R17" s="31">
        <f ca="1">(P17-Q17)/Q17</f>
        <v>1.0383548336741344</v>
      </c>
    </row>
    <row r="18" spans="1:18" x14ac:dyDescent="0.3">
      <c r="A18" s="1" t="s">
        <v>125</v>
      </c>
      <c r="B18" s="15" t="s">
        <v>126</v>
      </c>
      <c r="C18" s="15" t="str">
        <f t="shared" si="8"/>
        <v>Harley</v>
      </c>
      <c r="D18" s="22">
        <f>(DCF!W7/DCF!R7)^(1/6)-1</f>
        <v>4.1907721791125452E-2</v>
      </c>
      <c r="G18" s="15" t="s">
        <v>107</v>
      </c>
      <c r="H18" s="75">
        <f>H17-H16</f>
        <v>1.6500000000000001E-2</v>
      </c>
      <c r="I18" s="22">
        <f>I17-I16</f>
        <v>1.9999999999999983E-3</v>
      </c>
      <c r="M18" s="11" t="str">
        <f>F3</f>
        <v>GM</v>
      </c>
      <c r="N18" s="8">
        <f ca="1">'Assumptions &amp; WACC'!C11</f>
        <v>9.4789499999999999E-2</v>
      </c>
      <c r="O18" s="8">
        <f>'Assumptions &amp; WACC'!C21</f>
        <v>1.4999999999999999E-2</v>
      </c>
      <c r="P18" s="66">
        <f ca="1">DCF!J20</f>
        <v>289.55152410544002</v>
      </c>
      <c r="Q18" s="66">
        <f ca="1">DCF!J21</f>
        <v>68.25</v>
      </c>
      <c r="R18" s="31">
        <f ca="1">(P18-Q18)/Q18</f>
        <v>3.2425131737060808</v>
      </c>
    </row>
    <row r="19" spans="1:18" x14ac:dyDescent="0.3">
      <c r="A19" s="1" t="s">
        <v>125</v>
      </c>
      <c r="B19" s="15" t="s">
        <v>126</v>
      </c>
      <c r="C19" s="15" t="str">
        <f t="shared" si="8"/>
        <v>Rivian</v>
      </c>
      <c r="D19" s="22">
        <f>(DCF!AE7/DCF!Z7)^(1/6)-1</f>
        <v>4.869764237416141E-2</v>
      </c>
      <c r="G19" s="72" t="s">
        <v>108</v>
      </c>
      <c r="H19" s="81">
        <f>J28/H18</f>
        <v>233.6281494527685</v>
      </c>
      <c r="I19" s="81">
        <f>I28/I18</f>
        <v>246.3361221092687</v>
      </c>
    </row>
    <row r="20" spans="1:18" x14ac:dyDescent="0.3">
      <c r="A20" s="1" t="s">
        <v>125</v>
      </c>
      <c r="B20" s="15" t="s">
        <v>126</v>
      </c>
      <c r="C20" s="15" t="str">
        <f t="shared" si="8"/>
        <v>Stellantis</v>
      </c>
      <c r="D20" s="109">
        <f>(DCF!AM7/DCF!AH7)^(1/6)-1</f>
        <v>1.0200421796408454E-2</v>
      </c>
    </row>
    <row r="21" spans="1:18" x14ac:dyDescent="0.3">
      <c r="A21" s="1" t="s">
        <v>125</v>
      </c>
      <c r="B21" s="15" t="s">
        <v>126</v>
      </c>
      <c r="C21" s="15" t="str">
        <f t="shared" si="8"/>
        <v>Tesla</v>
      </c>
      <c r="D21" s="22">
        <f>(DCF!AU7/DCF!AP7)^(1/6)-1</f>
        <v>0.20737056494760719</v>
      </c>
      <c r="G21" s="72" t="s">
        <v>0</v>
      </c>
      <c r="H21" s="72" t="s">
        <v>79</v>
      </c>
      <c r="I21" s="72" t="s">
        <v>125</v>
      </c>
      <c r="J21" s="72" t="s">
        <v>97</v>
      </c>
    </row>
    <row r="22" spans="1:18" x14ac:dyDescent="0.3">
      <c r="A22" s="17" t="s">
        <v>125</v>
      </c>
      <c r="B22" s="72" t="s">
        <v>126</v>
      </c>
      <c r="C22" s="72" t="str">
        <f t="shared" si="8"/>
        <v>Avg</v>
      </c>
      <c r="D22" s="74">
        <f>AVERAGE(D16:D21)</f>
        <v>7.4359630911576116E-2</v>
      </c>
      <c r="G22" s="15" t="str">
        <f t="shared" ref="G22:G28" si="9">C16</f>
        <v>Ford</v>
      </c>
      <c r="H22" s="15" t="s">
        <v>127</v>
      </c>
      <c r="I22" s="22">
        <f>(DCF!G5-DCF!B5)/DCF!B5</f>
        <v>0.45498017995343865</v>
      </c>
      <c r="J22" s="22">
        <f>(Financials!F10-Financials!C10)/Financials!C10</f>
        <v>-2.9824561403508771E-2</v>
      </c>
    </row>
    <row r="23" spans="1:18" x14ac:dyDescent="0.3">
      <c r="A23" s="1" t="str">
        <f>A16</f>
        <v>2025-30</v>
      </c>
      <c r="B23" s="15" t="s">
        <v>129</v>
      </c>
      <c r="C23" s="15" t="str">
        <f>C16</f>
        <v>Ford</v>
      </c>
      <c r="D23" s="109">
        <f>(DCF!G5/DCF!B5)^(1/6)-1</f>
        <v>6.4493089004064252E-2</v>
      </c>
      <c r="G23" s="15" t="str">
        <f t="shared" si="9"/>
        <v>GM</v>
      </c>
      <c r="H23" s="15" t="s">
        <v>127</v>
      </c>
      <c r="I23" s="22">
        <f>(DCF!O5-DCF!J5)/DCF!J5</f>
        <v>0.53032616238723218</v>
      </c>
      <c r="J23" s="22">
        <f>(Financials!M10-Financials!I10)/Financials!I10</f>
        <v>1.493886230728336</v>
      </c>
    </row>
    <row r="24" spans="1:18" x14ac:dyDescent="0.3">
      <c r="A24" s="1" t="str">
        <f t="shared" ref="A24" si="10">A17</f>
        <v>2025-30</v>
      </c>
      <c r="B24" s="15" t="s">
        <v>129</v>
      </c>
      <c r="C24" s="15" t="str">
        <f t="shared" ref="C24:D29" si="11">C17</f>
        <v>GM</v>
      </c>
      <c r="D24" s="109">
        <f>(DCF!O5/DCF!J5)^(1/6)-1</f>
        <v>7.3488345556089962E-2</v>
      </c>
      <c r="G24" s="15" t="str">
        <f t="shared" si="9"/>
        <v>Harley</v>
      </c>
      <c r="H24" s="15" t="s">
        <v>127</v>
      </c>
      <c r="I24" s="22">
        <f>(DCF!W5-DCF!R5)/DCF!R5</f>
        <v>0.27930925022512754</v>
      </c>
      <c r="J24" s="22">
        <f>(Financials!T10-Financials!Q10)/Financials!Q10</f>
        <v>-0.49632734005718449</v>
      </c>
    </row>
    <row r="25" spans="1:18" x14ac:dyDescent="0.3">
      <c r="A25" s="1" t="str">
        <f t="shared" ref="A25" si="12">A18</f>
        <v>2025-30</v>
      </c>
      <c r="B25" s="15" t="s">
        <v>129</v>
      </c>
      <c r="C25" s="15" t="str">
        <f t="shared" si="11"/>
        <v>Harley</v>
      </c>
      <c r="D25" s="109">
        <f>D18</f>
        <v>4.1907721791125452E-2</v>
      </c>
      <c r="G25" s="15" t="str">
        <f t="shared" si="9"/>
        <v>Rivian</v>
      </c>
      <c r="H25" s="15" t="s">
        <v>127</v>
      </c>
      <c r="I25" s="22">
        <f>(DCF!AE5-DCF!Z5)/DCF!Z5</f>
        <v>-0.46909635584788367</v>
      </c>
      <c r="J25" s="22">
        <f>(Financials!AA10-Financials!X10)/Financials!X10</f>
        <v>0.17957166392092258</v>
      </c>
    </row>
    <row r="26" spans="1:18" x14ac:dyDescent="0.3">
      <c r="A26" s="1" t="str">
        <f t="shared" ref="A26" si="13">A19</f>
        <v>2025-30</v>
      </c>
      <c r="B26" s="15" t="s">
        <v>129</v>
      </c>
      <c r="C26" s="15" t="str">
        <f t="shared" si="11"/>
        <v>Rivian</v>
      </c>
      <c r="D26" s="109">
        <f t="shared" si="11"/>
        <v>4.869764237416141E-2</v>
      </c>
      <c r="G26" s="15" t="str">
        <f t="shared" si="9"/>
        <v>Stellantis</v>
      </c>
      <c r="H26" s="15" t="s">
        <v>127</v>
      </c>
      <c r="I26" s="22">
        <f>(DCF!AM5-DCF!AH5)/DCF!AH5</f>
        <v>6.2784649699345996E-2</v>
      </c>
      <c r="J26" s="22">
        <f>(Financials!AH10-Financials!AD10)/ABS(Financials!AD10)</f>
        <v>17.857142857142858</v>
      </c>
    </row>
    <row r="27" spans="1:18" x14ac:dyDescent="0.3">
      <c r="A27" s="1" t="str">
        <f t="shared" ref="A27" si="14">A20</f>
        <v>2025-30</v>
      </c>
      <c r="B27" s="15" t="s">
        <v>129</v>
      </c>
      <c r="C27" s="15" t="str">
        <f t="shared" si="11"/>
        <v>Stellantis</v>
      </c>
      <c r="D27" s="109">
        <f t="shared" si="11"/>
        <v>1.0200421796408454E-2</v>
      </c>
      <c r="E27" s="17"/>
      <c r="F27" s="17"/>
      <c r="G27" s="15" t="str">
        <f t="shared" si="9"/>
        <v>Tesla</v>
      </c>
      <c r="H27" s="15" t="s">
        <v>127</v>
      </c>
      <c r="I27" s="22">
        <f>(DCF!AU5-DCF!AP5)/DCF!AP5</f>
        <v>2.0977295788939614</v>
      </c>
      <c r="J27" s="22">
        <f>(Financials!AO10-Financials!AK10)/Financials!AK10</f>
        <v>4.1247379454926625</v>
      </c>
    </row>
    <row r="28" spans="1:18" x14ac:dyDescent="0.3">
      <c r="A28" s="1" t="str">
        <f t="shared" ref="A28" si="15">A21</f>
        <v>2025-30</v>
      </c>
      <c r="B28" s="15" t="s">
        <v>129</v>
      </c>
      <c r="C28" s="15" t="str">
        <f t="shared" si="11"/>
        <v>Tesla</v>
      </c>
      <c r="D28" s="109">
        <f t="shared" si="11"/>
        <v>0.20737056494760719</v>
      </c>
      <c r="G28" s="72" t="str">
        <f t="shared" si="9"/>
        <v>Avg</v>
      </c>
      <c r="H28" s="72" t="s">
        <v>128</v>
      </c>
      <c r="I28" s="74">
        <f>AVERAGE(I22:I27)</f>
        <v>0.492672244218537</v>
      </c>
      <c r="J28" s="74">
        <f>AVERAGE(J22:J27)</f>
        <v>3.8548644659706803</v>
      </c>
    </row>
    <row r="29" spans="1:18" x14ac:dyDescent="0.3">
      <c r="A29" s="17" t="str">
        <f t="shared" ref="A29" si="16">A22</f>
        <v>2025-30</v>
      </c>
      <c r="B29" s="72" t="s">
        <v>129</v>
      </c>
      <c r="C29" s="72" t="str">
        <f t="shared" si="11"/>
        <v>Avg</v>
      </c>
      <c r="D29" s="74">
        <f t="shared" si="11"/>
        <v>7.4359630911576116E-2</v>
      </c>
    </row>
    <row r="30" spans="1:18" x14ac:dyDescent="0.3">
      <c r="A30" s="1" t="str">
        <f>A23</f>
        <v>2025-30</v>
      </c>
      <c r="B30" s="15" t="s">
        <v>46</v>
      </c>
      <c r="C30" s="15" t="str">
        <f>C23</f>
        <v>Ford</v>
      </c>
      <c r="D30" s="22">
        <f>D23</f>
        <v>6.4493089004064252E-2</v>
      </c>
    </row>
    <row r="31" spans="1:18" x14ac:dyDescent="0.3">
      <c r="A31" s="1" t="str">
        <f t="shared" ref="A31:A36" si="17">A24</f>
        <v>2025-30</v>
      </c>
      <c r="B31" s="15" t="s">
        <v>46</v>
      </c>
      <c r="C31" s="15" t="str">
        <f t="shared" ref="C31:D36" si="18">C24</f>
        <v>GM</v>
      </c>
      <c r="D31" s="22">
        <f t="shared" si="18"/>
        <v>7.3488345556089962E-2</v>
      </c>
    </row>
    <row r="32" spans="1:18" x14ac:dyDescent="0.3">
      <c r="A32" s="1" t="str">
        <f t="shared" si="17"/>
        <v>2025-30</v>
      </c>
      <c r="B32" s="15" t="s">
        <v>46</v>
      </c>
      <c r="C32" s="15" t="str">
        <f t="shared" si="18"/>
        <v>Harley</v>
      </c>
      <c r="D32" s="22">
        <f t="shared" si="18"/>
        <v>4.1907721791125452E-2</v>
      </c>
    </row>
    <row r="33" spans="1:4" x14ac:dyDescent="0.3">
      <c r="A33" s="1" t="str">
        <f t="shared" si="17"/>
        <v>2025-30</v>
      </c>
      <c r="B33" s="15" t="s">
        <v>46</v>
      </c>
      <c r="C33" s="15" t="str">
        <f t="shared" si="18"/>
        <v>Rivian</v>
      </c>
      <c r="D33" s="22">
        <f t="shared" si="18"/>
        <v>4.869764237416141E-2</v>
      </c>
    </row>
    <row r="34" spans="1:4" x14ac:dyDescent="0.3">
      <c r="A34" s="1" t="str">
        <f t="shared" si="17"/>
        <v>2025-30</v>
      </c>
      <c r="B34" s="15" t="s">
        <v>46</v>
      </c>
      <c r="C34" s="15" t="str">
        <f t="shared" si="18"/>
        <v>Stellantis</v>
      </c>
      <c r="D34" s="22">
        <f t="shared" si="18"/>
        <v>1.0200421796408454E-2</v>
      </c>
    </row>
    <row r="35" spans="1:4" x14ac:dyDescent="0.3">
      <c r="A35" s="1" t="str">
        <f t="shared" si="17"/>
        <v>2025-30</v>
      </c>
      <c r="B35" s="15" t="s">
        <v>46</v>
      </c>
      <c r="C35" s="15" t="str">
        <f t="shared" si="18"/>
        <v>Tesla</v>
      </c>
      <c r="D35" s="22">
        <f t="shared" si="18"/>
        <v>0.20737056494760719</v>
      </c>
    </row>
    <row r="36" spans="1:4" x14ac:dyDescent="0.3">
      <c r="A36" s="17" t="str">
        <f t="shared" si="17"/>
        <v>2025-30</v>
      </c>
      <c r="B36" s="72" t="s">
        <v>46</v>
      </c>
      <c r="C36" s="72" t="str">
        <f t="shared" si="18"/>
        <v>Avg</v>
      </c>
      <c r="D36" s="74">
        <f t="shared" si="18"/>
        <v>7.4359630911576116E-2</v>
      </c>
    </row>
    <row r="37" spans="1:4" x14ac:dyDescent="0.3">
      <c r="A37" s="1" t="str">
        <f>A2</f>
        <v>2020-24</v>
      </c>
      <c r="B37" s="15" t="s">
        <v>130</v>
      </c>
      <c r="C37" s="15" t="str">
        <f>C30</f>
        <v>Ford</v>
      </c>
      <c r="D37" s="22">
        <f>(AVERAGE(Financials!B7:F7)+AVERAGE(Financials!B28:F28))/AVERAGE(Financials!B3:F3)</f>
        <v>7.1590916349931338E-2</v>
      </c>
    </row>
    <row r="38" spans="1:4" x14ac:dyDescent="0.3">
      <c r="A38" s="1" t="str">
        <f t="shared" ref="A38:A42" si="19">A3</f>
        <v>2020-24</v>
      </c>
      <c r="B38" s="15" t="s">
        <v>130</v>
      </c>
      <c r="C38" s="15" t="str">
        <f t="shared" ref="C38:C43" si="20">C31</f>
        <v>GM</v>
      </c>
      <c r="D38" s="22">
        <f>(AVERAGE(Financials!I7:M7)+AVERAGE(Financials!I28:M28))/AVERAGE(Financials!I3:M3)</f>
        <v>0.10574154678984411</v>
      </c>
    </row>
    <row r="39" spans="1:4" x14ac:dyDescent="0.3">
      <c r="A39" s="1" t="str">
        <f t="shared" si="19"/>
        <v>2020-24</v>
      </c>
      <c r="B39" s="15" t="s">
        <v>130</v>
      </c>
      <c r="C39" s="15" t="str">
        <f t="shared" si="20"/>
        <v>Harley</v>
      </c>
      <c r="D39" s="22">
        <f>(AVERAGE(Financials!P7:T7)+AVERAGE(Financials!P28:T28))/AVERAGE(Financials!P3:T3)</f>
        <v>0.14367076889743416</v>
      </c>
    </row>
    <row r="40" spans="1:4" x14ac:dyDescent="0.3">
      <c r="A40" s="1" t="str">
        <f t="shared" si="19"/>
        <v>2020-24</v>
      </c>
      <c r="B40" s="15" t="s">
        <v>130</v>
      </c>
      <c r="C40" s="15" t="str">
        <f t="shared" si="20"/>
        <v>Rivian</v>
      </c>
      <c r="D40" s="22">
        <v>0</v>
      </c>
    </row>
    <row r="41" spans="1:4" x14ac:dyDescent="0.3">
      <c r="A41" s="1" t="str">
        <f t="shared" si="19"/>
        <v>2020-24</v>
      </c>
      <c r="B41" s="15" t="s">
        <v>130</v>
      </c>
      <c r="C41" s="15" t="str">
        <f t="shared" si="20"/>
        <v>Stellantis</v>
      </c>
      <c r="D41" s="22">
        <f>(AVERAGE(Financials!AD7:AH7)+AVERAGE(Financials!AD28:AH28))/AVERAGE(Financials!AD3:AH3)</f>
        <v>0.12456223453600471</v>
      </c>
    </row>
    <row r="42" spans="1:4" x14ac:dyDescent="0.3">
      <c r="A42" s="1" t="str">
        <f t="shared" si="19"/>
        <v>2020-24</v>
      </c>
      <c r="B42" s="15" t="s">
        <v>130</v>
      </c>
      <c r="C42" s="15" t="str">
        <f t="shared" si="20"/>
        <v>Tesla</v>
      </c>
      <c r="D42" s="22">
        <f>(AVERAGE(Financials!AK7:AO7)+AVERAGE(Financials!AK28:AO28))/AVERAGE(Financials!AK3:AO3)</f>
        <v>0.15819964349376114</v>
      </c>
    </row>
    <row r="43" spans="1:4" x14ac:dyDescent="0.3">
      <c r="A43" s="17" t="str">
        <f>A8</f>
        <v>2020-24</v>
      </c>
      <c r="B43" s="72" t="s">
        <v>130</v>
      </c>
      <c r="C43" s="72" t="str">
        <f t="shared" si="20"/>
        <v>Avg</v>
      </c>
      <c r="D43" s="74">
        <f>AVERAGE(D37:D42)</f>
        <v>0.1006275183444959</v>
      </c>
    </row>
    <row r="44" spans="1:4" x14ac:dyDescent="0.3">
      <c r="A44" s="1" t="str">
        <f>A37</f>
        <v>2020-24</v>
      </c>
      <c r="B44" s="15" t="s">
        <v>131</v>
      </c>
      <c r="C44" s="15" t="str">
        <f>C37</f>
        <v>Ford</v>
      </c>
      <c r="D44" s="22">
        <f>AVERAGE(Financials!B10:F10)/AVERAGE(Financials!B3:F3)</f>
        <v>1.2516528793637613E-2</v>
      </c>
    </row>
    <row r="45" spans="1:4" x14ac:dyDescent="0.3">
      <c r="A45" s="1" t="str">
        <f t="shared" ref="A45:A50" si="21">A38</f>
        <v>2020-24</v>
      </c>
      <c r="B45" s="15" t="s">
        <v>131</v>
      </c>
      <c r="C45" s="15" t="str">
        <f t="shared" ref="C45:C50" si="22">C38</f>
        <v>GM</v>
      </c>
      <c r="D45" s="22">
        <f>AVERAGE(Financials!I10:M10)/AVERAGE(Financials!I3:M3)</f>
        <v>4.4428013815662276E-2</v>
      </c>
    </row>
    <row r="46" spans="1:4" x14ac:dyDescent="0.3">
      <c r="A46" s="1" t="str">
        <f t="shared" si="21"/>
        <v>2020-24</v>
      </c>
      <c r="B46" s="15" t="s">
        <v>131</v>
      </c>
      <c r="C46" s="15" t="str">
        <f t="shared" si="22"/>
        <v>Harley</v>
      </c>
      <c r="D46" s="22">
        <f>AVERAGE(Financials!P10:T10)/AVERAGE(Financials!P3:T3)</f>
        <v>8.3887004881139385E-2</v>
      </c>
    </row>
    <row r="47" spans="1:4" x14ac:dyDescent="0.3">
      <c r="A47" s="1" t="str">
        <f t="shared" si="21"/>
        <v>2020-24</v>
      </c>
      <c r="B47" s="15" t="s">
        <v>131</v>
      </c>
      <c r="C47" s="15" t="str">
        <f t="shared" si="22"/>
        <v>Rivian</v>
      </c>
      <c r="D47" s="22">
        <v>0</v>
      </c>
    </row>
    <row r="48" spans="1:4" x14ac:dyDescent="0.3">
      <c r="A48" s="1" t="str">
        <f t="shared" si="21"/>
        <v>2020-24</v>
      </c>
      <c r="B48" s="15" t="s">
        <v>131</v>
      </c>
      <c r="C48" s="15" t="str">
        <f t="shared" si="22"/>
        <v>Stellantis</v>
      </c>
      <c r="D48" s="22">
        <f>AVERAGE(Financials!AD10:AH10)/AVERAGE(Financials!AD3:AH3)</f>
        <v>6.8184472299894106E-2</v>
      </c>
    </row>
    <row r="49" spans="1:4" x14ac:dyDescent="0.3">
      <c r="A49" s="1" t="str">
        <f t="shared" si="21"/>
        <v>2020-24</v>
      </c>
      <c r="B49" s="15" t="s">
        <v>131</v>
      </c>
      <c r="C49" s="15" t="str">
        <f t="shared" si="22"/>
        <v>Tesla</v>
      </c>
      <c r="D49" s="22">
        <f>AVERAGE(Financials!AK10:AO10)/AVERAGE(Financials!AK3:AO3)</f>
        <v>0.10342279204171786</v>
      </c>
    </row>
    <row r="50" spans="1:4" x14ac:dyDescent="0.3">
      <c r="A50" s="17" t="str">
        <f t="shared" si="21"/>
        <v>2020-24</v>
      </c>
      <c r="B50" s="72" t="s">
        <v>131</v>
      </c>
      <c r="C50" s="72" t="str">
        <f t="shared" si="22"/>
        <v>Avg</v>
      </c>
      <c r="D50" s="74">
        <f>AVERAGE(D44:D49)</f>
        <v>5.2073135305341876E-2</v>
      </c>
    </row>
    <row r="51" spans="1:4" x14ac:dyDescent="0.3">
      <c r="A51" s="1" t="str">
        <f>A30</f>
        <v>2025-30</v>
      </c>
      <c r="B51" s="15" t="s">
        <v>132</v>
      </c>
      <c r="C51" s="15" t="str">
        <f>C44</f>
        <v>Ford</v>
      </c>
      <c r="D51" s="76">
        <f>AVERAGE(DCF!B3:G3)</f>
        <v>242498.56249519976</v>
      </c>
    </row>
    <row r="52" spans="1:4" x14ac:dyDescent="0.3">
      <c r="A52" s="1" t="str">
        <f t="shared" ref="A52:A57" si="23">A31</f>
        <v>2025-30</v>
      </c>
      <c r="B52" s="15" t="s">
        <v>132</v>
      </c>
      <c r="C52" s="15" t="str">
        <f t="shared" ref="C52:C57" si="24">C45</f>
        <v>GM</v>
      </c>
      <c r="D52" s="76">
        <f>AVERAGE(DCF!J3:O3)</f>
        <v>255147.78397967384</v>
      </c>
    </row>
    <row r="53" spans="1:4" x14ac:dyDescent="0.3">
      <c r="A53" s="1" t="str">
        <f t="shared" si="23"/>
        <v>2025-30</v>
      </c>
      <c r="B53" s="15" t="s">
        <v>132</v>
      </c>
      <c r="C53" s="15" t="str">
        <f t="shared" si="24"/>
        <v>Harley</v>
      </c>
      <c r="D53" s="76">
        <f>AVERAGE(DCF!R3:W3)</f>
        <v>6184.6979849445806</v>
      </c>
    </row>
    <row r="54" spans="1:4" x14ac:dyDescent="0.3">
      <c r="A54" s="1" t="str">
        <f t="shared" si="23"/>
        <v>2025-30</v>
      </c>
      <c r="B54" s="15" t="s">
        <v>132</v>
      </c>
      <c r="C54" s="15" t="str">
        <f t="shared" si="24"/>
        <v>Rivian</v>
      </c>
      <c r="D54" s="76">
        <f>AVERAGE(DCF!Z3:AE3)</f>
        <v>6097.4400835245942</v>
      </c>
    </row>
    <row r="55" spans="1:4" x14ac:dyDescent="0.3">
      <c r="A55" s="1" t="str">
        <f t="shared" si="23"/>
        <v>2025-30</v>
      </c>
      <c r="B55" s="15" t="s">
        <v>132</v>
      </c>
      <c r="C55" s="15" t="str">
        <f t="shared" si="24"/>
        <v>Stellantis</v>
      </c>
      <c r="D55" s="76">
        <f>AVERAGE(DCF!AH3:AM3)</f>
        <v>163744.85616665464</v>
      </c>
    </row>
    <row r="56" spans="1:4" x14ac:dyDescent="0.3">
      <c r="A56" s="1" t="str">
        <f t="shared" si="23"/>
        <v>2025-30</v>
      </c>
      <c r="B56" s="15" t="s">
        <v>132</v>
      </c>
      <c r="C56" s="15" t="str">
        <f t="shared" si="24"/>
        <v>Tesla</v>
      </c>
      <c r="D56" s="76">
        <f>AVERAGE(DCF!AP3:AU3)</f>
        <v>231991.17954685414</v>
      </c>
    </row>
    <row r="57" spans="1:4" x14ac:dyDescent="0.3">
      <c r="A57" s="17" t="str">
        <f t="shared" si="23"/>
        <v>2025-30</v>
      </c>
      <c r="B57" s="72" t="s">
        <v>132</v>
      </c>
      <c r="C57" s="72" t="str">
        <f t="shared" si="24"/>
        <v>Avg</v>
      </c>
      <c r="D57" s="81">
        <f>AVERAGE(D51:D56)</f>
        <v>150944.08670947526</v>
      </c>
    </row>
    <row r="58" spans="1:4" x14ac:dyDescent="0.3">
      <c r="A58" s="1" t="str">
        <f>A51</f>
        <v>2025-30</v>
      </c>
      <c r="B58" s="15" t="s">
        <v>133</v>
      </c>
      <c r="C58" s="15" t="str">
        <f>C51</f>
        <v>Ford</v>
      </c>
      <c r="D58" s="22">
        <f>D9/D51</f>
        <v>4.5680155865725505E-2</v>
      </c>
    </row>
    <row r="59" spans="1:4" x14ac:dyDescent="0.3">
      <c r="A59" s="1" t="str">
        <f t="shared" ref="A59:A64" si="25">A52</f>
        <v>2025-30</v>
      </c>
      <c r="B59" s="15" t="s">
        <v>133</v>
      </c>
      <c r="C59" s="15" t="str">
        <f t="shared" ref="C59:C64" si="26">C52</f>
        <v>GM</v>
      </c>
      <c r="D59" s="22">
        <f t="shared" ref="D59:D63" si="27">D10/D52</f>
        <v>5.7278304080427625E-2</v>
      </c>
    </row>
    <row r="60" spans="1:4" x14ac:dyDescent="0.3">
      <c r="A60" s="1" t="str">
        <f t="shared" si="25"/>
        <v>2025-30</v>
      </c>
      <c r="B60" s="15" t="s">
        <v>133</v>
      </c>
      <c r="C60" s="15" t="str">
        <f t="shared" si="26"/>
        <v>Harley</v>
      </c>
      <c r="D60" s="22">
        <f t="shared" si="27"/>
        <v>4.5680155865725519E-2</v>
      </c>
    </row>
    <row r="61" spans="1:4" x14ac:dyDescent="0.3">
      <c r="A61" s="1" t="str">
        <f t="shared" si="25"/>
        <v>2025-30</v>
      </c>
      <c r="B61" s="15" t="s">
        <v>133</v>
      </c>
      <c r="C61" s="15" t="str">
        <f t="shared" si="26"/>
        <v>Rivian</v>
      </c>
      <c r="D61" s="22">
        <f t="shared" si="27"/>
        <v>0.4794458936763516</v>
      </c>
    </row>
    <row r="62" spans="1:4" x14ac:dyDescent="0.3">
      <c r="A62" s="1" t="str">
        <f t="shared" si="25"/>
        <v>2025-30</v>
      </c>
      <c r="B62" s="15" t="s">
        <v>133</v>
      </c>
      <c r="C62" s="15" t="str">
        <f t="shared" si="26"/>
        <v>Stellantis</v>
      </c>
      <c r="D62" s="22">
        <f t="shared" si="27"/>
        <v>4.5680155865725512E-2</v>
      </c>
    </row>
    <row r="63" spans="1:4" x14ac:dyDescent="0.3">
      <c r="A63" s="1" t="str">
        <f t="shared" si="25"/>
        <v>2025-30</v>
      </c>
      <c r="B63" s="15" t="s">
        <v>133</v>
      </c>
      <c r="C63" s="15" t="str">
        <f t="shared" si="26"/>
        <v>Tesla</v>
      </c>
      <c r="D63" s="22">
        <f t="shared" si="27"/>
        <v>5.7278304080427639E-2</v>
      </c>
    </row>
    <row r="64" spans="1:4" x14ac:dyDescent="0.3">
      <c r="A64" s="17" t="str">
        <f t="shared" si="25"/>
        <v>2025-30</v>
      </c>
      <c r="B64" s="72" t="s">
        <v>133</v>
      </c>
      <c r="C64" s="72" t="str">
        <f t="shared" si="26"/>
        <v>Avg</v>
      </c>
      <c r="D64" s="74">
        <f>AVERAGE(D58:D63)</f>
        <v>0.12184049490573057</v>
      </c>
    </row>
    <row r="65" spans="1:4" x14ac:dyDescent="0.3">
      <c r="A65" s="1" t="str">
        <f>A44</f>
        <v>2020-24</v>
      </c>
      <c r="B65" s="15" t="str">
        <f>B23</f>
        <v>Earnings CAGR</v>
      </c>
      <c r="C65" s="15" t="str">
        <f>C58</f>
        <v>Ford</v>
      </c>
      <c r="D65" s="22">
        <f>(Financials!F10/Financials!C10)^(1/4)-1</f>
        <v>-7.5410126328336879E-3</v>
      </c>
    </row>
    <row r="66" spans="1:4" x14ac:dyDescent="0.3">
      <c r="A66" s="1" t="str">
        <f t="shared" ref="A66:A70" si="28">A45</f>
        <v>2020-24</v>
      </c>
      <c r="B66" s="15" t="str">
        <f t="shared" ref="B66:B70" si="29">B24</f>
        <v>Earnings CAGR</v>
      </c>
      <c r="C66" s="15" t="str">
        <f t="shared" ref="C66:C70" si="30">C59</f>
        <v>GM</v>
      </c>
      <c r="D66" s="22">
        <f>(Financials!M10/Financials!I10)^(1/5)-1</f>
        <v>0.20053638665756179</v>
      </c>
    </row>
    <row r="67" spans="1:4" x14ac:dyDescent="0.3">
      <c r="A67" s="1" t="str">
        <f t="shared" si="28"/>
        <v>2020-24</v>
      </c>
      <c r="B67" s="15" t="str">
        <f t="shared" si="29"/>
        <v>Earnings CAGR</v>
      </c>
      <c r="C67" s="15" t="str">
        <f t="shared" si="30"/>
        <v>Harley</v>
      </c>
      <c r="D67" s="22">
        <f>(Financials!T10/Financials!Q10)^(1/5)-1</f>
        <v>-0.12817428331107872</v>
      </c>
    </row>
    <row r="68" spans="1:4" x14ac:dyDescent="0.3">
      <c r="A68" s="1" t="str">
        <f t="shared" si="28"/>
        <v>2020-24</v>
      </c>
      <c r="B68" s="15" t="str">
        <f t="shared" si="29"/>
        <v>Earnings CAGR</v>
      </c>
      <c r="C68" s="15" t="str">
        <f t="shared" si="30"/>
        <v>Rivian</v>
      </c>
      <c r="D68" s="22">
        <f>(Financials!AA10/Financials!X10)^(1/4)-1</f>
        <v>4.2152039562229682E-2</v>
      </c>
    </row>
    <row r="69" spans="1:4" x14ac:dyDescent="0.3">
      <c r="A69" s="1" t="str">
        <f t="shared" si="28"/>
        <v>2020-24</v>
      </c>
      <c r="B69" s="15" t="str">
        <f t="shared" si="29"/>
        <v>Earnings CAGR</v>
      </c>
      <c r="C69" s="15" t="str">
        <f t="shared" si="30"/>
        <v>Stellantis</v>
      </c>
      <c r="D69" s="22">
        <f>(Financials!AH10/Financials!AE10)^(1/4)-1</f>
        <v>-0.17614659793928422</v>
      </c>
    </row>
    <row r="70" spans="1:4" x14ac:dyDescent="0.3">
      <c r="A70" s="1" t="str">
        <f t="shared" si="28"/>
        <v>2020-24</v>
      </c>
      <c r="B70" s="15" t="str">
        <f t="shared" si="29"/>
        <v>Earnings CAGR</v>
      </c>
      <c r="C70" s="15" t="str">
        <f t="shared" si="30"/>
        <v>Tesla</v>
      </c>
      <c r="D70" s="22">
        <f>(Financials!AO10/Financials!AK10)^(1/5)-1</f>
        <v>0.38654616033765388</v>
      </c>
    </row>
    <row r="71" spans="1:4" x14ac:dyDescent="0.3">
      <c r="A71" s="17" t="str">
        <f>A50</f>
        <v>2020-24</v>
      </c>
      <c r="B71" s="72" t="str">
        <f>B29</f>
        <v>Earnings CAGR</v>
      </c>
      <c r="C71" s="72" t="str">
        <f>C64</f>
        <v>Avg</v>
      </c>
      <c r="D71" s="74">
        <f>AVERAGE(D65:D70)</f>
        <v>5.2895448779041454E-2</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Profile</vt:lpstr>
      <vt:lpstr>Financials</vt:lpstr>
      <vt:lpstr>Assumptions &amp; WACC</vt:lpstr>
      <vt:lpstr>DCF</vt:lpstr>
      <vt:lpstr>Relative</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2025-11-18T19:12:15Z</dcterms:modified>
</cp:coreProperties>
</file>